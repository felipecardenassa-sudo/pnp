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ewsletter Map" sheetId="2" state="visible" r:id="rId4"/>
    <sheet name="Location Audit" sheetId="3" state="visible" r:id="rId5"/>
    <sheet name="Vertical Newsletters" sheetId="4" state="visible" r:id="rId6"/>
    <sheet name="Contacts &amp; Setup" sheetId="5" state="visible" r:id="rId7"/>
    <sheet name="Recommendations" sheetId="6" state="visible" r:id="rId8"/>
    <sheet name="Old Workflows" sheetId="7" state="visible" r:id="rId9"/>
    <sheet name="Emails Aug-Sep" sheetId="8" state="visible" r:id="rId10"/>
    <sheet name="Notes &amp; Data Gaps" sheetId="9" state="visible" r:id="rId11"/>
  </sheets>
  <definedNames>
    <definedName function="false" hidden="true" localSheetId="7" name="_xlnm._FilterDatabase" vbProcedure="false">'Emails Aug-Sep'!$A$4:$P$104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<sst xmlns="http://schemas.openxmlformats.org/spreadsheetml/2006/main" count="1619" uniqueCount="722">
  <si>
    <t xml:space="preserve">Plug and Play – HubSpot Newsletter Audit</t>
  </si>
  <si>
    <t xml:space="preserve">Read-only audit of HubSpot portal 3340630, pulled 8 Oct 2026. Period: 1 Oct 2025 – 30 Sep 2026 unless stated. Nothing in HubSpot was changed.</t>
  </si>
  <si>
    <t xml:space="preserve">1. Scorecard – all marketing emails, last 12 months</t>
  </si>
  <si>
    <t xml:space="preserve">Metric</t>
  </si>
  <si>
    <t xml:space="preserve">PnP (12 months)</t>
  </si>
  <si>
    <t xml:space="preserve">Change vs previous 12 months</t>
  </si>
  <si>
    <t xml:space="preserve">Good if</t>
  </si>
  <si>
    <t xml:space="preserve">Fix if</t>
  </si>
  <si>
    <t xml:space="preserve">Status</t>
  </si>
  <si>
    <t xml:space="preserve">What it means</t>
  </si>
  <si>
    <t xml:space="preserve">Emails sent</t>
  </si>
  <si>
    <t xml:space="preserve">-22% (fewer sends)</t>
  </si>
  <si>
    <t xml:space="preserve">-</t>
  </si>
  <si>
    <t xml:space="preserve">1,032 different emails sent to ~590k marketing contacts.</t>
  </si>
  <si>
    <t xml:space="preserve">Delivery rate</t>
  </si>
  <si>
    <t xml:space="preserve">-0.8%</t>
  </si>
  <si>
    <t xml:space="preserve">&gt;= 98.0%</t>
  </si>
  <si>
    <t xml:space="preserve">&lt; 95.0%</t>
  </si>
  <si>
    <t xml:space="preserve">Most emails get delivered.</t>
  </si>
  <si>
    <t xml:space="preserve">Click rate (main KPI)</t>
  </si>
  <si>
    <t xml:space="preserve">-1.6%</t>
  </si>
  <si>
    <t xml:space="preserve">&gt;= 3.0%</t>
  </si>
  <si>
    <t xml:space="preserve">&lt; 1.5%</t>
  </si>
  <si>
    <t xml:space="preserve">Healthy overall, but pulled up by small, highly engaged lists (see Newsletter Map).</t>
  </si>
  <si>
    <t xml:space="preserve">Click-to-open rate</t>
  </si>
  <si>
    <t xml:space="preserve">+11%</t>
  </si>
  <si>
    <t xml:space="preserve">&gt;= 12.0%</t>
  </si>
  <si>
    <t xml:space="preserve">&lt; 6.0%</t>
  </si>
  <si>
    <t xml:space="preserve">People who open do click. Content works for the engaged audience.</t>
  </si>
  <si>
    <t xml:space="preserve">Open rate (trend only)</t>
  </si>
  <si>
    <t xml:space="preserve">-11%</t>
  </si>
  <si>
    <t xml:space="preserve">Inflated: 54% of opens come from 'Other' devices with 0 clicks (bots / Apple privacy).</t>
  </si>
  <si>
    <t xml:space="preserve">Hard bounce rate</t>
  </si>
  <si>
    <t xml:space="preserve">+97% (nearly doubled)</t>
  </si>
  <si>
    <t xml:space="preserve">&lt;= 0.5%</t>
  </si>
  <si>
    <t xml:space="preserve">&gt; 2.0%</t>
  </si>
  <si>
    <t xml:space="preserve">Last 30 days: 2.54% vs HubSpot benchmark 0.25%. Driven by imported lists.</t>
  </si>
  <si>
    <t xml:space="preserve">Unsubscribe rate</t>
  </si>
  <si>
    <t xml:space="preserve">+72%</t>
  </si>
  <si>
    <t xml:space="preserve">&lt;= 0.2%</t>
  </si>
  <si>
    <t xml:space="preserve">&gt; 0.5%</t>
  </si>
  <si>
    <t xml:space="preserve">Last 30 days: 1.04% vs HubSpot benchmark 0.35%. Too many people leaving.</t>
  </si>
  <si>
    <t xml:space="preserve">Spam report rate</t>
  </si>
  <si>
    <t xml:space="preserve">+78% (from a very low base)</t>
  </si>
  <si>
    <t xml:space="preserve">&lt;= 0.1%</t>
  </si>
  <si>
    <t xml:space="preserve">&gt; 0.3%</t>
  </si>
  <si>
    <t xml:space="preserve">Well under the 0.3% Gmail/Yahoo/Microsoft limit.</t>
  </si>
  <si>
    <t xml:space="preserve">HubSpot email health score</t>
  </si>
  <si>
    <t xml:space="preserve">Was 5–6 in Oct 2025 – Jan 2026</t>
  </si>
  <si>
    <t xml:space="preserve">Fix</t>
  </si>
  <si>
    <t xml:space="preserve">HubSpot rates it 'Needs work' because of bounces and unsubscribes.</t>
  </si>
  <si>
    <t xml:space="preserve">Benchmarks: current B2B ranges and the Gmail/Yahoo/Microsoft bulk-sender rules (see 'Notes &amp; Data Gaps'). Click rate = unique clicks ÷ delivered.</t>
  </si>
  <si>
    <t xml:space="preserve">2. What's working</t>
  </si>
  <si>
    <t xml:space="preserve">✔ Japan newsletter: every 2 weeks, its own subscription type, ~10% click rate and almost no unsubscribes – the model to copy.</t>
  </si>
  <si>
    <t xml:space="preserve">✔ Small, targeted lists perform very well (SV tenant events, Finland THF, mentor and finalist emails: 5–75% click rates). Relevance beats volume.</t>
  </si>
  <si>
    <t xml:space="preserve">✔ APAC newsletter is steady: ~3% click rate, low unsubscribes, own subscription type.</t>
  </si>
  <si>
    <t xml:space="preserve">✔ Spam complaints are very low (0.01%), delivery is 98%, and 'Don't send to unengaged contacts' is switched ON.</t>
  </si>
  <si>
    <t xml:space="preserve">✔ Click-to-open rate of 12% shows the content works for people who actually read it.</t>
  </si>
  <si>
    <t xml:space="preserve">3. What needs improving</t>
  </si>
  <si>
    <t xml:space="preserve">✘ Imported lists are hurting the whole account: 3 blasts in Aug–Sep (Japan Sansan list, Corporate Survey 3rd batch, Alibaba startups) were 33% of deliveries but caused 52% of unsubscribes and 79% of bounces.</t>
  </si>
  <si>
    <t xml:space="preserve">✘ 86% of marketing contacts (508,812) haven't opened or clicked in 12 months, and 433,657 have never opened. PnP pays for them: 590,458 marketing contacts = 93.7% of the 630,000 tier.</t>
  </si>
  <si>
    <t xml:space="preserve">✘ Big location newsletters lose ~1% of their list per send (UK, Italy, Fintech &amp; AI Insights) with low click rates (0.7–1.3%).</t>
  </si>
  <si>
    <t xml:space="preserve">✘ Most location newsletters (UK, Texas, Italy, Seattle, Indiana, Türkiye, Cyprus, Central Asia) use the shared 'Marketing Communications' subscription type – unsubscribing from one location removes people from all PnP marketing.</t>
  </si>
  <si>
    <t xml:space="preserve">✘ No tracking of why people unsubscribe (survey OFF), no team/location on any email, and 65 active workflows not updated since before 2024.</t>
  </si>
  <si>
    <t xml:space="preserve">4. Top 5 next steps (details in 'Recommendations')</t>
  </si>
  <si>
    <t xml:space="preserve">1. Stop sending to large imported lists until they are validated and consent is confirmed.</t>
  </si>
  <si>
    <t xml:space="preserve">2. Set never-engaged marketing contacts to non-marketing (lower HubSpot bill, better deliverability).</t>
  </si>
  <si>
    <t xml:space="preserve">3. Turn on the unsubscribe feedback survey so we learn why people leave.</t>
  </si>
  <si>
    <t xml:space="preserve">4. Give each location and vertical newsletter its own subscription type.</t>
  </si>
  <si>
    <t xml:space="preserve">5. Agree a shared newsletter calendar with one owner per newsletter (start from the 'Newsletter Map' tab).</t>
  </si>
  <si>
    <t xml:space="preserve">5. Email health – monthly trend (HubSpot Health tab)</t>
  </si>
  <si>
    <t xml:space="preserve">Month</t>
  </si>
  <si>
    <t xml:space="preserve">Health score (/10)</t>
  </si>
  <si>
    <t xml:space="preserve">Click-throughs</t>
  </si>
  <si>
    <t xml:space="preserve">Hard bounces</t>
  </si>
  <si>
    <t xml:space="preserve">Unsubscribes</t>
  </si>
  <si>
    <t xml:space="preserve">Oct 2025</t>
  </si>
  <si>
    <t xml:space="preserve">Nov 2025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</si>
  <si>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</si>
  <si>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</si>
  <si>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</si>
  <si>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</si>
  <si>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</si>
  <si>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</si>
  <si>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</si>
  <si>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</si>
  <si>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</si>
  <si>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</si>
  <si>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Aug–Sep 2026: volume went up (large imported lists) and bounces/unsubscribes roughly doubled. HubSpot's 'click-throughs' here = click-to-open rate.</t>
  </si>
  <si>
    <t xml:space="preserve">Newsletter Map – who sends what (recurring newsletters)</t>
  </si>
  <si>
    <t xml:space="preserve">Based on the latest 100 emails (6 Aug – 30 Sep 2026). Totals are calculated from the 'Emails Aug-Sep' tab. Owners = 'From' names in HubSpot – please confirm with each team.</t>
  </si>
  <si>
    <t xml:space="preserve">Status rules: click rate Good ≥ 3%, Fix &lt; 1.5% · unsubscribe rate Good ≤ 0.2%, Fix &gt; 0.5% per send · lists under 300 people are marked 'Small list' (rates swing a lot).</t>
  </si>
  <si>
    <t xml:space="preserve">Newsletter</t>
  </si>
  <si>
    <t xml:space="preserve">Type</t>
  </si>
  <si>
    <t xml:space="preserve">Location / vertical</t>
  </si>
  <si>
    <t xml:space="preserve">Sender (From name)</t>
  </si>
  <si>
    <t xml:space="preserve">Subscription type used</t>
  </si>
  <si>
    <t xml:space="preserve">How often</t>
  </si>
  <si>
    <t xml:space="preserve">Sends seen</t>
  </si>
  <si>
    <t xml:space="preserve">Last sent</t>
  </si>
  <si>
    <t xml:space="preserve">Avg. delivered per send</t>
  </si>
  <si>
    <t xml:space="preserve">Click rate</t>
  </si>
  <si>
    <t xml:space="preserve">Unsub rate</t>
  </si>
  <si>
    <t xml:space="preserve">Bounce rate</t>
  </si>
  <si>
    <t xml:space="preserve">Notes</t>
  </si>
  <si>
    <t xml:space="preserve">Global Newsletter (GNL)</t>
  </si>
  <si>
    <t xml:space="preserve">Global</t>
  </si>
  <si>
    <t xml:space="preserve">Silicon Valley / Global</t>
  </si>
  <si>
    <t xml:space="preserve">Jacky from Plug and Play</t>
  </si>
  <si>
    <t xml:space="preserve">Plug and Play Global Newsletter</t>
  </si>
  <si>
    <t xml:space="preserve">Monthly</t>
  </si>
  <si>
    <t xml:space="preserve">2026-09-29</t>
  </si>
  <si>
    <t xml:space="preserve">Largest regular newsletter; lowest open rate (14–18%). August sent in 2 batches.</t>
  </si>
  <si>
    <t xml:space="preserve">Italy Newsletter</t>
  </si>
  <si>
    <t xml:space="preserve">Location</t>
  </si>
  <si>
    <t xml:space="preserve">Italy</t>
  </si>
  <si>
    <t xml:space="preserve">Tommaso Maschera</t>
  </si>
  <si>
    <t xml:space="preserve">Plug and Play Marketing Communications</t>
  </si>
  <si>
    <t xml:space="preserve">2026-09-17</t>
  </si>
  <si>
    <t xml:space="preserve">~1% of list unsubscribes each send; low clicks.</t>
  </si>
  <si>
    <t xml:space="preserve">UK Newsletter</t>
  </si>
  <si>
    <t xml:space="preserve">UK</t>
  </si>
  <si>
    <t xml:space="preserve">Kieran Borrett</t>
  </si>
  <si>
    <t xml:space="preserve">2026-09-30</t>
  </si>
  <si>
    <t xml:space="preserve">Texas Newsletter</t>
  </si>
  <si>
    <t xml:space="preserve">Texas</t>
  </si>
  <si>
    <t xml:space="preserve">Francis from Plug and Play</t>
  </si>
  <si>
    <t xml:space="preserve">Fintech &amp; AI Fund Insights</t>
  </si>
  <si>
    <t xml:space="preserve">Vertical</t>
  </si>
  <si>
    <t xml:space="preserve">Fintech</t>
  </si>
  <si>
    <t xml:space="preserve">Brooke Ballinger</t>
  </si>
  <si>
    <t xml:space="preserve">New (Edition 2 in Sep)</t>
  </si>
  <si>
    <t xml:space="preserve">2026-09-23</t>
  </si>
  <si>
    <t xml:space="preserve">New newsletter, 1.4% unsubscribed on edition 2 – check list source/consent.</t>
  </si>
  <si>
    <t xml:space="preserve">APAC Newsletter</t>
  </si>
  <si>
    <t xml:space="preserve">APAC</t>
  </si>
  <si>
    <t xml:space="preserve">Plug and Play APAC</t>
  </si>
  <si>
    <t xml:space="preserve">Startup Autobahn Monthly</t>
  </si>
  <si>
    <t xml:space="preserve">Program</t>
  </si>
  <si>
    <t xml:space="preserve">Startup Autobahn (Stuttgart)</t>
  </si>
  <si>
    <t xml:space="preserve">STARTUP AUTOBAHN powered by Plug and Play</t>
  </si>
  <si>
    <t xml:space="preserve">Startup Autobahn Communications</t>
  </si>
  <si>
    <t xml:space="preserve">2026-09-07</t>
  </si>
  <si>
    <t xml:space="preserve">Japan Newsletter</t>
  </si>
  <si>
    <t xml:space="preserve">Japan</t>
  </si>
  <si>
    <t xml:space="preserve">Plug and Play Japan</t>
  </si>
  <si>
    <t xml:space="preserve">Every 2 weeks</t>
  </si>
  <si>
    <t xml:space="preserve">Best performer. Own subscription type, consistent cadence.</t>
  </si>
  <si>
    <t xml:space="preserve">Central Asia &amp; Caucasus Latest News</t>
  </si>
  <si>
    <t xml:space="preserve">Central Asia &amp; Caucasus</t>
  </si>
  <si>
    <t xml:space="preserve">Sofi from Plug and Play Central Asia and Caucasus</t>
  </si>
  <si>
    <t xml:space="preserve">2026-09-04</t>
  </si>
  <si>
    <t xml:space="preserve">2.2% bounces – list needs cleaning.</t>
  </si>
  <si>
    <t xml:space="preserve">Seattle Community Newsletter</t>
  </si>
  <si>
    <t xml:space="preserve">Seattle</t>
  </si>
  <si>
    <t xml:space="preserve">Emmanuel Chan</t>
  </si>
  <si>
    <t xml:space="preserve">2026-09-01</t>
  </si>
  <si>
    <t xml:space="preserve">Indiana Medtech + Lifetech Newsletter</t>
  </si>
  <si>
    <t xml:space="preserve">Indiana</t>
  </si>
  <si>
    <t xml:space="preserve">Plug and Play Indiana</t>
  </si>
  <si>
    <t xml:space="preserve">2026-09-18</t>
  </si>
  <si>
    <t xml:space="preserve">Appears twice in HubSpot with identical stats.</t>
  </si>
  <si>
    <t xml:space="preserve">Türkiye Newsletter</t>
  </si>
  <si>
    <t xml:space="preserve">Türkiye</t>
  </si>
  <si>
    <t xml:space="preserve">Zeynep from Plug and Play</t>
  </si>
  <si>
    <t xml:space="preserve">2026-08-31</t>
  </si>
  <si>
    <t xml:space="preserve">Internal Newsletter</t>
  </si>
  <si>
    <t xml:space="preserve">Internal</t>
  </si>
  <si>
    <t xml:space="preserve">Sanam Amidi</t>
  </si>
  <si>
    <t xml:space="preserve">Internal Plug and Play Communications</t>
  </si>
  <si>
    <t xml:space="preserve">Foundation Newsletter</t>
  </si>
  <si>
    <t xml:space="preserve">Foundation</t>
  </si>
  <si>
    <t xml:space="preserve">Dominique Reese</t>
  </si>
  <si>
    <t xml:space="preserve">Plug and Play Foundation</t>
  </si>
  <si>
    <t xml:space="preserve">2026-08-18</t>
  </si>
  <si>
    <t xml:space="preserve">Low clicks and ~4% bounces – list needs cleaning.</t>
  </si>
  <si>
    <t xml:space="preserve">Startup Autobahn Alumni Newsletter</t>
  </si>
  <si>
    <t xml:space="preserve">2026-08-12</t>
  </si>
  <si>
    <t xml:space="preserve">Very low clicks (0.5%).</t>
  </si>
  <si>
    <t xml:space="preserve">Brand &amp; Retail (BRAM) Newsletter</t>
  </si>
  <si>
    <t xml:space="preserve">Brand &amp; Retail</t>
  </si>
  <si>
    <t xml:space="preserve">Plug and Play Brand and Retail</t>
  </si>
  <si>
    <t xml:space="preserve">Plug and Play Brand and Retail team, Plug and Play Information &amp; Services</t>
  </si>
  <si>
    <t xml:space="preserve">New (2 in Sep)</t>
  </si>
  <si>
    <t xml:space="preserve">Same newsletter sent under 2 different subscription types.</t>
  </si>
  <si>
    <t xml:space="preserve">Cyprus Latest News</t>
  </si>
  <si>
    <t xml:space="preserve">Cyprus</t>
  </si>
  <si>
    <t xml:space="preserve">Victoria from Plug and Play Cyprus</t>
  </si>
  <si>
    <t xml:space="preserve">Small send but 7.8% bounces and 1.9% unsubscribes.</t>
  </si>
  <si>
    <t xml:space="preserve">AgTech &amp; Animal Health Alumni/Mentor Newsletter</t>
  </si>
  <si>
    <t xml:space="preserve">AgTech</t>
  </si>
  <si>
    <t xml:space="preserve">Anne Gunden</t>
  </si>
  <si>
    <t xml:space="preserve">Quarterly</t>
  </si>
  <si>
    <t xml:space="preserve">2026-08-26</t>
  </si>
  <si>
    <t xml:space="preserve">Supply Chain (SLAM) Innovation Brief</t>
  </si>
  <si>
    <t xml:space="preserve">Supply Chain</t>
  </si>
  <si>
    <t xml:space="preserve">Plug and Play Supply Chain</t>
  </si>
  <si>
    <t xml:space="preserve">Plug and Play Information &amp; Services</t>
  </si>
  <si>
    <t xml:space="preserve">Recurring</t>
  </si>
  <si>
    <t xml:space="preserve">2026-09-08</t>
  </si>
  <si>
    <t xml:space="preserve">Mentor Newsletters (Minnesota Sustainability &amp; NMP)</t>
  </si>
  <si>
    <t xml:space="preserve">Minnesota</t>
  </si>
  <si>
    <t xml:space="preserve">Tabitha Mills</t>
  </si>
  <si>
    <t xml:space="preserve">Twice a year (H1/H2)</t>
  </si>
  <si>
    <t xml:space="preserve">2026-09-03</t>
  </si>
  <si>
    <t xml:space="preserve">UK Mobilise Monthly Update</t>
  </si>
  <si>
    <t xml:space="preserve">Adam McGuinness</t>
  </si>
  <si>
    <t xml:space="preserve">Plug and Play Events</t>
  </si>
  <si>
    <t xml:space="preserve">Shamrock Foods Monthly Signal (client)</t>
  </si>
  <si>
    <t xml:space="preserve">2026-09-14</t>
  </si>
  <si>
    <t xml:space="preserve">Client report to 7 people – not really a newsletter.</t>
  </si>
  <si>
    <t xml:space="preserve">Other email types in the same period</t>
  </si>
  <si>
    <t xml:space="preserve">Category</t>
  </si>
  <si>
    <t xml:space="preserve">Emails</t>
  </si>
  <si>
    <t xml:space="preserve">Delivered</t>
  </si>
  <si>
    <t xml:space="preserve">Recurring newsletter</t>
  </si>
  <si>
    <t xml:space="preserve">Event / invitation</t>
  </si>
  <si>
    <t xml:space="preserve">Campaign / outreach</t>
  </si>
  <si>
    <t xml:space="preserve">Program communication</t>
  </si>
  <si>
    <t xml:space="preserve">'Campaign / outreach' includes the large imported-list sends (Sansan, Corporate Survey, Alibaba) – they have the worst unsubscribe and bounce rates.</t>
  </si>
  <si>
    <t xml:space="preserve">Quarterly newsletters seen so far: AgTech &amp; Animal Health Alumni/Mentor (Q3). Mentor newsletters are twice a year. The full 12-month export is needed to see all quarterly ones (see 'Notes &amp; Data Gaps').</t>
  </si>
  <si>
    <t xml:space="preserve">Location Audit – who uses HubSpot email, and how</t>
  </si>
  <si>
    <t xml:space="preserve">Combines HubSpot teams, subscription types and the emails sent 6 Aug – 30 Sep 2026. 'No sends seen' only means nothing in that 8-week window – confirm with the full export.</t>
  </si>
  <si>
    <t xml:space="preserve">Location / unit</t>
  </si>
  <si>
    <t xml:space="preserve">HubSpot team (users)</t>
  </si>
  <si>
    <t xml:space="preserve">Own subscription type?</t>
  </si>
  <si>
    <t xml:space="preserve">Emails sent (Aug–Sep)</t>
  </si>
  <si>
    <t xml:space="preserve">Recurring newsletter?</t>
  </si>
  <si>
    <t xml:space="preserve">Comment</t>
  </si>
  <si>
    <t xml:space="preserve">HQ / Global</t>
  </si>
  <si>
    <t xml:space="preserve">Silicon Valley (2), Building Ops SV (2), Marketing (18)</t>
  </si>
  <si>
    <t xml:space="preserve">Active (Global Newsletter, Events)</t>
  </si>
  <si>
    <t xml:space="preserve">Global Newsletter (monthly) + weekly building events</t>
  </si>
  <si>
    <t xml:space="preserve">Japan (32)</t>
  </si>
  <si>
    <t xml:space="preserve">Active</t>
  </si>
  <si>
    <t xml:space="preserve">Model setup: own type, every 2 weeks</t>
  </si>
  <si>
    <t xml:space="preserve">Region</t>
  </si>
  <si>
    <t xml:space="preserve">APAC (5)</t>
  </si>
  <si>
    <t xml:space="preserve">London (3)</t>
  </si>
  <si>
    <t xml:space="preserve">Archived – uses Marketing Communications</t>
  </si>
  <si>
    <t xml:space="preserve">Italy (3), ITALY BD (2)</t>
  </si>
  <si>
    <t xml:space="preserve">Archived (x2) – uses Marketing Communications</t>
  </si>
  <si>
    <t xml:space="preserve">Two archived 'Plug and Play Italy' types</t>
  </si>
  <si>
    <t xml:space="preserve">No team</t>
  </si>
  <si>
    <t xml:space="preserve">Archived (Texas, Cedar Park) – uses Marketing Communications</t>
  </si>
  <si>
    <t xml:space="preserve">Istanbul (1)</t>
  </si>
  <si>
    <t xml:space="preserve">Kazakhstan (1)</t>
  </si>
  <si>
    <t xml:space="preserve">Bounce rate above 2%</t>
  </si>
  <si>
    <t xml:space="preserve">None – uses Marketing Communications</t>
  </si>
  <si>
    <t xml:space="preserve">High bounces on small list</t>
  </si>
  <si>
    <t xml:space="preserve">Finland</t>
  </si>
  <si>
    <t xml:space="preserve">Nordics (0 users)</t>
  </si>
  <si>
    <t xml:space="preserve">None</t>
  </si>
  <si>
    <t xml:space="preserve">Event/program emails only (THF)</t>
  </si>
  <si>
    <t xml:space="preserve">France</t>
  </si>
  <si>
    <t xml:space="preserve">Paris (0 users)</t>
  </si>
  <si>
    <t xml:space="preserve">Alibaba campaign emails</t>
  </si>
  <si>
    <t xml:space="preserve">Warsaw</t>
  </si>
  <si>
    <t xml:space="preserve">Medtech Expo emails</t>
  </si>
  <si>
    <t xml:space="preserve">Middle East</t>
  </si>
  <si>
    <t xml:space="preserve">Abu Dhabi (3), Saudi (1), Egypt (1)</t>
  </si>
  <si>
    <t xml:space="preserve">Archived – uses Marketing Communications / Events</t>
  </si>
  <si>
    <t xml:space="preserve">Tirana</t>
  </si>
  <si>
    <t xml:space="preserve">Expo invitation</t>
  </si>
  <si>
    <t xml:space="preserve">None – uses Global Newsletter</t>
  </si>
  <si>
    <t xml:space="preserve">Mentor newsletters, General Mills program</t>
  </si>
  <si>
    <t xml:space="preserve">Startup Autobahn (4)</t>
  </si>
  <si>
    <t xml:space="preserve">Los Angeles</t>
  </si>
  <si>
    <t xml:space="preserve">LA (3), Media &amp; Advertising</t>
  </si>
  <si>
    <t xml:space="preserve">Active (but no sends seen)</t>
  </si>
  <si>
    <t xml:space="preserve">Active type with no recent use</t>
  </si>
  <si>
    <t xml:space="preserve">Hamburg</t>
  </si>
  <si>
    <t xml:space="preserve">Hamburg (3)</t>
  </si>
  <si>
    <t xml:space="preserve">Archived</t>
  </si>
  <si>
    <t xml:space="preserve">Munich</t>
  </si>
  <si>
    <t xml:space="preserve">munich (1)</t>
  </si>
  <si>
    <t xml:space="preserve">Frankfurt</t>
  </si>
  <si>
    <t xml:space="preserve">Frankfurt (1)</t>
  </si>
  <si>
    <t xml:space="preserve">Spain (Barcelona / Valencia)</t>
  </si>
  <si>
    <t xml:space="preserve">Barcelona (3), Spain (1), Borja's team – VLC (6)</t>
  </si>
  <si>
    <t xml:space="preserve">Alberta</t>
  </si>
  <si>
    <t xml:space="preserve">Alberta (3)</t>
  </si>
  <si>
    <t xml:space="preserve">Arizona</t>
  </si>
  <si>
    <t xml:space="preserve">Arizona (5)</t>
  </si>
  <si>
    <t xml:space="preserve">Supply Chain team sends 'SLAM' brief</t>
  </si>
  <si>
    <t xml:space="preserve">Amsterdam</t>
  </si>
  <si>
    <t xml:space="preserve">Amsterdam (1)</t>
  </si>
  <si>
    <t xml:space="preserve">Cleveland</t>
  </si>
  <si>
    <t xml:space="preserve">Cleveland Team (2)</t>
  </si>
  <si>
    <t xml:space="preserve">Toronto / Canada</t>
  </si>
  <si>
    <t xml:space="preserve">Toronto (1)</t>
  </si>
  <si>
    <t xml:space="preserve">Archived (Canada)</t>
  </si>
  <si>
    <t xml:space="preserve">South Africa / Africa</t>
  </si>
  <si>
    <t xml:space="preserve">South Africa (1)</t>
  </si>
  <si>
    <t xml:space="preserve">Archived (Africa)</t>
  </si>
  <si>
    <t xml:space="preserve">Brazil / LATAM</t>
  </si>
  <si>
    <t xml:space="preserve">Brazil (0), LATAM (0)</t>
  </si>
  <si>
    <t xml:space="preserve">Archived (Brazil)</t>
  </si>
  <si>
    <t xml:space="preserve">Savannah</t>
  </si>
  <si>
    <t xml:space="preserve">Savannah (0)</t>
  </si>
  <si>
    <t xml:space="preserve">Basel / Switzerland</t>
  </si>
  <si>
    <t xml:space="preserve">Basel (0)</t>
  </si>
  <si>
    <t xml:space="preserve">Archived (Switzerland)</t>
  </si>
  <si>
    <t xml:space="preserve">Good = sending, with its own subscription type. Watch = sending, but under a shared type (contacts can't opt out of just this location). No sends seen = team exists in HubSpot but no email in Aug–Sep.</t>
  </si>
  <si>
    <t xml:space="preserve">No email in HubSpot has a team assigned, and Business Units/Brands are not used – so HubSpot can't report by location today. Locations above were matched by email name and sender.</t>
  </si>
  <si>
    <t xml:space="preserve">Vertical Newsletters – performance audit</t>
  </si>
  <si>
    <t xml:space="preserve">Industry-focused newsletters. Live numbers are linked from the 'Newsletter Map' tab (green).</t>
  </si>
  <si>
    <t xml:space="preserve">Avg. delivered</t>
  </si>
  <si>
    <t xml:space="preserve">Biggest vertical list. Click rate 0.7% and 1.4% unsubscribed – rethink content &amp; audience.</t>
  </si>
  <si>
    <t xml:space="preserve">Health vertical. Low clicks; sent under the shared Marketing Communications type.</t>
  </si>
  <si>
    <t xml:space="preserve">New, small and engaged. Pick one subscription type.</t>
  </si>
  <si>
    <t xml:space="preserve">Quarterly, alumni/mentor audience.</t>
  </si>
  <si>
    <t xml:space="preserve">Small but engaged (9% clicks).</t>
  </si>
  <si>
    <t xml:space="preserve">Client deliverable, not a newsletter.</t>
  </si>
  <si>
    <t xml:space="preserve">Archived vertical subscription types (no longer used)</t>
  </si>
  <si>
    <t xml:space="preserve">Aerospace &amp; Defence Newsletter</t>
  </si>
  <si>
    <t xml:space="preserve">Deeptech Newsletter</t>
  </si>
  <si>
    <t xml:space="preserve">Enterprise &amp; AI Newsletter</t>
  </si>
  <si>
    <t xml:space="preserve">Financial Services Newsletter</t>
  </si>
  <si>
    <t xml:space="preserve">Health Newsletter</t>
  </si>
  <si>
    <t xml:space="preserve">Industry Newsletters</t>
  </si>
  <si>
    <t xml:space="preserve">Retail &amp; Media Newsletter</t>
  </si>
  <si>
    <t xml:space="preserve">Semiconductors Newsletter</t>
  </si>
  <si>
    <t xml:space="preserve">Smart Cities Newsletter</t>
  </si>
  <si>
    <t xml:space="preserve">Sportstech Newsletter</t>
  </si>
  <si>
    <t xml:space="preserve">Supply Chain and Maritime Newsletter</t>
  </si>
  <si>
    <t xml:space="preserve">Sustainability Newsletter</t>
  </si>
  <si>
    <t xml:space="preserve">Travel Newsletter</t>
  </si>
  <si>
    <t xml:space="preserve">Agtech and Animal Health Newsletter</t>
  </si>
  <si>
    <t xml:space="preserve">Plug and Play Lifetech</t>
  </si>
  <si>
    <t xml:space="preserve">Plug and Play Mobility</t>
  </si>
  <si>
    <t xml:space="preserve">17 vertical newsletter types are archived, and only Fintech &amp; AI, Brand &amp; Retail and Travel &amp; Hospitality have an active vertical type. Most industry content now goes out through location newsletters or one-off emails.</t>
  </si>
  <si>
    <t xml:space="preserve">Suggestion: rather than reviving 13+ separate newsletters, one monthly 'Industry Insights' email with sections per vertical (HubSpot smart content), and readers choose their verticals in the preference centre.</t>
  </si>
  <si>
    <t xml:space="preserve">Contacts &amp; HubSpot Setup</t>
  </si>
  <si>
    <t xml:space="preserve">1. Contact health (counts on 8 Oct 2026)</t>
  </si>
  <si>
    <t xml:space="preserve">Measure</t>
  </si>
  <si>
    <t xml:space="preserve">Contacts</t>
  </si>
  <si>
    <t xml:space="preserve">% of marketing contacts</t>
  </si>
  <si>
    <t xml:space="preserve">All contacts in HubSpot</t>
  </si>
  <si>
    <t xml:space="preserve">Marketing contacts (billed)</t>
  </si>
  <si>
    <t xml:space="preserve">Marketing contact tier (limit)</t>
  </si>
  <si>
    <t xml:space="preserve">Next billing update: 31 Oct 2026.</t>
  </si>
  <si>
    <t xml:space="preserve">Marketing contacts with no open or click in 12 months</t>
  </si>
  <si>
    <t xml:space="preserve">Includes never-engaged contacts.</t>
  </si>
  <si>
    <t xml:space="preserve">Marketing contacts that have never opened a marketing email</t>
  </si>
  <si>
    <t xml:space="preserve">Strongest candidates for non-marketing.</t>
  </si>
  <si>
    <t xml:space="preserve">Contacts who clicked in the last 12 months</t>
  </si>
  <si>
    <t xml:space="preserve">The truly active audience.</t>
  </si>
  <si>
    <t xml:space="preserve">Contacts who clicked in the last 6 months</t>
  </si>
  <si>
    <t xml:space="preserve">Contacts with a bounce recorded</t>
  </si>
  <si>
    <t xml:space="preserve">All contacts (hard bounce reason or bounced emails known).</t>
  </si>
  <si>
    <t xml:space="preserve">Unsubscribed from all email</t>
  </si>
  <si>
    <t xml:space="preserve">All contacts.</t>
  </si>
  <si>
    <t xml:space="preserve">Already scheduled to become non-marketing</t>
  </si>
  <si>
    <t xml:space="preserve">Before 31 Oct 2026.</t>
  </si>
  <si>
    <t xml:space="preserve">Marketing contacts engaged in last 12 months (opened or clicked)</t>
  </si>
  <si>
    <t xml:space="preserve">Only ~14% of the billed audience engages.</t>
  </si>
  <si>
    <t xml:space="preserve">2. Key settings (Settings › Marketing › Email › Subscriptions)</t>
  </si>
  <si>
    <t xml:space="preserve">Setting</t>
  </si>
  <si>
    <t xml:space="preserve">Current</t>
  </si>
  <si>
    <t xml:space="preserve">Recommended</t>
  </si>
  <si>
    <t xml:space="preserve">Don't send to unengaged contacts</t>
  </si>
  <si>
    <t xml:space="preserve">ON</t>
  </si>
  <si>
    <t xml:space="preserve">Good</t>
  </si>
  <si>
    <t xml:space="preserve">Unsubscribe feedback survey</t>
  </si>
  <si>
    <t xml:space="preserve">OFF</t>
  </si>
  <si>
    <t xml:space="preserve">ON – learn why people leave</t>
  </si>
  <si>
    <t xml:space="preserve">Double opt-in (new subscribers)</t>
  </si>
  <si>
    <t xml:space="preserve">Not checked</t>
  </si>
  <si>
    <t xml:space="preserve">ON for EU locations (HubSpot recommends it)</t>
  </si>
  <si>
    <t xml:space="preserve">Watch</t>
  </si>
  <si>
    <t xml:space="preserve">Resubscription email</t>
  </si>
  <si>
    <t xml:space="preserve">ON – lets people opt back in</t>
  </si>
  <si>
    <t xml:space="preserve">Business Units / Brands</t>
  </si>
  <si>
    <t xml:space="preserve">Not used</t>
  </si>
  <si>
    <t xml:space="preserve">Optional – only if locations need separate branding</t>
  </si>
  <si>
    <t xml:space="preserve">Teams assigned to emails</t>
  </si>
  <si>
    <t xml:space="preserve">None of 1,042 emails</t>
  </si>
  <si>
    <t xml:space="preserve">Assign a team to every email (reporting by location)</t>
  </si>
  <si>
    <t xml:space="preserve">3. Subscription types</t>
  </si>
  <si>
    <t xml:space="preserve">Count</t>
  </si>
  <si>
    <t xml:space="preserve">Total subscription types</t>
  </si>
  <si>
    <t xml:space="preserve">All on the default account – no business units.</t>
  </si>
  <si>
    <t xml:space="preserve">Japan, APAC, Global Newsletter, Events, Marketing Communications, Information &amp; Services, Foundation, Fintech &amp; AI, Brand &amp; Retail, Travel &amp; Hospitality SV, Los Angeles, Startup Autobahn, Internal, One to One.</t>
  </si>
  <si>
    <t xml:space="preserve">Includes 30+ old location types (UK, Italy, Texas, Seattle…) – those locations now send under 'Marketing Communications'.</t>
  </si>
  <si>
    <t xml:space="preserve">4. Workflows that send emails</t>
  </si>
  <si>
    <t xml:space="preserve">Workflows with a 'Send email' action</t>
  </si>
  <si>
    <t xml:space="preserve">Switched ON</t>
  </si>
  <si>
    <t xml:space="preserve">Switched OFF</t>
  </si>
  <si>
    <t xml:space="preserve">ON but not updated since before 2024</t>
  </si>
  <si>
    <t xml:space="preserve">May send outdated content (e.g. 5 COVID-era ebook workflows still ON).</t>
  </si>
  <si>
    <t xml:space="preserve">ON with contacts currently enrolled</t>
  </si>
  <si>
    <t xml:space="preserve">Normal for one-email form follow-ups; 'LNS - RFI - 2025' holds 4,742.</t>
  </si>
  <si>
    <t xml:space="preserve">Recommendations – what to do, in order</t>
  </si>
  <si>
    <t xml:space="preserve">Quick win = 0–1 month · Medium = 1–3 months · Bigger = 3+ months. Items marked 'Admin' need a HubSpot admin.</t>
  </si>
  <si>
    <t xml:space="preserve">#</t>
  </si>
  <si>
    <t xml:space="preserve">Priority</t>
  </si>
  <si>
    <t xml:space="preserve">Area</t>
  </si>
  <si>
    <t xml:space="preserve">What we found</t>
  </si>
  <si>
    <t xml:space="preserve">What to do</t>
  </si>
  <si>
    <t xml:space="preserve">Why it matters</t>
  </si>
  <si>
    <t xml:space="preserve">Quick win</t>
  </si>
  <si>
    <t xml:space="preserve">List quality</t>
  </si>
  <si>
    <t xml:space="preserve">3 imported-list sends caused 52% of unsubscribes and 79% of bounces in Aug–Sep.</t>
  </si>
  <si>
    <t xml:space="preserve">No send to an imported list over ~1,000 contacts without (1) email validation, (2) confirmed consent/legal basis, (3) a small test batch first.</t>
  </si>
  <si>
    <t xml:space="preserve">Bounces and unsubscribes are what dropped the health score to 3/10.</t>
  </si>
  <si>
    <t xml:space="preserve">Insight</t>
  </si>
  <si>
    <t xml:space="preserve">Unsubscribe feedback survey is OFF, so 'unsubscribe reasons' is empty.</t>
  </si>
  <si>
    <t xml:space="preserve">Turn the survey ON (Admin).</t>
  </si>
  <si>
    <t xml:space="preserve">Tells us if people leave because of frequency, relevance or never signing up.</t>
  </si>
  <si>
    <t xml:space="preserve">Cost &amp; deliverability</t>
  </si>
  <si>
    <t xml:space="preserve">433,657 marketing contacts have never opened an email; 508,812 haven't engaged in 12 months. Tier is 93.7% used.</t>
  </si>
  <si>
    <t xml:space="preserve">Set never-engaged contacts older than 12 months to non-marketing, starting with hard-bounced ones (Admin, check with manager first).</t>
  </si>
  <si>
    <t xml:space="preserve">Lower HubSpot bill and better inbox placement. Avoids moving to the next tier.</t>
  </si>
  <si>
    <t xml:space="preserve">Measurement</t>
  </si>
  <si>
    <t xml:space="preserve">Open rate is inflated (54% of opens from bots / Apple, with 0 clicks).</t>
  </si>
  <si>
    <t xml:space="preserve">Report click rate and unsubscribe rate as the main KPIs in a simple monthly dashboard.</t>
  </si>
  <si>
    <t xml:space="preserve">Decisions based on real engagement.</t>
  </si>
  <si>
    <t xml:space="preserve">Workflows</t>
  </si>
  <si>
    <t xml:space="preserve">65 workflows are ON but not updated since before 2024 (incl. COVID-era ebooks).</t>
  </si>
  <si>
    <t xml:space="preserve">Review with owners and switch off what's outdated.</t>
  </si>
  <si>
    <t xml:space="preserve">Avoids sending old content and confusing contacts.</t>
  </si>
  <si>
    <t xml:space="preserve">Medium</t>
  </si>
  <si>
    <t xml:space="preserve">Structure</t>
  </si>
  <si>
    <t xml:space="preserve">8+ location newsletters share the 'Marketing Communications' subscription type; BRAM uses 2 types.</t>
  </si>
  <si>
    <t xml:space="preserve">Create one active subscription type per location/vertical newsletter, with clear names (e.g. 'Plug and Play UK – Monthly Newsletter').</t>
  </si>
  <si>
    <t xml:space="preserve">People can leave one newsletter without leaving all PnP marketing – fewer full unsubscribes.</t>
  </si>
  <si>
    <t xml:space="preserve">Reporting</t>
  </si>
  <si>
    <t xml:space="preserve">No team is assigned to any email; names don't follow a pattern.</t>
  </si>
  <si>
    <t xml:space="preserve">Naming convention [Location]_[Type]_[YYYY-MM] and assign a team to every email.</t>
  </si>
  <si>
    <t xml:space="preserve">Location reporting directly in HubSpot.</t>
  </si>
  <si>
    <t xml:space="preserve">Re-engagement</t>
  </si>
  <si>
    <t xml:space="preserve">Only ~20.5k contacts clicked in the last 12 months.</t>
  </si>
  <si>
    <t xml:space="preserve">Sunset workflow: no click in 6 months → 1 re-engagement email → no response in 30 days → non-marketing. Build on the existing 'GNL reactivation campaign' workflow.</t>
  </si>
  <si>
    <t xml:space="preserve">Keeps the list healthy automatically.</t>
  </si>
  <si>
    <t xml:space="preserve">Governance</t>
  </si>
  <si>
    <t xml:space="preserve">Many senders and locations, no shared view of who sends what.</t>
  </si>
  <si>
    <t xml:space="preserve">Shared newsletter calendar with one owner per newsletter (start from 'Newsletter Map'). Consider a frequency cap (e.g. max 4 marketing emails per contact per month).</t>
  </si>
  <si>
    <t xml:space="preserve">Stops the same contact getting several PnP emails in a week.</t>
  </si>
  <si>
    <t xml:space="preserve">Content</t>
  </si>
  <si>
    <t xml:space="preserve">UK, Italy and Fintech &amp; AI lose ~1–1.4% per send with 0.7–1.3% clicks.</t>
  </si>
  <si>
    <t xml:space="preserve">Shorter emails, one main call-to-action, separate startup vs. corporate content; A/B test subject lines.</t>
  </si>
  <si>
    <t xml:space="preserve">Copy what works in Japan and the small targeted lists.</t>
  </si>
  <si>
    <t xml:space="preserve">Compliance</t>
  </si>
  <si>
    <t xml:space="preserve">EU locations send to large lists; HubSpot recommends double opt-in.</t>
  </si>
  <si>
    <t xml:space="preserve">Double opt-in for new EU subscribers; check consent for imported lists (GDPR).</t>
  </si>
  <si>
    <t xml:space="preserve">Protects deliverability and compliance.</t>
  </si>
  <si>
    <t xml:space="preserve">Bigger</t>
  </si>
  <si>
    <t xml:space="preserve">Preference centre</t>
  </si>
  <si>
    <t xml:space="preserve">Contacts can't choose topics or locations.</t>
  </si>
  <si>
    <t xml:space="preserve">One preference centre: choose locations, verticals and frequency; add a welcome email series for new contacts.</t>
  </si>
  <si>
    <t xml:space="preserve">People choose fewer emails instead of leaving.</t>
  </si>
  <si>
    <t xml:space="preserve">Vertical newsletters</t>
  </si>
  <si>
    <t xml:space="preserve">17 vertical types archived; only 3 active.</t>
  </si>
  <si>
    <t xml:space="preserve">One monthly 'Industry Insights' newsletter with sections per vertical (smart content) rather than many separate ones.</t>
  </si>
  <si>
    <t xml:space="preserve">Easier to run, keeps vertical content alive.</t>
  </si>
  <si>
    <t xml:space="preserve">Email workflows still ON and last updated before 2024</t>
  </si>
  <si>
    <t xml:space="preserve">Source: Automation › Workflows, filtered to workflows with a "Send email" action (read-only, 8 Oct 2026). These send only when triggered (e.g. an old form is filled in).</t>
  </si>
  <si>
    <t xml:space="preserve">Workflow</t>
  </si>
  <si>
    <t xml:space="preserve">Currently enrolled</t>
  </si>
  <si>
    <t xml:space="preserve">Last updated</t>
  </si>
  <si>
    <t xml:space="preserve">FIN_Insights_Report_2020</t>
  </si>
  <si>
    <t xml:space="preserve">On</t>
  </si>
  <si>
    <t xml:space="preserve">2020-10-05</t>
  </si>
  <si>
    <t xml:space="preserve">IoT_Case Study_Kyocera &amp; LO3</t>
  </si>
  <si>
    <t xml:space="preserve">2021-02-16</t>
  </si>
  <si>
    <t xml:space="preserve">INS_Case Study_EMC &amp; Matterport</t>
  </si>
  <si>
    <t xml:space="preserve">TVL_Ebook_The Future of Travel</t>
  </si>
  <si>
    <t xml:space="preserve">E20_Case Study_WTW and Syndio</t>
  </si>
  <si>
    <t xml:space="preserve">FIN_Ebook_Frankfurt Understanding Changing EU Regulations</t>
  </si>
  <si>
    <t xml:space="preserve">FIN_Case Study_Us Bank and Socure</t>
  </si>
  <si>
    <t xml:space="preserve">CHA_Ebook Guide Email Download</t>
  </si>
  <si>
    <t xml:space="preserve">SMC_Ebook_Reopening Manufacturing Facilities</t>
  </si>
  <si>
    <t xml:space="preserve">2021-02-17</t>
  </si>
  <si>
    <t xml:space="preserve">FOO_Ebook_Agtech_Trends_2020</t>
  </si>
  <si>
    <t xml:space="preserve">HTH_Ebook_Future of Health</t>
  </si>
  <si>
    <t xml:space="preserve">SMC_Ebook_Making Cities Smarter</t>
  </si>
  <si>
    <t xml:space="preserve">INS_Report_New Risks &amp; Products</t>
  </si>
  <si>
    <t xml:space="preserve">BNR_Ebook_Technologies shaping Retail</t>
  </si>
  <si>
    <t xml:space="preserve">IoT_Case Study_Caban System &amp; Ooredoo</t>
  </si>
  <si>
    <t xml:space="preserve">MOB_Case Study_Koito &amp; Cepton</t>
  </si>
  <si>
    <t xml:space="preserve">IoT_Case Study_Tatsuta &amp; ACI</t>
  </si>
  <si>
    <t xml:space="preserve">BNR_Case Study_NEC, WalkOut &amp; Wheel.me</t>
  </si>
  <si>
    <t xml:space="preserve">HTH_Ebook_Top Health Startups fighting COVID-19</t>
  </si>
  <si>
    <t xml:space="preserve">FIN_Report_Fintech Tech Trend Report</t>
  </si>
  <si>
    <t xml:space="preserve">MOB_Case Study_Koito &amp; Relativity</t>
  </si>
  <si>
    <t xml:space="preserve">2021-02-22</t>
  </si>
  <si>
    <t xml:space="preserve">Brazil newsletter sign-up form (August 26, 2020 6:47:55 PM) : sequential email workflow</t>
  </si>
  <si>
    <t xml:space="preserve">2021-03-11</t>
  </si>
  <si>
    <t xml:space="preserve">HAM_Expo 3_Recording_Form: sequential email workflow</t>
  </si>
  <si>
    <t xml:space="preserve">2021-11-26</t>
  </si>
  <si>
    <t xml:space="preserve">MENA_Ebook_Going Global</t>
  </si>
  <si>
    <t xml:space="preserve">2022-04-30</t>
  </si>
  <si>
    <t xml:space="preserve">Internal workflow</t>
  </si>
  <si>
    <t xml:space="preserve">2022-06-08</t>
  </si>
  <si>
    <t xml:space="preserve">RFI - Web - General RFI form : sequential email workflow</t>
  </si>
  <si>
    <t xml:space="preserve">2022-06-13</t>
  </si>
  <si>
    <t xml:space="preserve">Send a follow-up email after form submission</t>
  </si>
  <si>
    <t xml:space="preserve">V0_Mentors Applications_BRA Batch#2_FINAL: sequential email workflow</t>
  </si>
  <si>
    <t xml:space="preserve">JAP_Contact From_SF23 Startups_Batch Applicatio</t>
  </si>
  <si>
    <t xml:space="preserve">2022-12-27</t>
  </si>
  <si>
    <t xml:space="preserve">JAP_Contact From_WS23 Startups_Batch Application</t>
  </si>
  <si>
    <t xml:space="preserve">JAP_Contact From_SC Batch 4 Startups_Batch Application</t>
  </si>
  <si>
    <t xml:space="preserve">JAP_Contact From_AEPW Startups_Batch Application</t>
  </si>
  <si>
    <t xml:space="preserve">MVA_Startup Application Ext Alert + Internal Data</t>
  </si>
  <si>
    <t xml:space="preserve">FOO_Ebook_Foodtech in Europe</t>
  </si>
  <si>
    <t xml:space="preserve">TVL_Ebook_Tackling Climate Change</t>
  </si>
  <si>
    <t xml:space="preserve">JAP_Contact From_Startups_Batch Application</t>
  </si>
  <si>
    <t xml:space="preserve">IOT_Case Study_Ooredoo &amp; Cerebri AI</t>
  </si>
  <si>
    <t xml:space="preserve">FIN_Case Study_Aareal &amp; Plug and Play</t>
  </si>
  <si>
    <t xml:space="preserve">SMC_Ebook_Rethinking Smart Cities after COVID-19</t>
  </si>
  <si>
    <t xml:space="preserve">IOT_Case Study_Rheem &amp; Atollogy</t>
  </si>
  <si>
    <t xml:space="preserve">SMC_Case Study_Thaioil &amp; EcoWorth</t>
  </si>
  <si>
    <t xml:space="preserve">JAP_Contact From_Media</t>
  </si>
  <si>
    <t xml:space="preserve">MOB_Case Study_BASF Motherson and Porsche</t>
  </si>
  <si>
    <t xml:space="preserve">2023-02-06</t>
  </si>
  <si>
    <t xml:space="preserve">TVL_Ebook_Rebooting Travel after COVID-19</t>
  </si>
  <si>
    <t xml:space="preserve">2023-06-29</t>
  </si>
  <si>
    <t xml:space="preserve">PNP_World After COVID_Ebook Download</t>
  </si>
  <si>
    <t xml:space="preserve">PNP_Case Study_Baloise &amp; Automation Hero</t>
  </si>
  <si>
    <t xml:space="preserve">MOB_Case Study_Schaeffler &amp; Atheer</t>
  </si>
  <si>
    <t xml:space="preserve">MOB_Case Study_Suzuki &amp; CommerceAI</t>
  </si>
  <si>
    <t xml:space="preserve">EGY_Case Study_Simply Energy &amp; Sapient</t>
  </si>
  <si>
    <t xml:space="preserve">FIN_Case Study_Raiffeisen Bank &amp; Plug and Play</t>
  </si>
  <si>
    <t xml:space="preserve">SMC_Case Study_Vienna Airport &amp; Bespoke</t>
  </si>
  <si>
    <t xml:space="preserve">SPC_Case Study_DSV &amp; Tive</t>
  </si>
  <si>
    <t xml:space="preserve">2023-07-26</t>
  </si>
  <si>
    <t xml:space="preserve">JAP_Contact From_Corporates</t>
  </si>
  <si>
    <t xml:space="preserve">2023-08-09</t>
  </si>
  <si>
    <t xml:space="preserve">LG Chem \| send auto reply</t>
  </si>
  <si>
    <t xml:space="preserve">2023-08-21</t>
  </si>
  <si>
    <t xml:space="preserve">IA - CDW - MOB - Case Study - The Success Story of Stellantis and Miles</t>
  </si>
  <si>
    <t xml:space="preserve">2023-10-11</t>
  </si>
  <si>
    <t xml:space="preserve">IA - CDW - JPN -Ebook - Japan Insurtech Report 2022</t>
  </si>
  <si>
    <t xml:space="preserve">IA - CDW - AGT - Case Study - The Success Story of Soiltech Wireless &amp; Grand Farm</t>
  </si>
  <si>
    <t xml:space="preserve">IA - CDW - CHN - Ebook - The Innovation Ecosystem in China</t>
  </si>
  <si>
    <t xml:space="preserve">IA - CDW - SMC - Case Study - The Success Story of Kajima and Kaarta</t>
  </si>
  <si>
    <t xml:space="preserve">IA - CDW - INS - Ebook - Proptech and Its Applications in Insurance</t>
  </si>
  <si>
    <t xml:space="preserve">IA - CDW - SPC - Case Study - The Success Story of DB Schenker and Avatour</t>
  </si>
  <si>
    <t xml:space="preserve">EXPO2024 Newsletter Signup (Automated Reply &amp; Added to Newsletter Campaign List)</t>
  </si>
  <si>
    <t xml:space="preserve">2023-11-17</t>
  </si>
  <si>
    <t xml:space="preserve">IA - CDW - SMC - Ebook - Driving Energy Efficiency in Smart Cities</t>
  </si>
  <si>
    <t xml:space="preserve">2023-11-27</t>
  </si>
  <si>
    <t xml:space="preserve">Sent emails – latest 100 (6 Aug – 30 Sep 2026)</t>
  </si>
  <si>
    <t xml:space="preserve">Source: HubSpot Marketing Email &gt; Manage (read-only pull, 8 Oct 2026). Rates are calculated from the counts. 'Duplicate' rows are repeated records with identical stats and are left out of all totals.</t>
  </si>
  <si>
    <t xml:space="preserve">Email name</t>
  </si>
  <si>
    <t xml:space="preserve">Send date</t>
  </si>
  <si>
    <t xml:space="preserve">From name</t>
  </si>
  <si>
    <t xml:space="preserve">Subscription type</t>
  </si>
  <si>
    <t xml:space="preserve">Open rate</t>
  </si>
  <si>
    <t xml:space="preserve">Clicks (est.)</t>
  </si>
  <si>
    <t xml:space="preserve">Unsubs</t>
  </si>
  <si>
    <t xml:space="preserve">Bounces (hard+soft)</t>
  </si>
  <si>
    <t xml:space="preserve">Duplicate?</t>
  </si>
  <si>
    <t xml:space="preserve">2026 travel nov summit outreach (rest)</t>
  </si>
  <si>
    <t xml:space="preserve">Brandon Lee</t>
  </si>
  <si>
    <t xml:space="preserve">Plug and Play Travel and Hospitality Silicon Valley</t>
  </si>
  <si>
    <t xml:space="preserve">Travel &amp; Hospitality</t>
  </si>
  <si>
    <t xml:space="preserve">No</t>
  </si>
  <si>
    <t xml:space="preserve">September_Internal_Newsletter</t>
  </si>
  <si>
    <t xml:space="preserve">Physical AI</t>
  </si>
  <si>
    <t xml:space="preserve">Rick Hernandez</t>
  </si>
  <si>
    <t xml:space="preserve">UK September 2026 Newsletter</t>
  </si>
  <si>
    <t xml:space="preserve">JAP_Newsletter_Sept - 2026 - 30</t>
  </si>
  <si>
    <t xml:space="preserve">Tirana Expo Invitation (2) 2026</t>
  </si>
  <si>
    <t xml:space="preserve">Plug and Play Tirana</t>
  </si>
  <si>
    <t xml:space="preserve">October Events</t>
  </si>
  <si>
    <t xml:space="preserve">GNL_September 2026</t>
  </si>
  <si>
    <t xml:space="preserve">TEXAS September Newsletter</t>
  </si>
  <si>
    <t xml:space="preserve">BRAM Newsletter #2 - RetailClub Notes/ September 2026</t>
  </si>
  <si>
    <t xml:space="preserve">Plug and Play Brand and Retail team</t>
  </si>
  <si>
    <t xml:space="preserve">🚀 Plug and Play Cyprus_Expo News</t>
  </si>
  <si>
    <t xml:space="preserve">THF Launch_General (registered) (Sept 28)</t>
  </si>
  <si>
    <t xml:space="preserve">2026-09-28</t>
  </si>
  <si>
    <t xml:space="preserve">Plug and Play Finland</t>
  </si>
  <si>
    <t xml:space="preserve">Live Pitch Feedback Event: Mobility &amp; Advanced Hardware</t>
  </si>
  <si>
    <t xml:space="preserve">2026-09-25</t>
  </si>
  <si>
    <t xml:space="preserve">New email</t>
  </si>
  <si>
    <t xml:space="preserve">2026-09-24</t>
  </si>
  <si>
    <t xml:space="preserve">roza amrollah</t>
  </si>
  <si>
    <t xml:space="preserve">Summit for Tenants</t>
  </si>
  <si>
    <t xml:space="preserve">Fintech &amp; AI Insights - Edition 2 - September 23, 2026</t>
  </si>
  <si>
    <t xml:space="preserve">ME Innovation Day, Email 2</t>
  </si>
  <si>
    <t xml:space="preserve">Ava Milana</t>
  </si>
  <si>
    <t xml:space="preserve">Alignment 2026</t>
  </si>
  <si>
    <t xml:space="preserve">APAC_Newsletter_September_2026</t>
  </si>
  <si>
    <t xml:space="preserve">THF Launch_General (registered) (Sept 22)</t>
  </si>
  <si>
    <t xml:space="preserve">2026-09-22</t>
  </si>
  <si>
    <t xml:space="preserve">SMB Tech Connect</t>
  </si>
  <si>
    <t xml:space="preserve">Indiana Medtech + Lifetech Newsletter September 2026</t>
  </si>
  <si>
    <t xml:space="preserve">Yes</t>
  </si>
  <si>
    <t xml:space="preserve">JTP | JAP_Sansan List_Consent Mail_20260909</t>
  </si>
  <si>
    <t xml:space="preserve">2026 travel nov summit outreach</t>
  </si>
  <si>
    <t xml:space="preserve">Indiana Lifetech &amp; Medtech Alumni - Invitation to SV Summit November 2026</t>
  </si>
  <si>
    <t xml:space="preserve">Eileen Alberding</t>
  </si>
  <si>
    <t xml:space="preserve">Indiana Lifetech &amp; Medtech Mentors - Invitation to SV Summit November 2026 (Clone)</t>
  </si>
  <si>
    <t xml:space="preserve">ITA26_Newsletter September</t>
  </si>
  <si>
    <t xml:space="preserve">JAP_Newsletter - Sept - 2026 - 16</t>
  </si>
  <si>
    <t xml:space="preserve">2026-09-16</t>
  </si>
  <si>
    <t xml:space="preserve">KOCCA SG Biz Matching -1</t>
  </si>
  <si>
    <t xml:space="preserve">Tae Rin Ha</t>
  </si>
  <si>
    <t xml:space="preserve">THF_Selected (FORM - follow up)</t>
  </si>
  <si>
    <t xml:space="preserve">THF Launch_General (NOT registered) (Sept 15)</t>
  </si>
  <si>
    <t xml:space="preserve">2026-09-15</t>
  </si>
  <si>
    <t xml:space="preserve">THF Launch_General (registered) (Sept 15)</t>
  </si>
  <si>
    <t xml:space="preserve">THF_Selected (FORM)</t>
  </si>
  <si>
    <t xml:space="preserve">Reminder: Founders Lunch</t>
  </si>
  <si>
    <t xml:space="preserve">Shamrock Foods - Monthly Signal August 31 (v1)</t>
  </si>
  <si>
    <t xml:space="preserve">Selection Day &amp; Batch Kickoff Thank you email | General Mills</t>
  </si>
  <si>
    <t xml:space="preserve">Career, Rewired for the AI Age</t>
  </si>
  <si>
    <t xml:space="preserve">THF_Selected</t>
  </si>
  <si>
    <t xml:space="preserve">THF_Not Selected</t>
  </si>
  <si>
    <t xml:space="preserve">THF_Not Shortlisted</t>
  </si>
  <si>
    <t xml:space="preserve">CLONE Revised BRAM Newsletter #1 / September 2026 - Version A</t>
  </si>
  <si>
    <t xml:space="preserve">2026-09-11</t>
  </si>
  <si>
    <t xml:space="preserve">Revised BRAM Newsletter #1 / September 2026</t>
  </si>
  <si>
    <t xml:space="preserve">Pitch Deck Teardown</t>
  </si>
  <si>
    <t xml:space="preserve">2026-09-10</t>
  </si>
  <si>
    <t xml:space="preserve">Youth Social</t>
  </si>
  <si>
    <t xml:space="preserve">2026-09-09</t>
  </si>
  <si>
    <t xml:space="preserve">San Jose office Event</t>
  </si>
  <si>
    <t xml:space="preserve">Thank you - Medtech Expo attendees September 2026</t>
  </si>
  <si>
    <t xml:space="preserve">Plug and Play Warsaw - Medtech</t>
  </si>
  <si>
    <t xml:space="preserve">SLAM Innovation Brief 3 September 2026</t>
  </si>
  <si>
    <t xml:space="preserve">FR_ALIBABA COCREATE TIER 1 FINALISTS</t>
  </si>
  <si>
    <t xml:space="preserve">Philipp Hödl</t>
  </si>
  <si>
    <t xml:space="preserve">FR_ALIBABA COCREATE FINALISTS-GENERAL</t>
  </si>
  <si>
    <t xml:space="preserve">Your Monthly Dose of Tech Inspiration 🍁 Autumn is here!</t>
  </si>
  <si>
    <t xml:space="preserve">GoSentrix</t>
  </si>
  <si>
    <t xml:space="preserve">🚀 Plug and Play Cyprus_Latest News_09/26</t>
  </si>
  <si>
    <t xml:space="preserve">PNPCA_Latest News_ August_2026</t>
  </si>
  <si>
    <t xml:space="preserve">Minnesota Sustainability 2026 H2 Mentor Newsletter</t>
  </si>
  <si>
    <t xml:space="preserve">NMP 2026 H2 Mentor Newsletter</t>
  </si>
  <si>
    <t xml:space="preserve">UK - Mobilise Monthly Update (August)</t>
  </si>
  <si>
    <t xml:space="preserve">2026 Batch 22 Kickoff Newsletter</t>
  </si>
  <si>
    <t xml:space="preserve">2026-09-02</t>
  </si>
  <si>
    <t xml:space="preserve">Finovate Fall Blast (Final)</t>
  </si>
  <si>
    <t xml:space="preserve">YOU ARE INVITED: Innovation Connect</t>
  </si>
  <si>
    <t xml:space="preserve">FR_ALIBABA COCREATE UNI EMAIL FOLLOW UP</t>
  </si>
  <si>
    <t xml:space="preserve">Katya Rozhkova</t>
  </si>
  <si>
    <t xml:space="preserve">FR_ALIBABA COCREATE VC EMAIL FOLLOW UP</t>
  </si>
  <si>
    <t xml:space="preserve">UK August 2026 Newsletter</t>
  </si>
  <si>
    <t xml:space="preserve">JAP_Newsletter_Sept - 2026 - 2</t>
  </si>
  <si>
    <t xml:space="preserve">Seattle Community Newsletter (Aug 2026)</t>
  </si>
  <si>
    <t xml:space="preserve">Finovate Fall Blast</t>
  </si>
  <si>
    <t xml:space="preserve">August_Internal_Newsletter</t>
  </si>
  <si>
    <t xml:space="preserve">Plug and Play's 2026 Corporate Partnership Survey - Final Email</t>
  </si>
  <si>
    <t xml:space="preserve">Jacky Tsang</t>
  </si>
  <si>
    <t xml:space="preserve">Plug and Play Türkiye August 2026 Newsletter</t>
  </si>
  <si>
    <t xml:space="preserve">September Events (Clone)</t>
  </si>
  <si>
    <t xml:space="preserve">2026-08-28</t>
  </si>
  <si>
    <t xml:space="preserve">PNPCA_ISAA grant announcement</t>
  </si>
  <si>
    <t xml:space="preserve">Alfredo from Plug and Play</t>
  </si>
  <si>
    <t xml:space="preserve">ME Innovation Day, Email 1</t>
  </si>
  <si>
    <t xml:space="preserve">2026-08-27</t>
  </si>
  <si>
    <t xml:space="preserve">THF Launch_VIP (VC session) 2 invitation</t>
  </si>
  <si>
    <t xml:space="preserve">Christian Johansson</t>
  </si>
  <si>
    <t xml:space="preserve">THF Launch_Soft launch attendees - 2nd invite</t>
  </si>
  <si>
    <t xml:space="preserve">ICT Week 2026 invitations - Uzbekistan</t>
  </si>
  <si>
    <t xml:space="preserve">Alfredo Gómez</t>
  </si>
  <si>
    <t xml:space="preserve">TEXAS August Newsletter</t>
  </si>
  <si>
    <t xml:space="preserve">AgAH Alumni/Mentor 2026 Q3 Newsletter</t>
  </si>
  <si>
    <t xml:space="preserve">MedTech Warsaw Expo B5 Save the Date - Expo Only - Last Call 1 week</t>
  </si>
  <si>
    <t xml:space="preserve">GNL_August 2026</t>
  </si>
  <si>
    <t xml:space="preserve">2026-08-25</t>
  </si>
  <si>
    <t xml:space="preserve">Plug and Play's 2026 Corporate Partnership Survey - Third Batch</t>
  </si>
  <si>
    <t xml:space="preserve">Plug and Play's 2026 Corporate Partnership Survey - Email #4</t>
  </si>
  <si>
    <t xml:space="preserve">2026-08-24</t>
  </si>
  <si>
    <t xml:space="preserve">Toastmasters</t>
  </si>
  <si>
    <t xml:space="preserve">2026-08-20</t>
  </si>
  <si>
    <t xml:space="preserve">Paris Motor Show 2026</t>
  </si>
  <si>
    <t xml:space="preserve">Cedar Park 1 Week Out Email Aug 2026 Expo 8.19.26</t>
  </si>
  <si>
    <t xml:space="preserve">2026-08-19</t>
  </si>
  <si>
    <t xml:space="preserve">Kevin Farjallah</t>
  </si>
  <si>
    <t xml:space="preserve">MedTech Warsaw Expo B5 Save the Date - Expo Only (Speaker Announcement! 2 weeks</t>
  </si>
  <si>
    <t xml:space="preserve">APAC_Newsletter_August_2026</t>
  </si>
  <si>
    <t xml:space="preserve">JAP_Newsletter - Aug - 2026 - 19</t>
  </si>
  <si>
    <t xml:space="preserve">PNP Foundation Newsletter (July 2026)</t>
  </si>
  <si>
    <t xml:space="preserve">Plug and Play's 2026 Corporate Partnership Survey - Email #3</t>
  </si>
  <si>
    <t xml:space="preserve">FR_ALIBABA COCREATE STARUP EMAIL FINAL</t>
  </si>
  <si>
    <t xml:space="preserve">2026-08-17</t>
  </si>
  <si>
    <t xml:space="preserve">Alba Brotons</t>
  </si>
  <si>
    <t xml:space="preserve">Plug and Play Cedar Park Aug 26 Expo 8.11.26 (Clone)</t>
  </si>
  <si>
    <t xml:space="preserve">2026-08-13</t>
  </si>
  <si>
    <t xml:space="preserve">THF Launch_VIP (VC session+lunch) invitation</t>
  </si>
  <si>
    <t xml:space="preserve">THF Launch_Soft launch attendees invitation 1</t>
  </si>
  <si>
    <t xml:space="preserve">APAC_Cambodia Community Series 3_ThankYou</t>
  </si>
  <si>
    <t xml:space="preserve">STARTUP AUTOBAHN Alumni Newsletter 🌻 August 2026</t>
  </si>
  <si>
    <t xml:space="preserve">Plug and Play's 2026 Corporate Partnership Survey - Email #2</t>
  </si>
  <si>
    <t xml:space="preserve">2026-08-11</t>
  </si>
  <si>
    <t xml:space="preserve">ITA26_Newsletter August</t>
  </si>
  <si>
    <t xml:space="preserve">2026-08-06</t>
  </si>
  <si>
    <t xml:space="preserve">Notes, sources &amp; data gaps</t>
  </si>
  <si>
    <t xml:space="preserve">DATA USED</t>
  </si>
  <si>
    <t xml:space="preserve">1</t>
  </si>
  <si>
    <t xml:space="preserve">HubSpot Analyze report (PDF), 1 Oct 2025 – 30 Sep 2026, compared with previous 365 days.</t>
  </si>
  <si>
    <t xml:space="preserve">2</t>
  </si>
  <si>
    <t xml:space="preserve">HubSpot Email Health tab (monthly scores, last 30 days, contact segments).</t>
  </si>
  <si>
    <t xml:space="preserve">3</t>
  </si>
  <si>
    <t xml:space="preserve">Latest 100 sent emails (6 Aug – 30 Sep 2026) out of 1,042 sent in the 12 months.</t>
  </si>
  <si>
    <t xml:space="preserve">4</t>
  </si>
  <si>
    <t xml:space="preserve">Subscription types, teams, workflows, marketing-contact usage and contact counts – read-only, 8 Oct 2026.</t>
  </si>
  <si>
    <t xml:space="preserve">GAPS</t>
  </si>
  <si>
    <t xml:space="preserve">G1</t>
  </si>
  <si>
    <t xml:space="preserve">Only the latest 100 emails are in detail. To map ALL recurring and quarterly newsletters for the full year: Marketing › Email › Manage › 'Export emails' (1 Oct 2025 – 30 Sep 2026).</t>
  </si>
  <si>
    <t xml:space="preserve">G2</t>
  </si>
  <si>
    <t xml:space="preserve">Per-email bounces include soft bounces; the account-level figures use hard bounces.</t>
  </si>
  <si>
    <t xml:space="preserve">G3</t>
  </si>
  <si>
    <t xml:space="preserve">The Teams page and billing details are restricted for Felipe's user – team counts came from HubSpot's read-only list.</t>
  </si>
  <si>
    <t xml:space="preserve">G4</t>
  </si>
  <si>
    <t xml:space="preserve">Contacts can't be split by location yet (no consistent location property was checked).</t>
  </si>
  <si>
    <t xml:space="preserve">BENCHMARKS</t>
  </si>
  <si>
    <t xml:space="preserve">B1</t>
  </si>
  <si>
    <t xml:space="preserve">Click rate: Good ≥ 3%, Fix &lt; 1.5% (B2B tech/professional services typically 2–3.5%).</t>
  </si>
  <si>
    <t xml:space="preserve">B2</t>
  </si>
  <si>
    <t xml:space="preserve">Unsubscribe rate per send: Good ≤ 0.2%, Fix &gt; 0.5%. Hard bounces: Good ≤ 0.5%, Fix &gt; 2%.</t>
  </si>
  <si>
    <t xml:space="preserve">B3</t>
  </si>
  <si>
    <t xml:space="preserve">Spam complaints: must stay under 0.3% (Gmail, Yahoo, Microsoft bulk-sender rules); aim for under 0.1%.</t>
  </si>
  <si>
    <t xml:space="preserve">B4</t>
  </si>
  <si>
    <t xml:space="preserve">Open rates are inflated by Apple Mail Privacy Protection and security scanners – used for trends only.</t>
  </si>
  <si>
    <t xml:space="preserve">B5</t>
  </si>
  <si>
    <t xml:space="preserve">Benchmark sources differ and many are vendor reports – use as ranges, not exact targets.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</si>
</sst>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0.00%;\-0.00%;\-"/>
    <numFmt numFmtId="167" formatCode="0"/>
    <numFmt numFmtId="168" formatCode="0.0%;\-0.0%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DDEBF7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b val="1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  <dxf>
      <font>
        <name val="Arial"/>
        <charset val="1"/>
        <family val="0"/>
        <b val="1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i val="1"/>
        <color rgb="FF808080"/>
      </font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5" min="4" style="1" width="13"/>
    <col collapsed="false" customWidth="true" hidden="false" outlineLevel="0" max="6" min="6" style="1" width="12"/>
    <col collapsed="false" customWidth="true" hidden="false" outlineLevel="0" max="7" min="7" style="1" width="7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5" hidden="false" customHeight="true" outlineLevel="0" collapsed="false">
      <c r="A6" s="6" t="s">
        <v>10</v>
      </c>
      <c r="B6" s="7" t="n">
        <v>1028641</v>
      </c>
      <c r="C6" s="8" t="s">
        <v>11</v>
      </c>
      <c r="D6" s="9" t="s">
        <v>12</v>
      </c>
      <c r="E6" s="9" t="s">
        <v>12</v>
      </c>
      <c r="F6" s="9" t="s">
        <v>12</v>
      </c>
      <c r="G6" s="10" t="s">
        <v>13</v>
      </c>
    </row>
    <row r="7" customFormat="false" ht="15" hidden="false" customHeight="true" outlineLevel="0" collapsed="false">
      <c r="A7" s="6" t="s">
        <v>14</v>
      </c>
      <c r="B7" s="11" t="n">
        <v>0.9833</v>
      </c>
      <c r="C7" s="8" t="s">
        <v>15</v>
      </c>
      <c r="D7" s="9" t="s">
        <v>16</v>
      </c>
      <c r="E7" s="9" t="s">
        <v>17</v>
      </c>
      <c r="F7" s="9" t="str">
        <f aca="false">IF(B7&gt;=0.98,"Good",IF(B7&lt;0.95,"Fix","Watch"))</f>
        <v>Good</v>
      </c>
      <c r="G7" s="10" t="s">
        <v>18</v>
      </c>
    </row>
    <row r="8" customFormat="false" ht="15" hidden="false" customHeight="true" outlineLevel="0" collapsed="false">
      <c r="A8" s="6" t="s">
        <v>19</v>
      </c>
      <c r="B8" s="11" t="n">
        <v>0.0326</v>
      </c>
      <c r="C8" s="8" t="s">
        <v>20</v>
      </c>
      <c r="D8" s="9" t="s">
        <v>21</v>
      </c>
      <c r="E8" s="9" t="s">
        <v>22</v>
      </c>
      <c r="F8" s="9" t="str">
        <f aca="false">IF(B8&gt;=0.03,"Good",IF(B8&lt;0.015,"Fix","Watch"))</f>
        <v>Good</v>
      </c>
      <c r="G8" s="10" t="s">
        <v>23</v>
      </c>
    </row>
    <row r="9" customFormat="false" ht="15" hidden="false" customHeight="true" outlineLevel="0" collapsed="false">
      <c r="A9" s="6" t="s">
        <v>24</v>
      </c>
      <c r="B9" s="11" t="n">
        <v>0.1213</v>
      </c>
      <c r="C9" s="8" t="s">
        <v>25</v>
      </c>
      <c r="D9" s="9" t="s">
        <v>26</v>
      </c>
      <c r="E9" s="9" t="s">
        <v>27</v>
      </c>
      <c r="F9" s="9" t="str">
        <f aca="false">IF(B9&gt;=0.12,"Good",IF(B9&lt;0.06,"Fix","Watch"))</f>
        <v>Good</v>
      </c>
      <c r="G9" s="10" t="s">
        <v>28</v>
      </c>
    </row>
    <row r="10" customFormat="false" ht="15" hidden="false" customHeight="true" outlineLevel="0" collapsed="false">
      <c r="A10" s="6" t="s">
        <v>29</v>
      </c>
      <c r="B10" s="11" t="n">
        <v>0.2688</v>
      </c>
      <c r="C10" s="8" t="s">
        <v>30</v>
      </c>
      <c r="D10" s="9" t="s">
        <v>12</v>
      </c>
      <c r="E10" s="9" t="s">
        <v>12</v>
      </c>
      <c r="F10" s="9" t="s">
        <v>12</v>
      </c>
      <c r="G10" s="10" t="s">
        <v>31</v>
      </c>
    </row>
    <row r="11" customFormat="false" ht="15" hidden="false" customHeight="true" outlineLevel="0" collapsed="false">
      <c r="A11" s="6" t="s">
        <v>32</v>
      </c>
      <c r="B11" s="11" t="n">
        <v>0.0129</v>
      </c>
      <c r="C11" s="8" t="s">
        <v>33</v>
      </c>
      <c r="D11" s="9" t="s">
        <v>34</v>
      </c>
      <c r="E11" s="9" t="s">
        <v>35</v>
      </c>
      <c r="F11" s="9" t="str">
        <f aca="false">IF(B11&lt;=0.005,"Good",IF(B11&gt;0.02,"Fix","Watch"))</f>
        <v>Watch</v>
      </c>
      <c r="G11" s="10" t="s">
        <v>36</v>
      </c>
    </row>
    <row r="12" customFormat="false" ht="15" hidden="false" customHeight="true" outlineLevel="0" collapsed="false">
      <c r="A12" s="6" t="s">
        <v>37</v>
      </c>
      <c r="B12" s="11" t="n">
        <v>0.0081</v>
      </c>
      <c r="C12" s="8" t="s">
        <v>38</v>
      </c>
      <c r="D12" s="9" t="s">
        <v>39</v>
      </c>
      <c r="E12" s="9" t="s">
        <v>40</v>
      </c>
      <c r="F12" s="9" t="str">
        <f aca="false">IF(B12&lt;=0.002,"Good",IF(B12&gt;0.005,"Fix","Watch"))</f>
        <v>Fix</v>
      </c>
      <c r="G12" s="10" t="s">
        <v>41</v>
      </c>
    </row>
    <row r="13" customFormat="false" ht="15" hidden="false" customHeight="true" outlineLevel="0" collapsed="false">
      <c r="A13" s="6" t="s">
        <v>42</v>
      </c>
      <c r="B13" s="11" t="n">
        <v>0.0001</v>
      </c>
      <c r="C13" s="8" t="s">
        <v>43</v>
      </c>
      <c r="D13" s="9" t="s">
        <v>44</v>
      </c>
      <c r="E13" s="9" t="s">
        <v>45</v>
      </c>
      <c r="F13" s="9" t="str">
        <f aca="false">IF(B13&lt;=0.001,"Good",IF(B13&gt;0.003,"Fix","Watch"))</f>
        <v>Good</v>
      </c>
      <c r="G13" s="10" t="s">
        <v>46</v>
      </c>
    </row>
    <row r="14" customFormat="false" ht="15" hidden="false" customHeight="true" outlineLevel="0" collapsed="false">
      <c r="A14" s="6" t="s">
        <v>47</v>
      </c>
      <c r="B14" s="12" t="n">
        <v>3</v>
      </c>
      <c r="C14" s="8" t="s">
        <v>48</v>
      </c>
      <c r="D14" s="9" t="s">
        <v>12</v>
      </c>
      <c r="E14" s="9" t="s">
        <v>12</v>
      </c>
      <c r="F14" s="9" t="s">
        <v>49</v>
      </c>
      <c r="G14" s="10" t="s">
        <v>50</v>
      </c>
    </row>
    <row r="15" customFormat="false" ht="15" hidden="false" customHeight="true" outlineLevel="0" collapsed="false">
      <c r="A15" s="3" t="s">
        <v>51</v>
      </c>
    </row>
    <row r="17" customFormat="false" ht="15" hidden="false" customHeight="true" outlineLevel="0" collapsed="false">
      <c r="A17" s="4" t="s">
        <v>52</v>
      </c>
    </row>
    <row r="18" customFormat="false" ht="15" hidden="false" customHeight="true" outlineLevel="0" collapsed="false">
      <c r="A18" s="13" t="s">
        <v>53</v>
      </c>
      <c r="B18" s="13"/>
      <c r="C18" s="13"/>
      <c r="D18" s="13"/>
      <c r="E18" s="13"/>
      <c r="F18" s="13"/>
      <c r="G18" s="13"/>
    </row>
    <row r="19" customFormat="false" ht="15" hidden="false" customHeight="true" outlineLevel="0" collapsed="false">
      <c r="A19" s="13" t="s">
        <v>54</v>
      </c>
      <c r="B19" s="13"/>
      <c r="C19" s="13"/>
      <c r="D19" s="13"/>
      <c r="E19" s="13"/>
      <c r="F19" s="13"/>
      <c r="G19" s="13"/>
    </row>
    <row r="20" customFormat="false" ht="15" hidden="false" customHeight="true" outlineLevel="0" collapsed="false">
      <c r="A20" s="13" t="s">
        <v>55</v>
      </c>
      <c r="B20" s="13"/>
      <c r="C20" s="13"/>
      <c r="D20" s="13"/>
      <c r="E20" s="13"/>
      <c r="F20" s="13"/>
      <c r="G20" s="13"/>
    </row>
    <row r="21" customFormat="false" ht="15" hidden="false" customHeight="true" outlineLevel="0" collapsed="false">
      <c r="A21" s="13" t="s">
        <v>56</v>
      </c>
      <c r="B21" s="13"/>
      <c r="C21" s="13"/>
      <c r="D21" s="13"/>
      <c r="E21" s="13"/>
      <c r="F21" s="13"/>
      <c r="G21" s="13"/>
    </row>
    <row r="22" customFormat="false" ht="15" hidden="false" customHeight="true" outlineLevel="0" collapsed="false">
      <c r="A22" s="13" t="s">
        <v>57</v>
      </c>
      <c r="B22" s="13"/>
      <c r="C22" s="13"/>
      <c r="D22" s="13"/>
      <c r="E22" s="13"/>
      <c r="F22" s="13"/>
      <c r="G22" s="13"/>
    </row>
    <row r="24" customFormat="false" ht="15" hidden="false" customHeight="true" outlineLevel="0" collapsed="false">
      <c r="A24" s="4" t="s">
        <v>58</v>
      </c>
    </row>
    <row r="25" customFormat="false" ht="27.75" hidden="false" customHeight="true" outlineLevel="0" collapsed="false">
      <c r="A25" s="14" t="s">
        <v>59</v>
      </c>
      <c r="B25" s="14"/>
      <c r="C25" s="14"/>
      <c r="D25" s="14"/>
      <c r="E25" s="14"/>
      <c r="F25" s="14"/>
      <c r="G25" s="14"/>
    </row>
    <row r="26" customFormat="false" ht="27.75" hidden="false" customHeight="true" outlineLevel="0" collapsed="false">
      <c r="A26" s="14" t="s">
        <v>60</v>
      </c>
      <c r="B26" s="14"/>
      <c r="C26" s="14"/>
      <c r="D26" s="14"/>
      <c r="E26" s="14"/>
      <c r="F26" s="14"/>
      <c r="G26" s="14"/>
    </row>
    <row r="27" customFormat="false" ht="27.75" hidden="false" customHeight="true" outlineLevel="0" collapsed="false">
      <c r="A27" s="14" t="s">
        <v>61</v>
      </c>
      <c r="B27" s="14"/>
      <c r="C27" s="14"/>
      <c r="D27" s="14"/>
      <c r="E27" s="14"/>
      <c r="F27" s="14"/>
      <c r="G27" s="14"/>
    </row>
    <row r="28" customFormat="false" ht="27.75" hidden="false" customHeight="true" outlineLevel="0" collapsed="false">
      <c r="A28" s="14" t="s">
        <v>62</v>
      </c>
      <c r="B28" s="14"/>
      <c r="C28" s="14"/>
      <c r="D28" s="14"/>
      <c r="E28" s="14"/>
      <c r="F28" s="14"/>
      <c r="G28" s="14"/>
    </row>
    <row r="29" customFormat="false" ht="27.75" hidden="false" customHeight="true" outlineLevel="0" collapsed="false">
      <c r="A29" s="14" t="s">
        <v>63</v>
      </c>
      <c r="B29" s="14"/>
      <c r="C29" s="14"/>
      <c r="D29" s="14"/>
      <c r="E29" s="14"/>
      <c r="F29" s="14"/>
      <c r="G29" s="14"/>
    </row>
    <row r="31" customFormat="false" ht="15" hidden="false" customHeight="true" outlineLevel="0" collapsed="false">
      <c r="A31" s="4" t="s">
        <v>64</v>
      </c>
    </row>
    <row r="32" customFormat="false" ht="15" hidden="false" customHeight="true" outlineLevel="0" collapsed="false">
      <c r="A32" s="13" t="s">
        <v>65</v>
      </c>
      <c r="B32" s="13"/>
      <c r="C32" s="13"/>
      <c r="D32" s="13"/>
      <c r="E32" s="13"/>
      <c r="F32" s="13"/>
      <c r="G32" s="13"/>
    </row>
    <row r="33" customFormat="false" ht="15" hidden="false" customHeight="true" outlineLevel="0" collapsed="false">
      <c r="A33" s="13" t="s">
        <v>66</v>
      </c>
      <c r="B33" s="13"/>
      <c r="C33" s="13"/>
      <c r="D33" s="13"/>
      <c r="E33" s="13"/>
      <c r="F33" s="13"/>
      <c r="G33" s="13"/>
    </row>
    <row r="34" customFormat="false" ht="15" hidden="false" customHeight="true" outlineLevel="0" collapsed="false">
      <c r="A34" s="13" t="s">
        <v>67</v>
      </c>
      <c r="B34" s="13"/>
      <c r="C34" s="13"/>
      <c r="D34" s="13"/>
      <c r="E34" s="13"/>
      <c r="F34" s="13"/>
      <c r="G34" s="13"/>
    </row>
    <row r="35" customFormat="false" ht="15" hidden="false" customHeight="true" outlineLevel="0" collapsed="false">
      <c r="A35" s="13" t="s">
        <v>68</v>
      </c>
      <c r="B35" s="13"/>
      <c r="C35" s="13"/>
      <c r="D35" s="13"/>
      <c r="E35" s="13"/>
      <c r="F35" s="13"/>
      <c r="G35" s="13"/>
    </row>
    <row r="36" customFormat="false" ht="15" hidden="false" customHeight="true" outlineLevel="0" collapsed="false">
      <c r="A36" s="13" t="s">
        <v>69</v>
      </c>
      <c r="B36" s="13"/>
      <c r="C36" s="13"/>
      <c r="D36" s="13"/>
      <c r="E36" s="13"/>
      <c r="F36" s="13"/>
      <c r="G36" s="13"/>
    </row>
    <row r="38" customFormat="false" ht="15" hidden="false" customHeight="true" outlineLevel="0" collapsed="false">
      <c r="A38" s="4" t="s">
        <v>70</v>
      </c>
    </row>
    <row r="39" customFormat="false" ht="31.5" hidden="false" customHeight="true" outlineLevel="0" collapsed="false">
      <c r="A39" s="5" t="s">
        <v>71</v>
      </c>
      <c r="B39" s="5" t="s">
        <v>72</v>
      </c>
      <c r="C39" s="5" t="s">
        <v>73</v>
      </c>
      <c r="D39" s="5" t="s">
        <v>74</v>
      </c>
      <c r="E39" s="5" t="s">
        <v>75</v>
      </c>
      <c r="F39" s="5" t="s">
        <v>10</v>
      </c>
    </row>
    <row r="40" customFormat="false" ht="15" hidden="false" customHeight="true" outlineLevel="0" collapsed="false">
      <c r="A40" s="6" t="s">
        <v>76</v>
      </c>
      <c r="B40" s="15" t="n">
        <v>5</v>
      </c>
      <c r="C40" s="16" t="n">
        <v>0.112</v>
      </c>
      <c r="D40" s="17" t="n">
        <v>0.0107</v>
      </c>
      <c r="E40" s="17" t="n">
        <v>0.0043</v>
      </c>
      <c r="F40" s="18" t="n">
        <v>112000</v>
      </c>
    </row>
    <row r="41" customFormat="false" ht="15" hidden="false" customHeight="true" outlineLevel="0" collapsed="false">
      <c r="A41" s="6" t="s">
        <v>77</v>
      </c>
      <c r="B41" s="15" t="n">
        <v>6</v>
      </c>
      <c r="C41" s="16" t="n">
        <v>0.147</v>
      </c>
      <c r="D41" s="17" t="n">
        <v>0.0056</v>
      </c>
      <c r="E41" s="17" t="n">
        <v>0.0042</v>
      </c>
      <c r="F41" s="18" t="n">
        <v>55700</v>
      </c>
    </row>
    <row r="42" customFormat="false" ht="15" hidden="false" customHeight="true" outlineLevel="0" collapsed="false">
      <c r="A42" s="6" t="s">
        <v>78</v>
      </c>
      <c r="B42" s="15" t="n">
        <v>5</v>
      </c>
      <c r="C42" s="16" t="n">
        <v>0.11</v>
      </c>
      <c r="D42" s="17" t="n">
        <v>0.0051</v>
      </c>
      <c r="E42" s="17" t="n">
        <v>0.0055</v>
      </c>
      <c r="F42" s="18" t="n">
        <v>56400</v>
      </c>
    </row>
    <row r="43" customFormat="false" ht="15" hidden="false" customHeight="true" outlineLevel="0" collapsed="false">
      <c r="A43" s="6" t="s">
        <v>79</v>
      </c>
      <c r="B43" s="15" t="n">
        <v>5</v>
      </c>
      <c r="C43" s="16" t="n">
        <v>0.142</v>
      </c>
      <c r="D43" s="17" t="n">
        <v>0.0128</v>
      </c>
      <c r="E43" s="17" t="n">
        <v>0.0047</v>
      </c>
      <c r="F43" s="18" t="n">
        <v>58600</v>
      </c>
    </row>
    <row r="44" customFormat="false" ht="15" hidden="false" customHeight="true" outlineLevel="0" collapsed="false">
      <c r="A44" s="6" t="s">
        <v>80</v>
      </c>
      <c r="B44" s="15" t="n">
        <v>3</v>
      </c>
      <c r="C44" s="16" t="n">
        <v>0.135</v>
      </c>
      <c r="D44" s="17" t="n">
        <v>0.0186</v>
      </c>
      <c r="E44" s="17" t="n">
        <v>0.007</v>
      </c>
      <c r="F44" s="18" t="n">
        <v>61100</v>
      </c>
    </row>
    <row r="45" customFormat="false" ht="15" hidden="false" customHeight="true" outlineLevel="0" collapsed="false">
      <c r="A45" s="6" t="s">
        <v>81</v>
      </c>
      <c r="B45" s="15" t="n">
        <v>4</v>
      </c>
      <c r="C45" s="16" t="n">
        <v>0.151</v>
      </c>
      <c r="D45" s="17" t="n">
        <v>0.0095</v>
      </c>
      <c r="E45" s="17" t="n">
        <v>0.0077</v>
      </c>
      <c r="F45" s="18" t="n">
        <v>72400</v>
      </c>
    </row>
    <row r="46" customFormat="false" ht="15" hidden="false" customHeight="true" outlineLevel="0" collapsed="false">
      <c r="A46" s="6" t="s">
        <v>82</v>
      </c>
      <c r="B46" s="15" t="n">
        <v>3</v>
      </c>
      <c r="C46" s="16" t="n">
        <v>0.128</v>
      </c>
      <c r="D46" s="17" t="n">
        <v>0.0129</v>
      </c>
      <c r="E46" s="17" t="n">
        <v>0.0066</v>
      </c>
      <c r="F46" s="18" t="n">
        <v>112200</v>
      </c>
    </row>
    <row r="47" customFormat="false" ht="15" hidden="false" customHeight="true" outlineLevel="0" collapsed="false">
      <c r="A47" s="6" t="s">
        <v>83</v>
      </c>
      <c r="B47" s="15" t="n">
        <v>6</v>
      </c>
      <c r="C47" s="16" t="n">
        <v>0.146</v>
      </c>
      <c r="D47" s="17" t="n">
        <v>0.0039</v>
      </c>
      <c r="E47" s="17" t="n">
        <v>0.0057</v>
      </c>
      <c r="F47" s="18" t="n">
        <v>77000</v>
      </c>
    </row>
    <row r="48" customFormat="false" ht="15" hidden="false" customHeight="true" outlineLevel="0" collapsed="false">
      <c r="A48" s="6" t="s">
        <v>84</v>
      </c>
      <c r="B48" s="15" t="n">
        <v>4</v>
      </c>
      <c r="C48" s="16" t="n">
        <v>0.124</v>
      </c>
      <c r="D48" s="17" t="n">
        <v>0.0076</v>
      </c>
      <c r="E48" s="17" t="n">
        <v>0.0055</v>
      </c>
      <c r="F48" s="18" t="n">
        <v>87700</v>
      </c>
    </row>
    <row r="49" customFormat="false" ht="15" hidden="false" customHeight="true" outlineLevel="0" collapsed="false">
      <c r="A49" s="6" t="s">
        <v>85</v>
      </c>
      <c r="B49" s="15" t="n">
        <v>4</v>
      </c>
      <c r="C49" s="16" t="n">
        <v>0.138</v>
      </c>
      <c r="D49" s="17" t="n">
        <v>0.0077</v>
      </c>
      <c r="E49" s="17" t="n">
        <v>0.0055</v>
      </c>
      <c r="F49" s="18" t="n">
        <v>70700</v>
      </c>
    </row>
    <row r="50" customFormat="false" ht="15" hidden="false" customHeight="true" outlineLevel="0" collapsed="false">
      <c r="A50" s="6" t="s">
        <v>86</v>
      </c>
      <c r="B50" s="15" t="n">
        <v>3</v>
      </c>
      <c r="C50" s="16" t="n">
        <v>0.091</v>
      </c>
      <c r="D50" s="17" t="n">
        <v>0.0177</v>
      </c>
      <c r="E50" s="17" t="n">
        <v>0.0116</v>
      </c>
      <c r="F50" s="18" t="n">
        <v>105200</v>
      </c>
    </row>
    <row r="51" customFormat="false" ht="15" hidden="false" customHeight="true" outlineLevel="0" collapsed="false">
      <c r="A51" s="6" t="s">
        <v>87</v>
      </c>
      <c r="B51" s="15" t="n">
        <v>3</v>
      </c>
      <c r="C51" s="16" t="n">
        <v>0.068</v>
      </c>
      <c r="D51" s="17" t="n">
        <v>0.0317</v>
      </c>
      <c r="E51" s="17" t="n">
        <v>0.0115</v>
      </c>
      <c r="F51" s="18" t="n">
        <v>124000</v>
      </c>
    </row>
    <row r="52" customFormat="false" ht="15" hidden="false" customHeight="true" outlineLevel="0" collapsed="false">
      <c r="A52" s="3" t="s">
        <v>88</v>
      </c>
    </row>
  </sheetData>
  <mergeCells count="15">
    <mergeCell ref="A18:G18"/>
    <mergeCell ref="A19:G19"/>
    <mergeCell ref="A20:G20"/>
    <mergeCell ref="A21:G21"/>
    <mergeCell ref="A22:G22"/>
    <mergeCell ref="A25:G25"/>
    <mergeCell ref="A26:G26"/>
    <mergeCell ref="A27:G27"/>
    <mergeCell ref="A28:G28"/>
    <mergeCell ref="A29:G29"/>
    <mergeCell ref="A32:G32"/>
    <mergeCell ref="A33:G33"/>
    <mergeCell ref="A34:G34"/>
    <mergeCell ref="A35:G35"/>
    <mergeCell ref="A36:G36"/>
  </mergeCells>
  <conditionalFormatting sqref="F6:F14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</conditionalFormatting>
  <conditionalFormatting sqref="D40:D51">
    <cfRule type="cellIs" priority="5" operator="greaterThan" aboveAverage="0" equalAverage="0" bottom="0" percent="0" rank="0" text="" dxfId="3">
      <formula>0.02</formula>
    </cfRule>
  </conditionalFormatting>
  <conditionalFormatting sqref="E40:E51">
    <cfRule type="cellIs" priority="6" operator="greaterThan" aboveAverage="0" equalAverage="0" bottom="0" percent="0" rank="0" text="" dxfId="3">
      <formula>0.01</formula>
    </cfRule>
  </conditionalFormatting>
  <conditionalFormatting sqref="B40:B51">
    <cfRule type="cellIs" priority="7" operator="lessThanOrEqual" aboveAverage="0" equalAverage="0" bottom="0" percent="0" rank="0" text="" dxfId="3"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0"/>
    <col collapsed="false" customWidth="true" hidden="false" outlineLevel="0" max="3" min="3" style="1" width="24"/>
    <col collapsed="false" customWidth="true" hidden="false" outlineLevel="0" max="4" min="4" style="1" width="28"/>
    <col collapsed="false" customWidth="true" hidden="false" outlineLevel="0" max="5" min="5" style="1" width="30"/>
    <col collapsed="false" customWidth="true" hidden="false" outlineLevel="0" max="6" min="6" style="1" width="16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2" min="10" style="1" width="9"/>
    <col collapsed="false" customWidth="true" hidden="false" outlineLevel="0" max="13" min="13" style="1" width="11"/>
    <col collapsed="false" customWidth="true" hidden="false" outlineLevel="0" max="14" min="14" style="1" width="46"/>
  </cols>
  <sheetData>
    <row r="1" customFormat="false" ht="19.5" hidden="false" customHeight="true" outlineLevel="0" collapsed="false">
      <c r="A1" s="2" t="s">
        <v>89</v>
      </c>
    </row>
    <row r="2" customFormat="false" ht="15" hidden="false" customHeight="true" outlineLevel="0" collapsed="false">
      <c r="A2" s="3" t="s">
        <v>90</v>
      </c>
    </row>
    <row r="3" customFormat="false" ht="15" hidden="false" customHeight="true" outlineLevel="0" collapsed="false">
      <c r="A3" s="3" t="s">
        <v>91</v>
      </c>
    </row>
    <row r="5" customFormat="false" ht="31.5" hidden="false" customHeight="true" outlineLevel="0" collapsed="false">
      <c r="A5" s="5" t="s">
        <v>92</v>
      </c>
      <c r="B5" s="5" t="s">
        <v>93</v>
      </c>
      <c r="C5" s="5" t="s">
        <v>94</v>
      </c>
      <c r="D5" s="5" t="s">
        <v>95</v>
      </c>
      <c r="E5" s="5" t="s">
        <v>96</v>
      </c>
      <c r="F5" s="5" t="s">
        <v>97</v>
      </c>
      <c r="G5" s="5" t="s">
        <v>98</v>
      </c>
      <c r="H5" s="5" t="s">
        <v>99</v>
      </c>
      <c r="I5" s="5" t="s">
        <v>100</v>
      </c>
      <c r="J5" s="5" t="s">
        <v>101</v>
      </c>
      <c r="K5" s="5" t="s">
        <v>102</v>
      </c>
      <c r="L5" s="5" t="s">
        <v>103</v>
      </c>
      <c r="M5" s="5" t="s">
        <v>8</v>
      </c>
      <c r="N5" s="5" t="s">
        <v>104</v>
      </c>
    </row>
    <row r="6" customFormat="false" ht="23.25" hidden="false" customHeight="true" outlineLevel="0" collapsed="false">
      <c r="A6" s="6" t="s">
        <v>105</v>
      </c>
      <c r="B6" s="8" t="s">
        <v>106</v>
      </c>
      <c r="C6" s="8" t="s">
        <v>107</v>
      </c>
      <c r="D6" s="10" t="s">
        <v>108</v>
      </c>
      <c r="E6" s="10" t="s">
        <v>109</v>
      </c>
      <c r="F6" s="8" t="s">
        <v>110</v>
      </c>
      <c r="G6" s="19" t="n">
        <f aca="false">COUNTIFS('Emails Aug-Sep'!$F$5:$F$104,A6,'Emails Aug-Sep'!$P$5:$P$104,"No")</f>
        <v>3</v>
      </c>
      <c r="H6" s="9" t="s">
        <v>111</v>
      </c>
      <c r="I6" s="20" t="n">
        <f aca="false">IF(G6=0,0,SUMIFS('Emails Aug-Sep'!$H$5:$H$104,'Emails Aug-Sep'!$F$5:$F$104,A6,'Emails Aug-Sep'!$P$5:$P$104,"No")/G6)</f>
        <v>5748.33333333333</v>
      </c>
      <c r="J6" s="21" t="n">
        <f aca="false">IF(I6=0,0,SUMIFS('Emails Aug-Sep'!$K$5:$K$104,'Emails Aug-Sep'!$F$5:$F$104,A6,'Emails Aug-Sep'!$P$5:$P$104,"No")/SUMIFS('Emails Aug-Sep'!$H$5:$H$104,'Emails Aug-Sep'!$F$5:$F$104,A6,'Emails Aug-Sep'!$P$5:$P$104,"No"))</f>
        <v>0.0235430559582488</v>
      </c>
      <c r="K6" s="22" t="n">
        <f aca="false">IF(I6=0,0,SUMIFS('Emails Aug-Sep'!$L$5:$L$104,'Emails Aug-Sep'!$F$5:$F$104,A6,'Emails Aug-Sep'!$P$5:$P$104,"No")/SUMIFS('Emails Aug-Sep'!$H$5:$H$104,'Emails Aug-Sep'!$F$5:$F$104,A6,'Emails Aug-Sep'!$P$5:$P$104,"No"))</f>
        <v>0.00533487967526819</v>
      </c>
      <c r="L6" s="21" t="n">
        <f aca="false">IF(I6=0,0,SUMIFS('Emails Aug-Sep'!$N$5:$N$104,'Emails Aug-Sep'!$F$5:$F$104,A6,'Emails Aug-Sep'!$P$5:$P$104,"No")/(SUMIFS('Emails Aug-Sep'!$H$5:$H$104,'Emails Aug-Sep'!$F$5:$F$104,A6,'Emails Aug-Sep'!$P$5:$P$104,"No")+SUMIFS('Emails Aug-Sep'!$N$5:$N$104,'Emails Aug-Sep'!$F$5:$F$104,A6,'Emails Aug-Sep'!$P$5:$P$104,"No")))</f>
        <v>0.00450268429255903</v>
      </c>
      <c r="M6" s="9" t="str">
        <f aca="false">IF(I6&lt;300,"Small list",IF(OR(J6&lt;0.015,K6&gt;0.005),"Fix",IF(OR(J6&lt;0.03,K6&gt;0.002),"Watch","Good")))</f>
        <v>Fix</v>
      </c>
      <c r="N6" s="10" t="s">
        <v>112</v>
      </c>
    </row>
    <row r="7" customFormat="false" ht="23.25" hidden="false" customHeight="true" outlineLevel="0" collapsed="false">
      <c r="A7" s="6" t="s">
        <v>113</v>
      </c>
      <c r="B7" s="8" t="s">
        <v>114</v>
      </c>
      <c r="C7" s="8" t="s">
        <v>115</v>
      </c>
      <c r="D7" s="10" t="s">
        <v>116</v>
      </c>
      <c r="E7" s="10" t="s">
        <v>117</v>
      </c>
      <c r="F7" s="8" t="s">
        <v>110</v>
      </c>
      <c r="G7" s="19" t="n">
        <f aca="false">COUNTIFS('Emails Aug-Sep'!$F$5:$F$104,A7,'Emails Aug-Sep'!$P$5:$P$104,"No")</f>
        <v>2</v>
      </c>
      <c r="H7" s="9" t="s">
        <v>118</v>
      </c>
      <c r="I7" s="20" t="n">
        <f aca="false">IF(G7=0,0,SUMIFS('Emails Aug-Sep'!$H$5:$H$104,'Emails Aug-Sep'!$F$5:$F$104,A7,'Emails Aug-Sep'!$P$5:$P$104,"No")/G7)</f>
        <v>6624</v>
      </c>
      <c r="J7" s="21" t="n">
        <f aca="false">IF(I7=0,0,SUMIFS('Emails Aug-Sep'!$K$5:$K$104,'Emails Aug-Sep'!$F$5:$F$104,A7,'Emails Aug-Sep'!$P$5:$P$104,"No")/SUMIFS('Emails Aug-Sep'!$H$5:$H$104,'Emails Aug-Sep'!$F$5:$F$104,A7,'Emails Aug-Sep'!$P$5:$P$104,"No"))</f>
        <v>0.0127566425120773</v>
      </c>
      <c r="K7" s="22" t="n">
        <f aca="false">IF(I7=0,0,SUMIFS('Emails Aug-Sep'!$L$5:$L$104,'Emails Aug-Sep'!$F$5:$F$104,A7,'Emails Aug-Sep'!$P$5:$P$104,"No")/SUMIFS('Emails Aug-Sep'!$H$5:$H$104,'Emails Aug-Sep'!$F$5:$F$104,A7,'Emails Aug-Sep'!$P$5:$P$104,"No"))</f>
        <v>0.00958635265700483</v>
      </c>
      <c r="L7" s="21" t="n">
        <f aca="false">IF(I7=0,0,SUMIFS('Emails Aug-Sep'!$N$5:$N$104,'Emails Aug-Sep'!$F$5:$F$104,A7,'Emails Aug-Sep'!$P$5:$P$104,"No")/(SUMIFS('Emails Aug-Sep'!$H$5:$H$104,'Emails Aug-Sep'!$F$5:$F$104,A7,'Emails Aug-Sep'!$P$5:$P$104,"No")+SUMIFS('Emails Aug-Sep'!$N$5:$N$104,'Emails Aug-Sep'!$F$5:$F$104,A7,'Emails Aug-Sep'!$P$5:$P$104,"No")))</f>
        <v>0.0114908222653335</v>
      </c>
      <c r="M7" s="9" t="str">
        <f aca="false">IF(I7&lt;300,"Small list",IF(OR(J7&lt;0.015,K7&gt;0.005),"Fix",IF(OR(J7&lt;0.03,K7&gt;0.002),"Watch","Good")))</f>
        <v>Fix</v>
      </c>
      <c r="N7" s="10" t="s">
        <v>119</v>
      </c>
    </row>
    <row r="8" customFormat="false" ht="23.25" hidden="false" customHeight="true" outlineLevel="0" collapsed="false">
      <c r="A8" s="6" t="s">
        <v>120</v>
      </c>
      <c r="B8" s="8" t="s">
        <v>114</v>
      </c>
      <c r="C8" s="8" t="s">
        <v>121</v>
      </c>
      <c r="D8" s="10" t="s">
        <v>122</v>
      </c>
      <c r="E8" s="10" t="s">
        <v>117</v>
      </c>
      <c r="F8" s="8" t="s">
        <v>110</v>
      </c>
      <c r="G8" s="19" t="n">
        <f aca="false">COUNTIFS('Emails Aug-Sep'!$F$5:$F$104,A8,'Emails Aug-Sep'!$P$5:$P$104,"No")</f>
        <v>2</v>
      </c>
      <c r="H8" s="9" t="s">
        <v>123</v>
      </c>
      <c r="I8" s="20" t="n">
        <f aca="false">IF(G8=0,0,SUMIFS('Emails Aug-Sep'!$H$5:$H$104,'Emails Aug-Sep'!$F$5:$F$104,A8,'Emails Aug-Sep'!$P$5:$P$104,"No")/G8)</f>
        <v>6474.5</v>
      </c>
      <c r="J8" s="21" t="n">
        <f aca="false">IF(I8=0,0,SUMIFS('Emails Aug-Sep'!$K$5:$K$104,'Emails Aug-Sep'!$F$5:$F$104,A8,'Emails Aug-Sep'!$P$5:$P$104,"No")/SUMIFS('Emails Aug-Sep'!$H$5:$H$104,'Emails Aug-Sep'!$F$5:$F$104,A8,'Emails Aug-Sep'!$P$5:$P$104,"No"))</f>
        <v>0.010502741524442</v>
      </c>
      <c r="K8" s="22" t="n">
        <f aca="false">IF(I8=0,0,SUMIFS('Emails Aug-Sep'!$L$5:$L$104,'Emails Aug-Sep'!$F$5:$F$104,A8,'Emails Aug-Sep'!$P$5:$P$104,"No")/SUMIFS('Emails Aug-Sep'!$H$5:$H$104,'Emails Aug-Sep'!$F$5:$F$104,A8,'Emails Aug-Sep'!$P$5:$P$104,"No"))</f>
        <v>0.00980770715885397</v>
      </c>
      <c r="L8" s="21" t="n">
        <f aca="false">IF(I8=0,0,SUMIFS('Emails Aug-Sep'!$N$5:$N$104,'Emails Aug-Sep'!$F$5:$F$104,A8,'Emails Aug-Sep'!$P$5:$P$104,"No")/(SUMIFS('Emails Aug-Sep'!$H$5:$H$104,'Emails Aug-Sep'!$F$5:$F$104,A8,'Emails Aug-Sep'!$P$5:$P$104,"No")+SUMIFS('Emails Aug-Sep'!$N$5:$N$104,'Emails Aug-Sep'!$F$5:$F$104,A8,'Emails Aug-Sep'!$P$5:$P$104,"No")))</f>
        <v>0.00705467372134039</v>
      </c>
      <c r="M8" s="9" t="str">
        <f aca="false">IF(I8&lt;300,"Small list",IF(OR(J8&lt;0.015,K8&gt;0.005),"Fix",IF(OR(J8&lt;0.03,K8&gt;0.002),"Watch","Good")))</f>
        <v>Fix</v>
      </c>
      <c r="N8" s="10" t="s">
        <v>119</v>
      </c>
    </row>
    <row r="9" customFormat="false" ht="23.25" hidden="false" customHeight="true" outlineLevel="0" collapsed="false">
      <c r="A9" s="6" t="s">
        <v>124</v>
      </c>
      <c r="B9" s="8" t="s">
        <v>114</v>
      </c>
      <c r="C9" s="8" t="s">
        <v>125</v>
      </c>
      <c r="D9" s="10" t="s">
        <v>126</v>
      </c>
      <c r="E9" s="10" t="s">
        <v>117</v>
      </c>
      <c r="F9" s="8" t="s">
        <v>110</v>
      </c>
      <c r="G9" s="19" t="n">
        <f aca="false">COUNTIFS('Emails Aug-Sep'!$F$5:$F$104,A9,'Emails Aug-Sep'!$P$5:$P$104,"No")</f>
        <v>2</v>
      </c>
      <c r="H9" s="9" t="s">
        <v>111</v>
      </c>
      <c r="I9" s="20" t="n">
        <f aca="false">IF(G9=0,0,SUMIFS('Emails Aug-Sep'!$H$5:$H$104,'Emails Aug-Sep'!$F$5:$F$104,A9,'Emails Aug-Sep'!$P$5:$P$104,"No")/G9)</f>
        <v>4746.5</v>
      </c>
      <c r="J9" s="21" t="n">
        <f aca="false">IF(I9=0,0,SUMIFS('Emails Aug-Sep'!$K$5:$K$104,'Emails Aug-Sep'!$F$5:$F$104,A9,'Emails Aug-Sep'!$P$5:$P$104,"No")/SUMIFS('Emails Aug-Sep'!$H$5:$H$104,'Emails Aug-Sep'!$F$5:$F$104,A9,'Emails Aug-Sep'!$P$5:$P$104,"No"))</f>
        <v>0.0289687137891078</v>
      </c>
      <c r="K9" s="22" t="n">
        <f aca="false">IF(I9=0,0,SUMIFS('Emails Aug-Sep'!$L$5:$L$104,'Emails Aug-Sep'!$F$5:$F$104,A9,'Emails Aug-Sep'!$P$5:$P$104,"No")/SUMIFS('Emails Aug-Sep'!$H$5:$H$104,'Emails Aug-Sep'!$F$5:$F$104,A9,'Emails Aug-Sep'!$P$5:$P$104,"No"))</f>
        <v>0.00653112819972611</v>
      </c>
      <c r="L9" s="21" t="n">
        <f aca="false">IF(I9=0,0,SUMIFS('Emails Aug-Sep'!$N$5:$N$104,'Emails Aug-Sep'!$F$5:$F$104,A9,'Emails Aug-Sep'!$P$5:$P$104,"No")/(SUMIFS('Emails Aug-Sep'!$H$5:$H$104,'Emails Aug-Sep'!$F$5:$F$104,A9,'Emails Aug-Sep'!$P$5:$P$104,"No")+SUMIFS('Emails Aug-Sep'!$N$5:$N$104,'Emails Aug-Sep'!$F$5:$F$104,A9,'Emails Aug-Sep'!$P$5:$P$104,"No")))</f>
        <v>0.00939163101325263</v>
      </c>
      <c r="M9" s="9" t="str">
        <f aca="false">IF(I9&lt;300,"Small list",IF(OR(J9&lt;0.015,K9&gt;0.005),"Fix",IF(OR(J9&lt;0.03,K9&gt;0.002),"Watch","Good")))</f>
        <v>Fix</v>
      </c>
      <c r="N9" s="10"/>
    </row>
    <row r="10" customFormat="false" ht="23.25" hidden="false" customHeight="true" outlineLevel="0" collapsed="false">
      <c r="A10" s="6" t="s">
        <v>127</v>
      </c>
      <c r="B10" s="8" t="s">
        <v>128</v>
      </c>
      <c r="C10" s="8" t="s">
        <v>129</v>
      </c>
      <c r="D10" s="10" t="s">
        <v>130</v>
      </c>
      <c r="E10" s="10" t="s">
        <v>127</v>
      </c>
      <c r="F10" s="8" t="s">
        <v>131</v>
      </c>
      <c r="G10" s="19" t="n">
        <f aca="false">COUNTIFS('Emails Aug-Sep'!$F$5:$F$104,A10,'Emails Aug-Sep'!$P$5:$P$104,"No")</f>
        <v>1</v>
      </c>
      <c r="H10" s="9" t="s">
        <v>132</v>
      </c>
      <c r="I10" s="20" t="n">
        <f aca="false">IF(G10=0,0,SUMIFS('Emails Aug-Sep'!$H$5:$H$104,'Emails Aug-Sep'!$F$5:$F$104,A10,'Emails Aug-Sep'!$P$5:$P$104,"No")/G10)</f>
        <v>8611</v>
      </c>
      <c r="J10" s="21" t="n">
        <f aca="false">IF(I10=0,0,SUMIFS('Emails Aug-Sep'!$K$5:$K$104,'Emails Aug-Sep'!$F$5:$F$104,A10,'Emails Aug-Sep'!$P$5:$P$104,"No")/SUMIFS('Emails Aug-Sep'!$H$5:$H$104,'Emails Aug-Sep'!$F$5:$F$104,A10,'Emails Aug-Sep'!$P$5:$P$104,"No"))</f>
        <v>0.00696783184299152</v>
      </c>
      <c r="K10" s="22" t="n">
        <f aca="false">IF(I10=0,0,SUMIFS('Emails Aug-Sep'!$L$5:$L$104,'Emails Aug-Sep'!$F$5:$F$104,A10,'Emails Aug-Sep'!$P$5:$P$104,"No")/SUMIFS('Emails Aug-Sep'!$H$5:$H$104,'Emails Aug-Sep'!$F$5:$F$104,A10,'Emails Aug-Sep'!$P$5:$P$104,"No"))</f>
        <v>0.0141679247474161</v>
      </c>
      <c r="L10" s="21" t="n">
        <f aca="false">IF(I10=0,0,SUMIFS('Emails Aug-Sep'!$N$5:$N$104,'Emails Aug-Sep'!$F$5:$F$104,A10,'Emails Aug-Sep'!$P$5:$P$104,"No")/(SUMIFS('Emails Aug-Sep'!$H$5:$H$104,'Emails Aug-Sep'!$F$5:$F$104,A10,'Emails Aug-Sep'!$P$5:$P$104,"No")+SUMIFS('Emails Aug-Sep'!$N$5:$N$104,'Emails Aug-Sep'!$F$5:$F$104,A10,'Emails Aug-Sep'!$P$5:$P$104,"No")))</f>
        <v>0.0129527739569005</v>
      </c>
      <c r="M10" s="9" t="str">
        <f aca="false">IF(I10&lt;300,"Small list",IF(OR(J10&lt;0.015,K10&gt;0.005),"Fix",IF(OR(J10&lt;0.03,K10&gt;0.002),"Watch","Good")))</f>
        <v>Fix</v>
      </c>
      <c r="N10" s="10" t="s">
        <v>133</v>
      </c>
    </row>
    <row r="11" customFormat="false" ht="15" hidden="false" customHeight="true" outlineLevel="0" collapsed="false">
      <c r="A11" s="6" t="s">
        <v>134</v>
      </c>
      <c r="B11" s="8" t="s">
        <v>114</v>
      </c>
      <c r="C11" s="8" t="s">
        <v>135</v>
      </c>
      <c r="D11" s="10" t="s">
        <v>136</v>
      </c>
      <c r="E11" s="10" t="s">
        <v>136</v>
      </c>
      <c r="F11" s="8" t="s">
        <v>110</v>
      </c>
      <c r="G11" s="19" t="n">
        <f aca="false">COUNTIFS('Emails Aug-Sep'!$F$5:$F$104,A11,'Emails Aug-Sep'!$P$5:$P$104,"No")</f>
        <v>2</v>
      </c>
      <c r="H11" s="9" t="s">
        <v>132</v>
      </c>
      <c r="I11" s="20" t="n">
        <f aca="false">IF(G11=0,0,SUMIFS('Emails Aug-Sep'!$H$5:$H$104,'Emails Aug-Sep'!$F$5:$F$104,A11,'Emails Aug-Sep'!$P$5:$P$104,"No")/G11)</f>
        <v>2756</v>
      </c>
      <c r="J11" s="21" t="n">
        <f aca="false">IF(I11=0,0,SUMIFS('Emails Aug-Sep'!$K$5:$K$104,'Emails Aug-Sep'!$F$5:$F$104,A11,'Emails Aug-Sep'!$P$5:$P$104,"No")/SUMIFS('Emails Aug-Sep'!$H$5:$H$104,'Emails Aug-Sep'!$F$5:$F$104,A11,'Emails Aug-Sep'!$P$5:$P$104,"No"))</f>
        <v>0.0295718432510885</v>
      </c>
      <c r="K11" s="22" t="n">
        <f aca="false">IF(I11=0,0,SUMIFS('Emails Aug-Sep'!$L$5:$L$104,'Emails Aug-Sep'!$F$5:$F$104,A11,'Emails Aug-Sep'!$P$5:$P$104,"No")/SUMIFS('Emails Aug-Sep'!$H$5:$H$104,'Emails Aug-Sep'!$F$5:$F$104,A11,'Emails Aug-Sep'!$P$5:$P$104,"No"))</f>
        <v>0.00362844702467344</v>
      </c>
      <c r="L11" s="21" t="n">
        <f aca="false">IF(I11=0,0,SUMIFS('Emails Aug-Sep'!$N$5:$N$104,'Emails Aug-Sep'!$F$5:$F$104,A11,'Emails Aug-Sep'!$P$5:$P$104,"No")/(SUMIFS('Emails Aug-Sep'!$H$5:$H$104,'Emails Aug-Sep'!$F$5:$F$104,A11,'Emails Aug-Sep'!$P$5:$P$104,"No")+SUMIFS('Emails Aug-Sep'!$N$5:$N$104,'Emails Aug-Sep'!$F$5:$F$104,A11,'Emails Aug-Sep'!$P$5:$P$104,"No")))</f>
        <v>0.00630971696412475</v>
      </c>
      <c r="M11" s="9" t="str">
        <f aca="false">IF(I11&lt;300,"Small list",IF(OR(J11&lt;0.015,K11&gt;0.005),"Fix",IF(OR(J11&lt;0.03,K11&gt;0.002),"Watch","Good")))</f>
        <v>Watch</v>
      </c>
      <c r="N11" s="10"/>
    </row>
    <row r="12" customFormat="false" ht="23.25" hidden="false" customHeight="true" outlineLevel="0" collapsed="false">
      <c r="A12" s="6" t="s">
        <v>137</v>
      </c>
      <c r="B12" s="8" t="s">
        <v>138</v>
      </c>
      <c r="C12" s="8" t="s">
        <v>139</v>
      </c>
      <c r="D12" s="10" t="s">
        <v>140</v>
      </c>
      <c r="E12" s="10" t="s">
        <v>141</v>
      </c>
      <c r="F12" s="8" t="s">
        <v>110</v>
      </c>
      <c r="G12" s="19" t="n">
        <f aca="false">COUNTIFS('Emails Aug-Sep'!$F$5:$F$104,A12,'Emails Aug-Sep'!$P$5:$P$104,"No")</f>
        <v>1</v>
      </c>
      <c r="H12" s="9" t="s">
        <v>142</v>
      </c>
      <c r="I12" s="20" t="n">
        <f aca="false">IF(G12=0,0,SUMIFS('Emails Aug-Sep'!$H$5:$H$104,'Emails Aug-Sep'!$F$5:$F$104,A12,'Emails Aug-Sep'!$P$5:$P$104,"No")/G12)</f>
        <v>4384</v>
      </c>
      <c r="J12" s="21" t="n">
        <f aca="false">IF(I12=0,0,SUMIFS('Emails Aug-Sep'!$K$5:$K$104,'Emails Aug-Sep'!$F$5:$F$104,A12,'Emails Aug-Sep'!$P$5:$P$104,"No")/SUMIFS('Emails Aug-Sep'!$H$5:$H$104,'Emails Aug-Sep'!$F$5:$F$104,A12,'Emails Aug-Sep'!$P$5:$P$104,"No"))</f>
        <v>0.020985401459854</v>
      </c>
      <c r="K12" s="22" t="n">
        <f aca="false">IF(I12=0,0,SUMIFS('Emails Aug-Sep'!$L$5:$L$104,'Emails Aug-Sep'!$F$5:$F$104,A12,'Emails Aug-Sep'!$P$5:$P$104,"No")/SUMIFS('Emails Aug-Sep'!$H$5:$H$104,'Emails Aug-Sep'!$F$5:$F$104,A12,'Emails Aug-Sep'!$P$5:$P$104,"No"))</f>
        <v>0.00342153284671533</v>
      </c>
      <c r="L12" s="21" t="n">
        <f aca="false">IF(I12=0,0,SUMIFS('Emails Aug-Sep'!$N$5:$N$104,'Emails Aug-Sep'!$F$5:$F$104,A12,'Emails Aug-Sep'!$P$5:$P$104,"No")/(SUMIFS('Emails Aug-Sep'!$H$5:$H$104,'Emails Aug-Sep'!$F$5:$F$104,A12,'Emails Aug-Sep'!$P$5:$P$104,"No")+SUMIFS('Emails Aug-Sep'!$N$5:$N$104,'Emails Aug-Sep'!$F$5:$F$104,A12,'Emails Aug-Sep'!$P$5:$P$104,"No")))</f>
        <v>0.010160307067058</v>
      </c>
      <c r="M12" s="9" t="str">
        <f aca="false">IF(I12&lt;300,"Small list",IF(OR(J12&lt;0.015,K12&gt;0.005),"Fix",IF(OR(J12&lt;0.03,K12&gt;0.002),"Watch","Good")))</f>
        <v>Watch</v>
      </c>
      <c r="N12" s="10"/>
    </row>
    <row r="13" customFormat="false" ht="23.25" hidden="false" customHeight="true" outlineLevel="0" collapsed="false">
      <c r="A13" s="6" t="s">
        <v>143</v>
      </c>
      <c r="B13" s="8" t="s">
        <v>114</v>
      </c>
      <c r="C13" s="8" t="s">
        <v>144</v>
      </c>
      <c r="D13" s="10" t="s">
        <v>145</v>
      </c>
      <c r="E13" s="10" t="s">
        <v>145</v>
      </c>
      <c r="F13" s="8" t="s">
        <v>146</v>
      </c>
      <c r="G13" s="19" t="n">
        <f aca="false">COUNTIFS('Emails Aug-Sep'!$F$5:$F$104,A13,'Emails Aug-Sep'!$P$5:$P$104,"No")</f>
        <v>4</v>
      </c>
      <c r="H13" s="9" t="s">
        <v>123</v>
      </c>
      <c r="I13" s="20" t="n">
        <f aca="false">IF(G13=0,0,SUMIFS('Emails Aug-Sep'!$H$5:$H$104,'Emails Aug-Sep'!$F$5:$F$104,A13,'Emails Aug-Sep'!$P$5:$P$104,"No")/G13)</f>
        <v>988.75</v>
      </c>
      <c r="J13" s="21" t="n">
        <f aca="false">IF(I13=0,0,SUMIFS('Emails Aug-Sep'!$K$5:$K$104,'Emails Aug-Sep'!$F$5:$F$104,A13,'Emails Aug-Sep'!$P$5:$P$104,"No")/SUMIFS('Emails Aug-Sep'!$H$5:$H$104,'Emails Aug-Sep'!$F$5:$F$104,A13,'Emails Aug-Sep'!$P$5:$P$104,"No"))</f>
        <v>0.0963337547408344</v>
      </c>
      <c r="K13" s="22" t="n">
        <f aca="false">IF(I13=0,0,SUMIFS('Emails Aug-Sep'!$L$5:$L$104,'Emails Aug-Sep'!$F$5:$F$104,A13,'Emails Aug-Sep'!$P$5:$P$104,"No")/SUMIFS('Emails Aug-Sep'!$H$5:$H$104,'Emails Aug-Sep'!$F$5:$F$104,A13,'Emails Aug-Sep'!$P$5:$P$104,"No"))</f>
        <v>0.000505689001264223</v>
      </c>
      <c r="L13" s="21" t="n">
        <f aca="false">IF(I13=0,0,SUMIFS('Emails Aug-Sep'!$N$5:$N$104,'Emails Aug-Sep'!$F$5:$F$104,A13,'Emails Aug-Sep'!$P$5:$P$104,"No")/(SUMIFS('Emails Aug-Sep'!$H$5:$H$104,'Emails Aug-Sep'!$F$5:$F$104,A13,'Emails Aug-Sep'!$P$5:$P$104,"No")+SUMIFS('Emails Aug-Sep'!$N$5:$N$104,'Emails Aug-Sep'!$F$5:$F$104,A13,'Emails Aug-Sep'!$P$5:$P$104,"No")))</f>
        <v>0.00201867272268483</v>
      </c>
      <c r="M13" s="9" t="str">
        <f aca="false">IF(I13&lt;300,"Small list",IF(OR(J13&lt;0.015,K13&gt;0.005),"Fix",IF(OR(J13&lt;0.03,K13&gt;0.002),"Watch","Good")))</f>
        <v>Good</v>
      </c>
      <c r="N13" s="10" t="s">
        <v>147</v>
      </c>
    </row>
    <row r="14" customFormat="false" ht="23.25" hidden="false" customHeight="true" outlineLevel="0" collapsed="false">
      <c r="A14" s="6" t="s">
        <v>148</v>
      </c>
      <c r="B14" s="8" t="s">
        <v>114</v>
      </c>
      <c r="C14" s="8" t="s">
        <v>149</v>
      </c>
      <c r="D14" s="10" t="s">
        <v>150</v>
      </c>
      <c r="E14" s="10" t="s">
        <v>117</v>
      </c>
      <c r="F14" s="8" t="s">
        <v>110</v>
      </c>
      <c r="G14" s="19" t="n">
        <f aca="false">COUNTIFS('Emails Aug-Sep'!$F$5:$F$104,A14,'Emails Aug-Sep'!$P$5:$P$104,"No")</f>
        <v>1</v>
      </c>
      <c r="H14" s="9" t="s">
        <v>151</v>
      </c>
      <c r="I14" s="20" t="n">
        <f aca="false">IF(G14=0,0,SUMIFS('Emails Aug-Sep'!$H$5:$H$104,'Emails Aug-Sep'!$F$5:$F$104,A14,'Emails Aug-Sep'!$P$5:$P$104,"No")/G14)</f>
        <v>3302</v>
      </c>
      <c r="J14" s="21" t="n">
        <f aca="false">IF(I14=0,0,SUMIFS('Emails Aug-Sep'!$K$5:$K$104,'Emails Aug-Sep'!$F$5:$F$104,A14,'Emails Aug-Sep'!$P$5:$P$104,"No")/SUMIFS('Emails Aug-Sep'!$H$5:$H$104,'Emails Aug-Sep'!$F$5:$F$104,A14,'Emails Aug-Sep'!$P$5:$P$104,"No"))</f>
        <v>0.0151423379769836</v>
      </c>
      <c r="K14" s="22" t="n">
        <f aca="false">IF(I14=0,0,SUMIFS('Emails Aug-Sep'!$L$5:$L$104,'Emails Aug-Sep'!$F$5:$F$104,A14,'Emails Aug-Sep'!$P$5:$P$104,"No")/SUMIFS('Emails Aug-Sep'!$H$5:$H$104,'Emails Aug-Sep'!$F$5:$F$104,A14,'Emails Aug-Sep'!$P$5:$P$104,"No"))</f>
        <v>0.00757116898849182</v>
      </c>
      <c r="L14" s="21" t="n">
        <f aca="false">IF(I14=0,0,SUMIFS('Emails Aug-Sep'!$N$5:$N$104,'Emails Aug-Sep'!$F$5:$F$104,A14,'Emails Aug-Sep'!$P$5:$P$104,"No")/(SUMIFS('Emails Aug-Sep'!$H$5:$H$104,'Emails Aug-Sep'!$F$5:$F$104,A14,'Emails Aug-Sep'!$P$5:$P$104,"No")+SUMIFS('Emails Aug-Sep'!$N$5:$N$104,'Emails Aug-Sep'!$F$5:$F$104,A14,'Emails Aug-Sep'!$P$5:$P$104,"No")))</f>
        <v>0.0222090612970092</v>
      </c>
      <c r="M14" s="9" t="str">
        <f aca="false">IF(I14&lt;300,"Small list",IF(OR(J14&lt;0.015,K14&gt;0.005),"Fix",IF(OR(J14&lt;0.03,K14&gt;0.002),"Watch","Good")))</f>
        <v>Fix</v>
      </c>
      <c r="N14" s="10" t="s">
        <v>152</v>
      </c>
    </row>
    <row r="15" customFormat="false" ht="23.25" hidden="false" customHeight="true" outlineLevel="0" collapsed="false">
      <c r="A15" s="6" t="s">
        <v>153</v>
      </c>
      <c r="B15" s="8" t="s">
        <v>114</v>
      </c>
      <c r="C15" s="8" t="s">
        <v>154</v>
      </c>
      <c r="D15" s="10" t="s">
        <v>155</v>
      </c>
      <c r="E15" s="10" t="s">
        <v>117</v>
      </c>
      <c r="F15" s="8" t="s">
        <v>110</v>
      </c>
      <c r="G15" s="19" t="n">
        <f aca="false">COUNTIFS('Emails Aug-Sep'!$F$5:$F$104,A15,'Emails Aug-Sep'!$P$5:$P$104,"No")</f>
        <v>1</v>
      </c>
      <c r="H15" s="9" t="s">
        <v>156</v>
      </c>
      <c r="I15" s="20" t="n">
        <f aca="false">IF(G15=0,0,SUMIFS('Emails Aug-Sep'!$H$5:$H$104,'Emails Aug-Sep'!$F$5:$F$104,A15,'Emails Aug-Sep'!$P$5:$P$104,"No")/G15)</f>
        <v>1787</v>
      </c>
      <c r="J15" s="21" t="n">
        <f aca="false">IF(I15=0,0,SUMIFS('Emails Aug-Sep'!$K$5:$K$104,'Emails Aug-Sep'!$F$5:$F$104,A15,'Emails Aug-Sep'!$P$5:$P$104,"No")/SUMIFS('Emails Aug-Sep'!$H$5:$H$104,'Emails Aug-Sep'!$F$5:$F$104,A15,'Emails Aug-Sep'!$P$5:$P$104,"No"))</f>
        <v>0.0218242865137101</v>
      </c>
      <c r="K15" s="22" t="n">
        <f aca="false">IF(I15=0,0,SUMIFS('Emails Aug-Sep'!$L$5:$L$104,'Emails Aug-Sep'!$F$5:$F$104,A15,'Emails Aug-Sep'!$P$5:$P$104,"No")/SUMIFS('Emails Aug-Sep'!$H$5:$H$104,'Emails Aug-Sep'!$F$5:$F$104,A15,'Emails Aug-Sep'!$P$5:$P$104,"No"))</f>
        <v>0.00559597090095132</v>
      </c>
      <c r="L15" s="21" t="n">
        <f aca="false">IF(I15=0,0,SUMIFS('Emails Aug-Sep'!$N$5:$N$104,'Emails Aug-Sep'!$F$5:$F$104,A15,'Emails Aug-Sep'!$P$5:$P$104,"No")/(SUMIFS('Emails Aug-Sep'!$H$5:$H$104,'Emails Aug-Sep'!$F$5:$F$104,A15,'Emails Aug-Sep'!$P$5:$P$104,"No")+SUMIFS('Emails Aug-Sep'!$N$5:$N$104,'Emails Aug-Sep'!$F$5:$F$104,A15,'Emails Aug-Sep'!$P$5:$P$104,"No")))</f>
        <v>0.00722222222222222</v>
      </c>
      <c r="M15" s="9" t="str">
        <f aca="false">IF(I15&lt;300,"Small list",IF(OR(J15&lt;0.015,K15&gt;0.005),"Fix",IF(OR(J15&lt;0.03,K15&gt;0.002),"Watch","Good")))</f>
        <v>Fix</v>
      </c>
      <c r="N15" s="10"/>
    </row>
    <row r="16" customFormat="false" ht="23.25" hidden="false" customHeight="true" outlineLevel="0" collapsed="false">
      <c r="A16" s="6" t="s">
        <v>157</v>
      </c>
      <c r="B16" s="8" t="s">
        <v>128</v>
      </c>
      <c r="C16" s="8" t="s">
        <v>158</v>
      </c>
      <c r="D16" s="10" t="s">
        <v>159</v>
      </c>
      <c r="E16" s="10" t="s">
        <v>117</v>
      </c>
      <c r="F16" s="8" t="s">
        <v>110</v>
      </c>
      <c r="G16" s="19" t="n">
        <f aca="false">COUNTIFS('Emails Aug-Sep'!$F$5:$F$104,A16,'Emails Aug-Sep'!$P$5:$P$104,"No")</f>
        <v>1</v>
      </c>
      <c r="H16" s="9" t="s">
        <v>160</v>
      </c>
      <c r="I16" s="20" t="n">
        <f aca="false">IF(G16=0,0,SUMIFS('Emails Aug-Sep'!$H$5:$H$104,'Emails Aug-Sep'!$F$5:$F$104,A16,'Emails Aug-Sep'!$P$5:$P$104,"No")/G16)</f>
        <v>1430</v>
      </c>
      <c r="J16" s="21" t="n">
        <f aca="false">IF(I16=0,0,SUMIFS('Emails Aug-Sep'!$K$5:$K$104,'Emails Aug-Sep'!$F$5:$F$104,A16,'Emails Aug-Sep'!$P$5:$P$104,"No")/SUMIFS('Emails Aug-Sep'!$H$5:$H$104,'Emails Aug-Sep'!$F$5:$F$104,A16,'Emails Aug-Sep'!$P$5:$P$104,"No"))</f>
        <v>0.0132867132867133</v>
      </c>
      <c r="K16" s="22" t="n">
        <f aca="false">IF(I16=0,0,SUMIFS('Emails Aug-Sep'!$L$5:$L$104,'Emails Aug-Sep'!$F$5:$F$104,A16,'Emails Aug-Sep'!$P$5:$P$104,"No")/SUMIFS('Emails Aug-Sep'!$H$5:$H$104,'Emails Aug-Sep'!$F$5:$F$104,A16,'Emails Aug-Sep'!$P$5:$P$104,"No"))</f>
        <v>0.00559440559440559</v>
      </c>
      <c r="L16" s="21" t="n">
        <f aca="false">IF(I16=0,0,SUMIFS('Emails Aug-Sep'!$N$5:$N$104,'Emails Aug-Sep'!$F$5:$F$104,A16,'Emails Aug-Sep'!$P$5:$P$104,"No")/(SUMIFS('Emails Aug-Sep'!$H$5:$H$104,'Emails Aug-Sep'!$F$5:$F$104,A16,'Emails Aug-Sep'!$P$5:$P$104,"No")+SUMIFS('Emails Aug-Sep'!$N$5:$N$104,'Emails Aug-Sep'!$F$5:$F$104,A16,'Emails Aug-Sep'!$P$5:$P$104,"No")))</f>
        <v>0.00694444444444444</v>
      </c>
      <c r="M16" s="9" t="str">
        <f aca="false">IF(I16&lt;300,"Small list",IF(OR(J16&lt;0.015,K16&gt;0.005),"Fix",IF(OR(J16&lt;0.03,K16&gt;0.002),"Watch","Good")))</f>
        <v>Fix</v>
      </c>
      <c r="N16" s="10" t="s">
        <v>161</v>
      </c>
    </row>
    <row r="17" customFormat="false" ht="23.25" hidden="false" customHeight="true" outlineLevel="0" collapsed="false">
      <c r="A17" s="6" t="s">
        <v>162</v>
      </c>
      <c r="B17" s="8" t="s">
        <v>114</v>
      </c>
      <c r="C17" s="8" t="s">
        <v>163</v>
      </c>
      <c r="D17" s="10" t="s">
        <v>164</v>
      </c>
      <c r="E17" s="10" t="s">
        <v>117</v>
      </c>
      <c r="F17" s="8" t="s">
        <v>110</v>
      </c>
      <c r="G17" s="19" t="n">
        <f aca="false">COUNTIFS('Emails Aug-Sep'!$F$5:$F$104,A17,'Emails Aug-Sep'!$P$5:$P$104,"No")</f>
        <v>1</v>
      </c>
      <c r="H17" s="9" t="s">
        <v>165</v>
      </c>
      <c r="I17" s="20" t="n">
        <f aca="false">IF(G17=0,0,SUMIFS('Emails Aug-Sep'!$H$5:$H$104,'Emails Aug-Sep'!$F$5:$F$104,A17,'Emails Aug-Sep'!$P$5:$P$104,"No")/G17)</f>
        <v>1420</v>
      </c>
      <c r="J17" s="21" t="n">
        <f aca="false">IF(I17=0,0,SUMIFS('Emails Aug-Sep'!$K$5:$K$104,'Emails Aug-Sep'!$F$5:$F$104,A17,'Emails Aug-Sep'!$P$5:$P$104,"No")/SUMIFS('Emails Aug-Sep'!$H$5:$H$104,'Emails Aug-Sep'!$F$5:$F$104,A17,'Emails Aug-Sep'!$P$5:$P$104,"No"))</f>
        <v>0.0190140845070423</v>
      </c>
      <c r="K17" s="22" t="n">
        <f aca="false">IF(I17=0,0,SUMIFS('Emails Aug-Sep'!$L$5:$L$104,'Emails Aug-Sep'!$F$5:$F$104,A17,'Emails Aug-Sep'!$P$5:$P$104,"No")/SUMIFS('Emails Aug-Sep'!$H$5:$H$104,'Emails Aug-Sep'!$F$5:$F$104,A17,'Emails Aug-Sep'!$P$5:$P$104,"No"))</f>
        <v>0.00563380281690141</v>
      </c>
      <c r="L17" s="21" t="n">
        <f aca="false">IF(I17=0,0,SUMIFS('Emails Aug-Sep'!$N$5:$N$104,'Emails Aug-Sep'!$F$5:$F$104,A17,'Emails Aug-Sep'!$P$5:$P$104,"No")/(SUMIFS('Emails Aug-Sep'!$H$5:$H$104,'Emails Aug-Sep'!$F$5:$F$104,A17,'Emails Aug-Sep'!$P$5:$P$104,"No")+SUMIFS('Emails Aug-Sep'!$N$5:$N$104,'Emails Aug-Sep'!$F$5:$F$104,A17,'Emails Aug-Sep'!$P$5:$P$104,"No")))</f>
        <v>0.0076869322152341</v>
      </c>
      <c r="M17" s="9" t="str">
        <f aca="false">IF(I17&lt;300,"Small list",IF(OR(J17&lt;0.015,K17&gt;0.005),"Fix",IF(OR(J17&lt;0.03,K17&gt;0.002),"Watch","Good")))</f>
        <v>Fix</v>
      </c>
      <c r="N17" s="10"/>
    </row>
    <row r="18" customFormat="false" ht="23.25" hidden="false" customHeight="true" outlineLevel="0" collapsed="false">
      <c r="A18" s="6" t="s">
        <v>166</v>
      </c>
      <c r="B18" s="8" t="s">
        <v>167</v>
      </c>
      <c r="C18" s="8" t="s">
        <v>167</v>
      </c>
      <c r="D18" s="10" t="s">
        <v>168</v>
      </c>
      <c r="E18" s="10" t="s">
        <v>169</v>
      </c>
      <c r="F18" s="8" t="s">
        <v>110</v>
      </c>
      <c r="G18" s="19" t="n">
        <f aca="false">COUNTIFS('Emails Aug-Sep'!$F$5:$F$104,A18,'Emails Aug-Sep'!$P$5:$P$104,"No")</f>
        <v>2</v>
      </c>
      <c r="H18" s="9" t="s">
        <v>123</v>
      </c>
      <c r="I18" s="20" t="n">
        <f aca="false">IF(G18=0,0,SUMIFS('Emails Aug-Sep'!$H$5:$H$104,'Emails Aug-Sep'!$F$5:$F$104,A18,'Emails Aug-Sep'!$P$5:$P$104,"No")/G18)</f>
        <v>641</v>
      </c>
      <c r="J18" s="21" t="n">
        <f aca="false">IF(I18=0,0,SUMIFS('Emails Aug-Sep'!$K$5:$K$104,'Emails Aug-Sep'!$F$5:$F$104,A18,'Emails Aug-Sep'!$P$5:$P$104,"No")/SUMIFS('Emails Aug-Sep'!$H$5:$H$104,'Emails Aug-Sep'!$F$5:$F$104,A18,'Emails Aug-Sep'!$P$5:$P$104,"No"))</f>
        <v>0.0709828393135726</v>
      </c>
      <c r="K18" s="22" t="n">
        <f aca="false">IF(I18=0,0,SUMIFS('Emails Aug-Sep'!$L$5:$L$104,'Emails Aug-Sep'!$F$5:$F$104,A18,'Emails Aug-Sep'!$P$5:$P$104,"No")/SUMIFS('Emails Aug-Sep'!$H$5:$H$104,'Emails Aug-Sep'!$F$5:$F$104,A18,'Emails Aug-Sep'!$P$5:$P$104,"No"))</f>
        <v>0</v>
      </c>
      <c r="L18" s="21" t="n">
        <f aca="false">IF(I18=0,0,SUMIFS('Emails Aug-Sep'!$N$5:$N$104,'Emails Aug-Sep'!$F$5:$F$104,A18,'Emails Aug-Sep'!$P$5:$P$104,"No")/(SUMIFS('Emails Aug-Sep'!$H$5:$H$104,'Emails Aug-Sep'!$F$5:$F$104,A18,'Emails Aug-Sep'!$P$5:$P$104,"No")+SUMIFS('Emails Aug-Sep'!$N$5:$N$104,'Emails Aug-Sep'!$F$5:$F$104,A18,'Emails Aug-Sep'!$P$5:$P$104,"No")))</f>
        <v>0.0031104199066874</v>
      </c>
      <c r="M18" s="9" t="str">
        <f aca="false">IF(I18&lt;300,"Small list",IF(OR(J18&lt;0.015,K18&gt;0.005),"Fix",IF(OR(J18&lt;0.03,K18&gt;0.002),"Watch","Good")))</f>
        <v>Good</v>
      </c>
      <c r="N18" s="10"/>
    </row>
    <row r="19" customFormat="false" ht="15" hidden="false" customHeight="true" outlineLevel="0" collapsed="false">
      <c r="A19" s="6" t="s">
        <v>170</v>
      </c>
      <c r="B19" s="8" t="s">
        <v>138</v>
      </c>
      <c r="C19" s="8" t="s">
        <v>171</v>
      </c>
      <c r="D19" s="10" t="s">
        <v>172</v>
      </c>
      <c r="E19" s="10" t="s">
        <v>173</v>
      </c>
      <c r="F19" s="8" t="s">
        <v>110</v>
      </c>
      <c r="G19" s="19" t="n">
        <f aca="false">COUNTIFS('Emails Aug-Sep'!$F$5:$F$104,A19,'Emails Aug-Sep'!$P$5:$P$104,"No")</f>
        <v>1</v>
      </c>
      <c r="H19" s="9" t="s">
        <v>174</v>
      </c>
      <c r="I19" s="20" t="n">
        <f aca="false">IF(G19=0,0,SUMIFS('Emails Aug-Sep'!$H$5:$H$104,'Emails Aug-Sep'!$F$5:$F$104,A19,'Emails Aug-Sep'!$P$5:$P$104,"No")/G19)</f>
        <v>805</v>
      </c>
      <c r="J19" s="21" t="n">
        <f aca="false">IF(I19=0,0,SUMIFS('Emails Aug-Sep'!$K$5:$K$104,'Emails Aug-Sep'!$F$5:$F$104,A19,'Emails Aug-Sep'!$P$5:$P$104,"No")/SUMIFS('Emails Aug-Sep'!$H$5:$H$104,'Emails Aug-Sep'!$F$5:$F$104,A19,'Emails Aug-Sep'!$P$5:$P$104,"No"))</f>
        <v>0.00745341614906832</v>
      </c>
      <c r="K19" s="22" t="n">
        <f aca="false">IF(I19=0,0,SUMIFS('Emails Aug-Sep'!$L$5:$L$104,'Emails Aug-Sep'!$F$5:$F$104,A19,'Emails Aug-Sep'!$P$5:$P$104,"No")/SUMIFS('Emails Aug-Sep'!$H$5:$H$104,'Emails Aug-Sep'!$F$5:$F$104,A19,'Emails Aug-Sep'!$P$5:$P$104,"No"))</f>
        <v>0.00993788819875776</v>
      </c>
      <c r="L19" s="21" t="n">
        <f aca="false">IF(I19=0,0,SUMIFS('Emails Aug-Sep'!$N$5:$N$104,'Emails Aug-Sep'!$F$5:$F$104,A19,'Emails Aug-Sep'!$P$5:$P$104,"No")/(SUMIFS('Emails Aug-Sep'!$H$5:$H$104,'Emails Aug-Sep'!$F$5:$F$104,A19,'Emails Aug-Sep'!$P$5:$P$104,"No")+SUMIFS('Emails Aug-Sep'!$N$5:$N$104,'Emails Aug-Sep'!$F$5:$F$104,A19,'Emails Aug-Sep'!$P$5:$P$104,"No")))</f>
        <v>0.0393794749403341</v>
      </c>
      <c r="M19" s="9" t="str">
        <f aca="false">IF(I19&lt;300,"Small list",IF(OR(J19&lt;0.015,K19&gt;0.005),"Fix",IF(OR(J19&lt;0.03,K19&gt;0.002),"Watch","Good")))</f>
        <v>Fix</v>
      </c>
      <c r="N19" s="10" t="s">
        <v>175</v>
      </c>
    </row>
    <row r="20" customFormat="false" ht="23.25" hidden="false" customHeight="true" outlineLevel="0" collapsed="false">
      <c r="A20" s="6" t="s">
        <v>176</v>
      </c>
      <c r="B20" s="8" t="s">
        <v>138</v>
      </c>
      <c r="C20" s="8" t="s">
        <v>139</v>
      </c>
      <c r="D20" s="10" t="s">
        <v>140</v>
      </c>
      <c r="E20" s="10" t="s">
        <v>141</v>
      </c>
      <c r="F20" s="8" t="s">
        <v>110</v>
      </c>
      <c r="G20" s="19" t="n">
        <f aca="false">COUNTIFS('Emails Aug-Sep'!$F$5:$F$104,A20,'Emails Aug-Sep'!$P$5:$P$104,"No")</f>
        <v>1</v>
      </c>
      <c r="H20" s="9" t="s">
        <v>177</v>
      </c>
      <c r="I20" s="20" t="n">
        <f aca="false">IF(G20=0,0,SUMIFS('Emails Aug-Sep'!$H$5:$H$104,'Emails Aug-Sep'!$F$5:$F$104,A20,'Emails Aug-Sep'!$P$5:$P$104,"No")/G20)</f>
        <v>612</v>
      </c>
      <c r="J20" s="21" t="n">
        <f aca="false">IF(I20=0,0,SUMIFS('Emails Aug-Sep'!$K$5:$K$104,'Emails Aug-Sep'!$F$5:$F$104,A20,'Emails Aug-Sep'!$P$5:$P$104,"No")/SUMIFS('Emails Aug-Sep'!$H$5:$H$104,'Emails Aug-Sep'!$F$5:$F$104,A20,'Emails Aug-Sep'!$P$5:$P$104,"No"))</f>
        <v>0.00490196078431373</v>
      </c>
      <c r="K20" s="22" t="n">
        <f aca="false">IF(I20=0,0,SUMIFS('Emails Aug-Sep'!$L$5:$L$104,'Emails Aug-Sep'!$F$5:$F$104,A20,'Emails Aug-Sep'!$P$5:$P$104,"No")/SUMIFS('Emails Aug-Sep'!$H$5:$H$104,'Emails Aug-Sep'!$F$5:$F$104,A20,'Emails Aug-Sep'!$P$5:$P$104,"No"))</f>
        <v>0.00490196078431373</v>
      </c>
      <c r="L20" s="21" t="n">
        <f aca="false">IF(I20=0,0,SUMIFS('Emails Aug-Sep'!$N$5:$N$104,'Emails Aug-Sep'!$F$5:$F$104,A20,'Emails Aug-Sep'!$P$5:$P$104,"No")/(SUMIFS('Emails Aug-Sep'!$H$5:$H$104,'Emails Aug-Sep'!$F$5:$F$104,A20,'Emails Aug-Sep'!$P$5:$P$104,"No")+SUMIFS('Emails Aug-Sep'!$N$5:$N$104,'Emails Aug-Sep'!$F$5:$F$104,A20,'Emails Aug-Sep'!$P$5:$P$104,"No")))</f>
        <v>0.0160771704180064</v>
      </c>
      <c r="M20" s="9" t="str">
        <f aca="false">IF(I20&lt;300,"Small list",IF(OR(J20&lt;0.015,K20&gt;0.005),"Fix",IF(OR(J20&lt;0.03,K20&gt;0.002),"Watch","Good")))</f>
        <v>Fix</v>
      </c>
      <c r="N20" s="10" t="s">
        <v>178</v>
      </c>
    </row>
    <row r="21" customFormat="false" ht="34.5" hidden="false" customHeight="true" outlineLevel="0" collapsed="false">
      <c r="A21" s="6" t="s">
        <v>179</v>
      </c>
      <c r="B21" s="8" t="s">
        <v>128</v>
      </c>
      <c r="C21" s="8" t="s">
        <v>180</v>
      </c>
      <c r="D21" s="10" t="s">
        <v>181</v>
      </c>
      <c r="E21" s="10" t="s">
        <v>182</v>
      </c>
      <c r="F21" s="8" t="s">
        <v>183</v>
      </c>
      <c r="G21" s="19" t="n">
        <f aca="false">COUNTIFS('Emails Aug-Sep'!$F$5:$F$104,A21,'Emails Aug-Sep'!$P$5:$P$104,"No")</f>
        <v>3</v>
      </c>
      <c r="H21" s="9" t="s">
        <v>111</v>
      </c>
      <c r="I21" s="20" t="n">
        <f aca="false">IF(G21=0,0,SUMIFS('Emails Aug-Sep'!$H$5:$H$104,'Emails Aug-Sep'!$F$5:$F$104,A21,'Emails Aug-Sep'!$P$5:$P$104,"No")/G21)</f>
        <v>126.333333333333</v>
      </c>
      <c r="J21" s="21" t="n">
        <f aca="false">IF(I21=0,0,SUMIFS('Emails Aug-Sep'!$K$5:$K$104,'Emails Aug-Sep'!$F$5:$F$104,A21,'Emails Aug-Sep'!$P$5:$P$104,"No")/SUMIFS('Emails Aug-Sep'!$H$5:$H$104,'Emails Aug-Sep'!$F$5:$F$104,A21,'Emails Aug-Sep'!$P$5:$P$104,"No"))</f>
        <v>0.0316622691292876</v>
      </c>
      <c r="K21" s="22" t="n">
        <f aca="false">IF(I21=0,0,SUMIFS('Emails Aug-Sep'!$L$5:$L$104,'Emails Aug-Sep'!$F$5:$F$104,A21,'Emails Aug-Sep'!$P$5:$P$104,"No")/SUMIFS('Emails Aug-Sep'!$H$5:$H$104,'Emails Aug-Sep'!$F$5:$F$104,A21,'Emails Aug-Sep'!$P$5:$P$104,"No"))</f>
        <v>0.00527704485488127</v>
      </c>
      <c r="L21" s="21" t="n">
        <f aca="false">IF(I21=0,0,SUMIFS('Emails Aug-Sep'!$N$5:$N$104,'Emails Aug-Sep'!$F$5:$F$104,A21,'Emails Aug-Sep'!$P$5:$P$104,"No")/(SUMIFS('Emails Aug-Sep'!$H$5:$H$104,'Emails Aug-Sep'!$F$5:$F$104,A21,'Emails Aug-Sep'!$P$5:$P$104,"No")+SUMIFS('Emails Aug-Sep'!$N$5:$N$104,'Emails Aug-Sep'!$F$5:$F$104,A21,'Emails Aug-Sep'!$P$5:$P$104,"No")))</f>
        <v>0</v>
      </c>
      <c r="M21" s="9" t="str">
        <f aca="false">IF(I21&lt;300,"Small list",IF(OR(J21&lt;0.015,K21&gt;0.005),"Fix",IF(OR(J21&lt;0.03,K21&gt;0.002),"Watch","Good")))</f>
        <v>Small list</v>
      </c>
      <c r="N21" s="10" t="s">
        <v>184</v>
      </c>
    </row>
    <row r="22" customFormat="false" ht="23.25" hidden="false" customHeight="true" outlineLevel="0" collapsed="false">
      <c r="A22" s="6" t="s">
        <v>185</v>
      </c>
      <c r="B22" s="8" t="s">
        <v>114</v>
      </c>
      <c r="C22" s="8" t="s">
        <v>186</v>
      </c>
      <c r="D22" s="10" t="s">
        <v>187</v>
      </c>
      <c r="E22" s="10" t="s">
        <v>117</v>
      </c>
      <c r="F22" s="8" t="s">
        <v>110</v>
      </c>
      <c r="G22" s="19" t="n">
        <f aca="false">COUNTIFS('Emails Aug-Sep'!$F$5:$F$104,A22,'Emails Aug-Sep'!$P$5:$P$104,"No")</f>
        <v>1</v>
      </c>
      <c r="H22" s="9" t="s">
        <v>151</v>
      </c>
      <c r="I22" s="20" t="n">
        <f aca="false">IF(G22=0,0,SUMIFS('Emails Aug-Sep'!$H$5:$H$104,'Emails Aug-Sep'!$F$5:$F$104,A22,'Emails Aug-Sep'!$P$5:$P$104,"No")/G22)</f>
        <v>309</v>
      </c>
      <c r="J22" s="21" t="n">
        <f aca="false">IF(I22=0,0,SUMIFS('Emails Aug-Sep'!$K$5:$K$104,'Emails Aug-Sep'!$F$5:$F$104,A22,'Emails Aug-Sep'!$P$5:$P$104,"No")/SUMIFS('Emails Aug-Sep'!$H$5:$H$104,'Emails Aug-Sep'!$F$5:$F$104,A22,'Emails Aug-Sep'!$P$5:$P$104,"No"))</f>
        <v>0.103559870550162</v>
      </c>
      <c r="K22" s="22" t="n">
        <f aca="false">IF(I22=0,0,SUMIFS('Emails Aug-Sep'!$L$5:$L$104,'Emails Aug-Sep'!$F$5:$F$104,A22,'Emails Aug-Sep'!$P$5:$P$104,"No")/SUMIFS('Emails Aug-Sep'!$H$5:$H$104,'Emails Aug-Sep'!$F$5:$F$104,A22,'Emails Aug-Sep'!$P$5:$P$104,"No"))</f>
        <v>0.0194174757281553</v>
      </c>
      <c r="L22" s="21" t="n">
        <f aca="false">IF(I22=0,0,SUMIFS('Emails Aug-Sep'!$N$5:$N$104,'Emails Aug-Sep'!$F$5:$F$104,A22,'Emails Aug-Sep'!$P$5:$P$104,"No")/(SUMIFS('Emails Aug-Sep'!$H$5:$H$104,'Emails Aug-Sep'!$F$5:$F$104,A22,'Emails Aug-Sep'!$P$5:$P$104,"No")+SUMIFS('Emails Aug-Sep'!$N$5:$N$104,'Emails Aug-Sep'!$F$5:$F$104,A22,'Emails Aug-Sep'!$P$5:$P$104,"No")))</f>
        <v>0.0776119402985075</v>
      </c>
      <c r="M22" s="9" t="str">
        <f aca="false">IF(I22&lt;300,"Small list",IF(OR(J22&lt;0.015,K22&gt;0.005),"Fix",IF(OR(J22&lt;0.03,K22&gt;0.002),"Watch","Good")))</f>
        <v>Fix</v>
      </c>
      <c r="N22" s="10" t="s">
        <v>188</v>
      </c>
    </row>
    <row r="23" customFormat="false" ht="23.25" hidden="false" customHeight="true" outlineLevel="0" collapsed="false">
      <c r="A23" s="6" t="s">
        <v>189</v>
      </c>
      <c r="B23" s="8" t="s">
        <v>128</v>
      </c>
      <c r="C23" s="8" t="s">
        <v>190</v>
      </c>
      <c r="D23" s="10" t="s">
        <v>191</v>
      </c>
      <c r="E23" s="10" t="s">
        <v>117</v>
      </c>
      <c r="F23" s="8" t="s">
        <v>192</v>
      </c>
      <c r="G23" s="19" t="n">
        <f aca="false">COUNTIFS('Emails Aug-Sep'!$F$5:$F$104,A23,'Emails Aug-Sep'!$P$5:$P$104,"No")</f>
        <v>1</v>
      </c>
      <c r="H23" s="9" t="s">
        <v>193</v>
      </c>
      <c r="I23" s="20" t="n">
        <f aca="false">IF(G23=0,0,SUMIFS('Emails Aug-Sep'!$H$5:$H$104,'Emails Aug-Sep'!$F$5:$F$104,A23,'Emails Aug-Sep'!$P$5:$P$104,"No")/G23)</f>
        <v>219</v>
      </c>
      <c r="J23" s="21" t="n">
        <f aca="false">IF(I23=0,0,SUMIFS('Emails Aug-Sep'!$K$5:$K$104,'Emails Aug-Sep'!$F$5:$F$104,A23,'Emails Aug-Sep'!$P$5:$P$104,"No")/SUMIFS('Emails Aug-Sep'!$H$5:$H$104,'Emails Aug-Sep'!$F$5:$F$104,A23,'Emails Aug-Sep'!$P$5:$P$104,"No"))</f>
        <v>0.0182648401826484</v>
      </c>
      <c r="K23" s="22" t="n">
        <f aca="false">IF(I23=0,0,SUMIFS('Emails Aug-Sep'!$L$5:$L$104,'Emails Aug-Sep'!$F$5:$F$104,A23,'Emails Aug-Sep'!$P$5:$P$104,"No")/SUMIFS('Emails Aug-Sep'!$H$5:$H$104,'Emails Aug-Sep'!$F$5:$F$104,A23,'Emails Aug-Sep'!$P$5:$P$104,"No"))</f>
        <v>0</v>
      </c>
      <c r="L23" s="21" t="n">
        <f aca="false">IF(I23=0,0,SUMIFS('Emails Aug-Sep'!$N$5:$N$104,'Emails Aug-Sep'!$F$5:$F$104,A23,'Emails Aug-Sep'!$P$5:$P$104,"No")/(SUMIFS('Emails Aug-Sep'!$H$5:$H$104,'Emails Aug-Sep'!$F$5:$F$104,A23,'Emails Aug-Sep'!$P$5:$P$104,"No")+SUMIFS('Emails Aug-Sep'!$N$5:$N$104,'Emails Aug-Sep'!$F$5:$F$104,A23,'Emails Aug-Sep'!$P$5:$P$104,"No")))</f>
        <v>0.00904977375565611</v>
      </c>
      <c r="M23" s="9" t="str">
        <f aca="false">IF(I23&lt;300,"Small list",IF(OR(J23&lt;0.015,K23&gt;0.005),"Fix",IF(OR(J23&lt;0.03,K23&gt;0.002),"Watch","Good")))</f>
        <v>Small list</v>
      </c>
      <c r="N23" s="10"/>
    </row>
    <row r="24" customFormat="false" ht="23.25" hidden="false" customHeight="true" outlineLevel="0" collapsed="false">
      <c r="A24" s="6" t="s">
        <v>194</v>
      </c>
      <c r="B24" s="8" t="s">
        <v>128</v>
      </c>
      <c r="C24" s="8" t="s">
        <v>195</v>
      </c>
      <c r="D24" s="10" t="s">
        <v>196</v>
      </c>
      <c r="E24" s="10" t="s">
        <v>197</v>
      </c>
      <c r="F24" s="8" t="s">
        <v>198</v>
      </c>
      <c r="G24" s="19" t="n">
        <f aca="false">COUNTIFS('Emails Aug-Sep'!$F$5:$F$104,A24,'Emails Aug-Sep'!$P$5:$P$104,"No")</f>
        <v>1</v>
      </c>
      <c r="H24" s="9" t="s">
        <v>199</v>
      </c>
      <c r="I24" s="20" t="n">
        <f aca="false">IF(G24=0,0,SUMIFS('Emails Aug-Sep'!$H$5:$H$104,'Emails Aug-Sep'!$F$5:$F$104,A24,'Emails Aug-Sep'!$P$5:$P$104,"No")/G24)</f>
        <v>54</v>
      </c>
      <c r="J24" s="21" t="n">
        <f aca="false">IF(I24=0,0,SUMIFS('Emails Aug-Sep'!$K$5:$K$104,'Emails Aug-Sep'!$F$5:$F$104,A24,'Emails Aug-Sep'!$P$5:$P$104,"No")/SUMIFS('Emails Aug-Sep'!$H$5:$H$104,'Emails Aug-Sep'!$F$5:$F$104,A24,'Emails Aug-Sep'!$P$5:$P$104,"No"))</f>
        <v>0.0925925925925926</v>
      </c>
      <c r="K24" s="22" t="n">
        <f aca="false">IF(I24=0,0,SUMIFS('Emails Aug-Sep'!$L$5:$L$104,'Emails Aug-Sep'!$F$5:$F$104,A24,'Emails Aug-Sep'!$P$5:$P$104,"No")/SUMIFS('Emails Aug-Sep'!$H$5:$H$104,'Emails Aug-Sep'!$F$5:$F$104,A24,'Emails Aug-Sep'!$P$5:$P$104,"No"))</f>
        <v>0</v>
      </c>
      <c r="L24" s="21" t="n">
        <f aca="false">IF(I24=0,0,SUMIFS('Emails Aug-Sep'!$N$5:$N$104,'Emails Aug-Sep'!$F$5:$F$104,A24,'Emails Aug-Sep'!$P$5:$P$104,"No")/(SUMIFS('Emails Aug-Sep'!$H$5:$H$104,'Emails Aug-Sep'!$F$5:$F$104,A24,'Emails Aug-Sep'!$P$5:$P$104,"No")+SUMIFS('Emails Aug-Sep'!$N$5:$N$104,'Emails Aug-Sep'!$F$5:$F$104,A24,'Emails Aug-Sep'!$P$5:$P$104,"No")))</f>
        <v>0</v>
      </c>
      <c r="M24" s="9" t="str">
        <f aca="false">IF(I24&lt;300,"Small list",IF(OR(J24&lt;0.015,K24&gt;0.005),"Fix",IF(OR(J24&lt;0.03,K24&gt;0.002),"Watch","Good")))</f>
        <v>Small list</v>
      </c>
      <c r="N24" s="10"/>
    </row>
    <row r="25" customFormat="false" ht="15" hidden="false" customHeight="true" outlineLevel="0" collapsed="false">
      <c r="A25" s="6" t="s">
        <v>200</v>
      </c>
      <c r="B25" s="8" t="s">
        <v>138</v>
      </c>
      <c r="C25" s="8" t="s">
        <v>201</v>
      </c>
      <c r="D25" s="10" t="s">
        <v>202</v>
      </c>
      <c r="E25" s="10" t="s">
        <v>109</v>
      </c>
      <c r="F25" s="8" t="s">
        <v>203</v>
      </c>
      <c r="G25" s="19" t="n">
        <f aca="false">COUNTIFS('Emails Aug-Sep'!$F$5:$F$104,A25,'Emails Aug-Sep'!$P$5:$P$104,"No")</f>
        <v>2</v>
      </c>
      <c r="H25" s="9" t="s">
        <v>204</v>
      </c>
      <c r="I25" s="20" t="n">
        <f aca="false">IF(G25=0,0,SUMIFS('Emails Aug-Sep'!$H$5:$H$104,'Emails Aug-Sep'!$F$5:$F$104,A25,'Emails Aug-Sep'!$P$5:$P$104,"No")/G25)</f>
        <v>24</v>
      </c>
      <c r="J25" s="21" t="n">
        <f aca="false">IF(I25=0,0,SUMIFS('Emails Aug-Sep'!$K$5:$K$104,'Emails Aug-Sep'!$F$5:$F$104,A25,'Emails Aug-Sep'!$P$5:$P$104,"No")/SUMIFS('Emails Aug-Sep'!$H$5:$H$104,'Emails Aug-Sep'!$F$5:$F$104,A25,'Emails Aug-Sep'!$P$5:$P$104,"No"))</f>
        <v>0.458333333333333</v>
      </c>
      <c r="K25" s="22" t="n">
        <f aca="false">IF(I25=0,0,SUMIFS('Emails Aug-Sep'!$L$5:$L$104,'Emails Aug-Sep'!$F$5:$F$104,A25,'Emails Aug-Sep'!$P$5:$P$104,"No")/SUMIFS('Emails Aug-Sep'!$H$5:$H$104,'Emails Aug-Sep'!$F$5:$F$104,A25,'Emails Aug-Sep'!$P$5:$P$104,"No"))</f>
        <v>0</v>
      </c>
      <c r="L25" s="21" t="n">
        <f aca="false">IF(I25=0,0,SUMIFS('Emails Aug-Sep'!$N$5:$N$104,'Emails Aug-Sep'!$F$5:$F$104,A25,'Emails Aug-Sep'!$P$5:$P$104,"No")/(SUMIFS('Emails Aug-Sep'!$H$5:$H$104,'Emails Aug-Sep'!$F$5:$F$104,A25,'Emails Aug-Sep'!$P$5:$P$104,"No")+SUMIFS('Emails Aug-Sep'!$N$5:$N$104,'Emails Aug-Sep'!$F$5:$F$104,A25,'Emails Aug-Sep'!$P$5:$P$104,"No")))</f>
        <v>0</v>
      </c>
      <c r="M25" s="9" t="str">
        <f aca="false">IF(I25&lt;300,"Small list",IF(OR(J25&lt;0.015,K25&gt;0.005),"Fix",IF(OR(J25&lt;0.03,K25&gt;0.002),"Watch","Good")))</f>
        <v>Small list</v>
      </c>
      <c r="N25" s="10"/>
    </row>
    <row r="26" customFormat="false" ht="15" hidden="false" customHeight="true" outlineLevel="0" collapsed="false">
      <c r="A26" s="6" t="s">
        <v>205</v>
      </c>
      <c r="B26" s="8" t="s">
        <v>138</v>
      </c>
      <c r="C26" s="8" t="s">
        <v>121</v>
      </c>
      <c r="D26" s="10" t="s">
        <v>206</v>
      </c>
      <c r="E26" s="10" t="s">
        <v>207</v>
      </c>
      <c r="F26" s="8" t="s">
        <v>110</v>
      </c>
      <c r="G26" s="19" t="n">
        <f aca="false">COUNTIFS('Emails Aug-Sep'!$F$5:$F$104,A26,'Emails Aug-Sep'!$P$5:$P$104,"No")</f>
        <v>1</v>
      </c>
      <c r="H26" s="9" t="s">
        <v>204</v>
      </c>
      <c r="I26" s="20" t="n">
        <f aca="false">IF(G26=0,0,SUMIFS('Emails Aug-Sep'!$H$5:$H$104,'Emails Aug-Sep'!$F$5:$F$104,A26,'Emails Aug-Sep'!$P$5:$P$104,"No")/G26)</f>
        <v>31</v>
      </c>
      <c r="J26" s="21" t="n">
        <f aca="false">IF(I26=0,0,SUMIFS('Emails Aug-Sep'!$K$5:$K$104,'Emails Aug-Sep'!$F$5:$F$104,A26,'Emails Aug-Sep'!$P$5:$P$104,"No")/SUMIFS('Emails Aug-Sep'!$H$5:$H$104,'Emails Aug-Sep'!$F$5:$F$104,A26,'Emails Aug-Sep'!$P$5:$P$104,"No"))</f>
        <v>0.0645161290322581</v>
      </c>
      <c r="K26" s="22" t="n">
        <f aca="false">IF(I26=0,0,SUMIFS('Emails Aug-Sep'!$L$5:$L$104,'Emails Aug-Sep'!$F$5:$F$104,A26,'Emails Aug-Sep'!$P$5:$P$104,"No")/SUMIFS('Emails Aug-Sep'!$H$5:$H$104,'Emails Aug-Sep'!$F$5:$F$104,A26,'Emails Aug-Sep'!$P$5:$P$104,"No"))</f>
        <v>0</v>
      </c>
      <c r="L26" s="21" t="n">
        <f aca="false">IF(I26=0,0,SUMIFS('Emails Aug-Sep'!$N$5:$N$104,'Emails Aug-Sep'!$F$5:$F$104,A26,'Emails Aug-Sep'!$P$5:$P$104,"No")/(SUMIFS('Emails Aug-Sep'!$H$5:$H$104,'Emails Aug-Sep'!$F$5:$F$104,A26,'Emails Aug-Sep'!$P$5:$P$104,"No")+SUMIFS('Emails Aug-Sep'!$N$5:$N$104,'Emails Aug-Sep'!$F$5:$F$104,A26,'Emails Aug-Sep'!$P$5:$P$104,"No")))</f>
        <v>0</v>
      </c>
      <c r="M26" s="9" t="str">
        <f aca="false">IF(I26&lt;300,"Small list",IF(OR(J26&lt;0.015,K26&gt;0.005),"Fix",IF(OR(J26&lt;0.03,K26&gt;0.002),"Watch","Good")))</f>
        <v>Small list</v>
      </c>
      <c r="N26" s="10"/>
    </row>
    <row r="27" customFormat="false" ht="23.25" hidden="false" customHeight="true" outlineLevel="0" collapsed="false">
      <c r="A27" s="6" t="s">
        <v>208</v>
      </c>
      <c r="B27" s="8" t="s">
        <v>128</v>
      </c>
      <c r="C27" s="8" t="s">
        <v>195</v>
      </c>
      <c r="D27" s="10" t="s">
        <v>196</v>
      </c>
      <c r="E27" s="10" t="s">
        <v>117</v>
      </c>
      <c r="F27" s="8" t="s">
        <v>110</v>
      </c>
      <c r="G27" s="19" t="n">
        <f aca="false">COUNTIFS('Emails Aug-Sep'!$F$5:$F$104,A27,'Emails Aug-Sep'!$P$5:$P$104,"No")</f>
        <v>1</v>
      </c>
      <c r="H27" s="9" t="s">
        <v>209</v>
      </c>
      <c r="I27" s="20" t="n">
        <f aca="false">IF(G27=0,0,SUMIFS('Emails Aug-Sep'!$H$5:$H$104,'Emails Aug-Sep'!$F$5:$F$104,A27,'Emails Aug-Sep'!$P$5:$P$104,"No")/G27)</f>
        <v>7</v>
      </c>
      <c r="J27" s="21" t="n">
        <f aca="false">IF(I27=0,0,SUMIFS('Emails Aug-Sep'!$K$5:$K$104,'Emails Aug-Sep'!$F$5:$F$104,A27,'Emails Aug-Sep'!$P$5:$P$104,"No")/SUMIFS('Emails Aug-Sep'!$H$5:$H$104,'Emails Aug-Sep'!$F$5:$F$104,A27,'Emails Aug-Sep'!$P$5:$P$104,"No"))</f>
        <v>0</v>
      </c>
      <c r="K27" s="22" t="n">
        <f aca="false">IF(I27=0,0,SUMIFS('Emails Aug-Sep'!$L$5:$L$104,'Emails Aug-Sep'!$F$5:$F$104,A27,'Emails Aug-Sep'!$P$5:$P$104,"No")/SUMIFS('Emails Aug-Sep'!$H$5:$H$104,'Emails Aug-Sep'!$F$5:$F$104,A27,'Emails Aug-Sep'!$P$5:$P$104,"No"))</f>
        <v>0</v>
      </c>
      <c r="L27" s="21" t="n">
        <f aca="false">IF(I27=0,0,SUMIFS('Emails Aug-Sep'!$N$5:$N$104,'Emails Aug-Sep'!$F$5:$F$104,A27,'Emails Aug-Sep'!$P$5:$P$104,"No")/(SUMIFS('Emails Aug-Sep'!$H$5:$H$104,'Emails Aug-Sep'!$F$5:$F$104,A27,'Emails Aug-Sep'!$P$5:$P$104,"No")+SUMIFS('Emails Aug-Sep'!$N$5:$N$104,'Emails Aug-Sep'!$F$5:$F$104,A27,'Emails Aug-Sep'!$P$5:$P$104,"No")))</f>
        <v>0</v>
      </c>
      <c r="M27" s="9" t="str">
        <f aca="false">IF(I27&lt;300,"Small list",IF(OR(J27&lt;0.015,K27&gt;0.005),"Fix",IF(OR(J27&lt;0.03,K27&gt;0.002),"Watch","Good")))</f>
        <v>Small list</v>
      </c>
      <c r="N27" s="10" t="s">
        <v>210</v>
      </c>
    </row>
    <row r="29" customFormat="false" ht="15" hidden="false" customHeight="true" outlineLevel="0" collapsed="false">
      <c r="A29" s="4" t="s">
        <v>211</v>
      </c>
    </row>
    <row r="30" customFormat="false" ht="31.5" hidden="false" customHeight="true" outlineLevel="0" collapsed="false">
      <c r="A30" s="5" t="s">
        <v>212</v>
      </c>
      <c r="B30" s="5" t="s">
        <v>213</v>
      </c>
      <c r="C30" s="5" t="s">
        <v>214</v>
      </c>
      <c r="D30" s="5" t="s">
        <v>101</v>
      </c>
      <c r="E30" s="5" t="s">
        <v>102</v>
      </c>
      <c r="F30" s="5" t="s">
        <v>103</v>
      </c>
    </row>
    <row r="31" customFormat="false" ht="15" hidden="false" customHeight="true" outlineLevel="0" collapsed="false">
      <c r="A31" s="6" t="s">
        <v>215</v>
      </c>
      <c r="B31" s="19" t="n">
        <f aca="false">COUNTIFS('Emails Aug-Sep'!$E$5:$E$104,A31,'Emails Aug-Sep'!$P$5:$P$104,"No")</f>
        <v>35</v>
      </c>
      <c r="C31" s="20" t="n">
        <f aca="false">SUMIFS('Emails Aug-Sep'!$H$5:$H$104,'Emails Aug-Sep'!$E$5:$E$104,A31,'Emails Aug-Sep'!$P$5:$P$104,"No")</f>
        <v>87082</v>
      </c>
      <c r="D31" s="21" t="n">
        <f aca="false">IF(C31=0,0,SUMIFS('Emails Aug-Sep'!$K$5:$K$104,'Emails Aug-Sep'!$E$5:$E$104,A31,'Emails Aug-Sep'!$P$5:$P$104,"No")/C31)</f>
        <v>0.0228979582462507</v>
      </c>
      <c r="E31" s="22" t="n">
        <f aca="false">IF(C31=0,0,SUMIFS('Emails Aug-Sep'!$L$5:$L$104,'Emails Aug-Sep'!$E$5:$E$104,A31,'Emails Aug-Sep'!$P$5:$P$104,"No")/C31)</f>
        <v>0.00731494453503594</v>
      </c>
      <c r="F31" s="21" t="n">
        <f aca="false">IF(C31=0,0,SUMIFS('Emails Aug-Sep'!$N$5:$N$104,'Emails Aug-Sep'!$E$5:$E$104,A31,'Emails Aug-Sep'!$P$5:$P$104,"No")/(C31+SUMIFS('Emails Aug-Sep'!$N$5:$N$104,'Emails Aug-Sep'!$E$5:$E$104,A31,'Emails Aug-Sep'!$P$5:$P$104,"No")))</f>
        <v>0.00909184010195606</v>
      </c>
    </row>
    <row r="32" customFormat="false" ht="15" hidden="false" customHeight="true" outlineLevel="0" collapsed="false">
      <c r="A32" s="6" t="s">
        <v>216</v>
      </c>
      <c r="B32" s="19" t="n">
        <f aca="false">COUNTIFS('Emails Aug-Sep'!$E$5:$E$104,A32,'Emails Aug-Sep'!$P$5:$P$104,"No")</f>
        <v>40</v>
      </c>
      <c r="C32" s="20" t="n">
        <f aca="false">SUMIFS('Emails Aug-Sep'!$H$5:$H$104,'Emails Aug-Sep'!$E$5:$E$104,A32,'Emails Aug-Sep'!$P$5:$P$104,"No")</f>
        <v>26774</v>
      </c>
      <c r="D32" s="21" t="n">
        <f aca="false">IF(C32=0,0,SUMIFS('Emails Aug-Sep'!$K$5:$K$104,'Emails Aug-Sep'!$E$5:$E$104,A32,'Emails Aug-Sep'!$P$5:$P$104,"No")/C32)</f>
        <v>0.0310002240980055</v>
      </c>
      <c r="E32" s="22" t="n">
        <f aca="false">IF(C32=0,0,SUMIFS('Emails Aug-Sep'!$L$5:$L$104,'Emails Aug-Sep'!$E$5:$E$104,A32,'Emails Aug-Sep'!$P$5:$P$104,"No")/C32)</f>
        <v>0.00866512288040637</v>
      </c>
      <c r="F32" s="21" t="n">
        <f aca="false">IF(C32=0,0,SUMIFS('Emails Aug-Sep'!$N$5:$N$104,'Emails Aug-Sep'!$E$5:$E$104,A32,'Emails Aug-Sep'!$P$5:$P$104,"No")/(C32+SUMIFS('Emails Aug-Sep'!$N$5:$N$104,'Emails Aug-Sep'!$E$5:$E$104,A32,'Emails Aug-Sep'!$P$5:$P$104,"No")))</f>
        <v>0.0111172668513389</v>
      </c>
    </row>
    <row r="33" customFormat="false" ht="15" hidden="false" customHeight="true" outlineLevel="0" collapsed="false">
      <c r="A33" s="6" t="s">
        <v>217</v>
      </c>
      <c r="B33" s="19" t="n">
        <f aca="false">COUNTIFS('Emails Aug-Sep'!$E$5:$E$104,A33,'Emails Aug-Sep'!$P$5:$P$104,"No")</f>
        <v>13</v>
      </c>
      <c r="C33" s="20" t="n">
        <f aca="false">SUMIFS('Emails Aug-Sep'!$H$5:$H$104,'Emails Aug-Sep'!$E$5:$E$104,A33,'Emails Aug-Sep'!$P$5:$P$104,"No")</f>
        <v>99731</v>
      </c>
      <c r="D33" s="21" t="n">
        <f aca="false">IF(C33=0,0,SUMIFS('Emails Aug-Sep'!$K$5:$K$104,'Emails Aug-Sep'!$E$5:$E$104,A33,'Emails Aug-Sep'!$P$5:$P$104,"No")/C33)</f>
        <v>0.0150204048891518</v>
      </c>
      <c r="E33" s="22" t="n">
        <f aca="false">IF(C33=0,0,SUMIFS('Emails Aug-Sep'!$L$5:$L$104,'Emails Aug-Sep'!$E$5:$E$104,A33,'Emails Aug-Sep'!$P$5:$P$104,"No")/C33)</f>
        <v>0.0183192788601338</v>
      </c>
      <c r="F33" s="21" t="n">
        <f aca="false">IF(C33=0,0,SUMIFS('Emails Aug-Sep'!$N$5:$N$104,'Emails Aug-Sep'!$E$5:$E$104,A33,'Emails Aug-Sep'!$P$5:$P$104,"No")/(C33+SUMIFS('Emails Aug-Sep'!$N$5:$N$104,'Emails Aug-Sep'!$E$5:$E$104,A33,'Emails Aug-Sep'!$P$5:$P$104,"No")))</f>
        <v>0.0527880405360484</v>
      </c>
    </row>
    <row r="34" customFormat="false" ht="15" hidden="false" customHeight="true" outlineLevel="0" collapsed="false">
      <c r="A34" s="6" t="s">
        <v>218</v>
      </c>
      <c r="B34" s="19" t="n">
        <f aca="false">COUNTIFS('Emails Aug-Sep'!$E$5:$E$104,A34,'Emails Aug-Sep'!$P$5:$P$104,"No")</f>
        <v>9</v>
      </c>
      <c r="C34" s="20" t="n">
        <f aca="false">SUMIFS('Emails Aug-Sep'!$H$5:$H$104,'Emails Aug-Sep'!$E$5:$E$104,A34,'Emails Aug-Sep'!$P$5:$P$104,"No")</f>
        <v>477</v>
      </c>
      <c r="D34" s="21" t="n">
        <f aca="false">IF(C34=0,0,SUMIFS('Emails Aug-Sep'!$K$5:$K$104,'Emails Aug-Sep'!$E$5:$E$104,A34,'Emails Aug-Sep'!$P$5:$P$104,"No")/C34)</f>
        <v>0.178197064989518</v>
      </c>
      <c r="E34" s="22" t="n">
        <f aca="false">IF(C34=0,0,SUMIFS('Emails Aug-Sep'!$L$5:$L$104,'Emails Aug-Sep'!$E$5:$E$104,A34,'Emails Aug-Sep'!$P$5:$P$104,"No")/C34)</f>
        <v>0.00419287211740042</v>
      </c>
      <c r="F34" s="21" t="n">
        <f aca="false">IF(C34=0,0,SUMIFS('Emails Aug-Sep'!$N$5:$N$104,'Emails Aug-Sep'!$E$5:$E$104,A34,'Emails Aug-Sep'!$P$5:$P$104,"No")/(C34+SUMIFS('Emails Aug-Sep'!$N$5:$N$104,'Emails Aug-Sep'!$E$5:$E$104,A34,'Emails Aug-Sep'!$P$5:$P$104,"No")))</f>
        <v>0.00417536534446764</v>
      </c>
    </row>
    <row r="36" customFormat="false" ht="15" hidden="false" customHeight="true" outlineLevel="0" collapsed="false">
      <c r="A36" s="3" t="s">
        <v>219</v>
      </c>
    </row>
    <row r="37" customFormat="false" ht="15" hidden="false" customHeight="true" outlineLevel="0" collapsed="false">
      <c r="A37" s="23" t="s">
        <v>220</v>
      </c>
    </row>
  </sheetData>
  <conditionalFormatting sqref="M6:M27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"/>
    <col collapsed="false" customWidth="true" hidden="false" outlineLevel="0" max="3" min="3" style="1" width="34"/>
    <col collapsed="false" customWidth="true" hidden="false" outlineLevel="0" max="4" min="4" style="1" width="38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36"/>
  </cols>
  <sheetData>
    <row r="1" customFormat="false" ht="19.5" hidden="false" customHeight="true" outlineLevel="0" collapsed="false">
      <c r="A1" s="2" t="s">
        <v>221</v>
      </c>
    </row>
    <row r="2" customFormat="false" ht="15" hidden="false" customHeight="true" outlineLevel="0" collapsed="false">
      <c r="A2" s="3" t="s">
        <v>222</v>
      </c>
    </row>
    <row r="4" customFormat="false" ht="31.5" hidden="false" customHeight="true" outlineLevel="0" collapsed="false">
      <c r="A4" s="5" t="s">
        <v>223</v>
      </c>
      <c r="B4" s="5" t="s">
        <v>93</v>
      </c>
      <c r="C4" s="5" t="s">
        <v>224</v>
      </c>
      <c r="D4" s="5" t="s">
        <v>225</v>
      </c>
      <c r="E4" s="5" t="s">
        <v>226</v>
      </c>
      <c r="F4" s="5" t="s">
        <v>227</v>
      </c>
      <c r="G4" s="5" t="s">
        <v>8</v>
      </c>
      <c r="H4" s="5" t="s">
        <v>228</v>
      </c>
    </row>
    <row r="5" customFormat="false" ht="23.25" hidden="false" customHeight="true" outlineLevel="0" collapsed="false">
      <c r="A5" s="6" t="s">
        <v>107</v>
      </c>
      <c r="B5" s="8" t="s">
        <v>229</v>
      </c>
      <c r="C5" s="10" t="s">
        <v>230</v>
      </c>
      <c r="D5" s="10" t="s">
        <v>231</v>
      </c>
      <c r="E5" s="19" t="n">
        <f aca="false">COUNTIFS('Emails Aug-Sep'!$G$5:$G$104,A5,'Emails Aug-Sep'!$P$5:$P$104,"No")</f>
        <v>25</v>
      </c>
      <c r="F5" s="9" t="str">
        <f aca="false">IF(COUNTIFS('Emails Aug-Sep'!$G$5:$G$104,A5,'Emails Aug-Sep'!$E$5:$E$104,"Recurring newsletter",'Emails Aug-Sep'!$P$5:$P$104,"No")&gt;0,"Yes","No")</f>
        <v>Yes</v>
      </c>
      <c r="G5" s="9" t="str">
        <f aca="false">IF(E5=0,"No sends seen",IF(LEFT(D5,6)="Active","Good","Watch"))</f>
        <v>Good</v>
      </c>
      <c r="H5" s="10" t="s">
        <v>232</v>
      </c>
    </row>
    <row r="6" customFormat="false" ht="15" hidden="false" customHeight="true" outlineLevel="0" collapsed="false">
      <c r="A6" s="6" t="s">
        <v>144</v>
      </c>
      <c r="B6" s="8" t="s">
        <v>114</v>
      </c>
      <c r="C6" s="10" t="s">
        <v>233</v>
      </c>
      <c r="D6" s="10" t="s">
        <v>234</v>
      </c>
      <c r="E6" s="19" t="n">
        <f aca="false">COUNTIFS('Emails Aug-Sep'!$G$5:$G$104,A6,'Emails Aug-Sep'!$P$5:$P$104,"No")</f>
        <v>5</v>
      </c>
      <c r="F6" s="9" t="str">
        <f aca="false">IF(COUNTIFS('Emails Aug-Sep'!$G$5:$G$104,A6,'Emails Aug-Sep'!$E$5:$E$104,"Recurring newsletter",'Emails Aug-Sep'!$P$5:$P$104,"No")&gt;0,"Yes","No")</f>
        <v>Yes</v>
      </c>
      <c r="G6" s="9" t="str">
        <f aca="false">IF(E6=0,"No sends seen",IF(LEFT(D6,6)="Active","Good","Watch"))</f>
        <v>Good</v>
      </c>
      <c r="H6" s="10" t="s">
        <v>235</v>
      </c>
    </row>
    <row r="7" customFormat="false" ht="15" hidden="false" customHeight="true" outlineLevel="0" collapsed="false">
      <c r="A7" s="6" t="s">
        <v>135</v>
      </c>
      <c r="B7" s="8" t="s">
        <v>236</v>
      </c>
      <c r="C7" s="10" t="s">
        <v>237</v>
      </c>
      <c r="D7" s="10" t="s">
        <v>234</v>
      </c>
      <c r="E7" s="19" t="n">
        <f aca="false">COUNTIFS('Emails Aug-Sep'!$G$5:$G$104,A7,'Emails Aug-Sep'!$P$5:$P$104,"No")</f>
        <v>4</v>
      </c>
      <c r="F7" s="9" t="str">
        <f aca="false">IF(COUNTIFS('Emails Aug-Sep'!$G$5:$G$104,A7,'Emails Aug-Sep'!$E$5:$E$104,"Recurring newsletter",'Emails Aug-Sep'!$P$5:$P$104,"No")&gt;0,"Yes","No")</f>
        <v>Yes</v>
      </c>
      <c r="G7" s="9" t="str">
        <f aca="false">IF(E7=0,"No sends seen",IF(LEFT(D7,6)="Active","Good","Watch"))</f>
        <v>Good</v>
      </c>
      <c r="H7" s="10"/>
    </row>
    <row r="8" customFormat="false" ht="15" hidden="false" customHeight="true" outlineLevel="0" collapsed="false">
      <c r="A8" s="6" t="s">
        <v>121</v>
      </c>
      <c r="B8" s="8" t="s">
        <v>114</v>
      </c>
      <c r="C8" s="10" t="s">
        <v>238</v>
      </c>
      <c r="D8" s="10" t="s">
        <v>239</v>
      </c>
      <c r="E8" s="19" t="n">
        <f aca="false">COUNTIFS('Emails Aug-Sep'!$G$5:$G$104,A8,'Emails Aug-Sep'!$P$5:$P$104,"No")</f>
        <v>3</v>
      </c>
      <c r="F8" s="9" t="str">
        <f aca="false">IF(COUNTIFS('Emails Aug-Sep'!$G$5:$G$104,A8,'Emails Aug-Sep'!$E$5:$E$104,"Recurring newsletter",'Emails Aug-Sep'!$P$5:$P$104,"No")&gt;0,"Yes","No")</f>
        <v>Yes</v>
      </c>
      <c r="G8" s="9" t="str">
        <f aca="false">IF(E8=0,"No sends seen",IF(LEFT(D8,6)="Active","Good","Watch"))</f>
        <v>Watch</v>
      </c>
      <c r="H8" s="10"/>
    </row>
    <row r="9" customFormat="false" ht="23.25" hidden="false" customHeight="true" outlineLevel="0" collapsed="false">
      <c r="A9" s="6" t="s">
        <v>115</v>
      </c>
      <c r="B9" s="8" t="s">
        <v>114</v>
      </c>
      <c r="C9" s="10" t="s">
        <v>240</v>
      </c>
      <c r="D9" s="10" t="s">
        <v>241</v>
      </c>
      <c r="E9" s="19" t="n">
        <f aca="false">COUNTIFS('Emails Aug-Sep'!$G$5:$G$104,A9,'Emails Aug-Sep'!$P$5:$P$104,"No")</f>
        <v>2</v>
      </c>
      <c r="F9" s="9" t="str">
        <f aca="false">IF(COUNTIFS('Emails Aug-Sep'!$G$5:$G$104,A9,'Emails Aug-Sep'!$E$5:$E$104,"Recurring newsletter",'Emails Aug-Sep'!$P$5:$P$104,"No")&gt;0,"Yes","No")</f>
        <v>Yes</v>
      </c>
      <c r="G9" s="9" t="str">
        <f aca="false">IF(E9=0,"No sends seen",IF(LEFT(D9,6)="Active","Good","Watch"))</f>
        <v>Watch</v>
      </c>
      <c r="H9" s="10" t="s">
        <v>242</v>
      </c>
    </row>
    <row r="10" customFormat="false" ht="23.25" hidden="false" customHeight="true" outlineLevel="0" collapsed="false">
      <c r="A10" s="6" t="s">
        <v>125</v>
      </c>
      <c r="B10" s="8" t="s">
        <v>114</v>
      </c>
      <c r="C10" s="10" t="s">
        <v>243</v>
      </c>
      <c r="D10" s="10" t="s">
        <v>244</v>
      </c>
      <c r="E10" s="19" t="n">
        <f aca="false">COUNTIFS('Emails Aug-Sep'!$G$5:$G$104,A10,'Emails Aug-Sep'!$P$5:$P$104,"No")</f>
        <v>4</v>
      </c>
      <c r="F10" s="9" t="str">
        <f aca="false">IF(COUNTIFS('Emails Aug-Sep'!$G$5:$G$104,A10,'Emails Aug-Sep'!$E$5:$E$104,"Recurring newsletter",'Emails Aug-Sep'!$P$5:$P$104,"No")&gt;0,"Yes","No")</f>
        <v>Yes</v>
      </c>
      <c r="G10" s="9" t="str">
        <f aca="false">IF(E10=0,"No sends seen",IF(LEFT(D10,6)="Active","Good","Watch"))</f>
        <v>Watch</v>
      </c>
      <c r="H10" s="10"/>
    </row>
    <row r="11" customFormat="false" ht="15" hidden="false" customHeight="true" outlineLevel="0" collapsed="false">
      <c r="A11" s="6" t="s">
        <v>154</v>
      </c>
      <c r="B11" s="8" t="s">
        <v>114</v>
      </c>
      <c r="C11" s="10" t="s">
        <v>243</v>
      </c>
      <c r="D11" s="10" t="s">
        <v>239</v>
      </c>
      <c r="E11" s="19" t="n">
        <f aca="false">COUNTIFS('Emails Aug-Sep'!$G$5:$G$104,A11,'Emails Aug-Sep'!$P$5:$P$104,"No")</f>
        <v>1</v>
      </c>
      <c r="F11" s="9" t="str">
        <f aca="false">IF(COUNTIFS('Emails Aug-Sep'!$G$5:$G$104,A11,'Emails Aug-Sep'!$E$5:$E$104,"Recurring newsletter",'Emails Aug-Sep'!$P$5:$P$104,"No")&gt;0,"Yes","No")</f>
        <v>Yes</v>
      </c>
      <c r="G11" s="9" t="str">
        <f aca="false">IF(E11=0,"No sends seen",IF(LEFT(D11,6)="Active","Good","Watch"))</f>
        <v>Watch</v>
      </c>
      <c r="H11" s="10"/>
    </row>
    <row r="12" customFormat="false" ht="15" hidden="false" customHeight="true" outlineLevel="0" collapsed="false">
      <c r="A12" s="6" t="s">
        <v>158</v>
      </c>
      <c r="B12" s="8" t="s">
        <v>114</v>
      </c>
      <c r="C12" s="10" t="s">
        <v>243</v>
      </c>
      <c r="D12" s="10" t="s">
        <v>239</v>
      </c>
      <c r="E12" s="19" t="n">
        <f aca="false">COUNTIFS('Emails Aug-Sep'!$G$5:$G$104,A12,'Emails Aug-Sep'!$P$5:$P$104,"No")</f>
        <v>3</v>
      </c>
      <c r="F12" s="9" t="str">
        <f aca="false">IF(COUNTIFS('Emails Aug-Sep'!$G$5:$G$104,A12,'Emails Aug-Sep'!$E$5:$E$104,"Recurring newsletter",'Emails Aug-Sep'!$P$5:$P$104,"No")&gt;0,"Yes","No")</f>
        <v>Yes</v>
      </c>
      <c r="G12" s="9" t="str">
        <f aca="false">IF(E12=0,"No sends seen",IF(LEFT(D12,6)="Active","Good","Watch"))</f>
        <v>Watch</v>
      </c>
      <c r="H12" s="10"/>
    </row>
    <row r="13" customFormat="false" ht="15" hidden="false" customHeight="true" outlineLevel="0" collapsed="false">
      <c r="A13" s="6" t="s">
        <v>163</v>
      </c>
      <c r="B13" s="8" t="s">
        <v>114</v>
      </c>
      <c r="C13" s="10" t="s">
        <v>245</v>
      </c>
      <c r="D13" s="10" t="s">
        <v>239</v>
      </c>
      <c r="E13" s="19" t="n">
        <f aca="false">COUNTIFS('Emails Aug-Sep'!$G$5:$G$104,A13,'Emails Aug-Sep'!$P$5:$P$104,"No")</f>
        <v>1</v>
      </c>
      <c r="F13" s="9" t="str">
        <f aca="false">IF(COUNTIFS('Emails Aug-Sep'!$G$5:$G$104,A13,'Emails Aug-Sep'!$E$5:$E$104,"Recurring newsletter",'Emails Aug-Sep'!$P$5:$P$104,"No")&gt;0,"Yes","No")</f>
        <v>Yes</v>
      </c>
      <c r="G13" s="9" t="str">
        <f aca="false">IF(E13=0,"No sends seen",IF(LEFT(D13,6)="Active","Good","Watch"))</f>
        <v>Watch</v>
      </c>
      <c r="H13" s="10"/>
    </row>
    <row r="14" customFormat="false" ht="15" hidden="false" customHeight="true" outlineLevel="0" collapsed="false">
      <c r="A14" s="6" t="s">
        <v>149</v>
      </c>
      <c r="B14" s="8" t="s">
        <v>236</v>
      </c>
      <c r="C14" s="10" t="s">
        <v>246</v>
      </c>
      <c r="D14" s="10" t="s">
        <v>239</v>
      </c>
      <c r="E14" s="19" t="n">
        <f aca="false">COUNTIFS('Emails Aug-Sep'!$G$5:$G$104,A14,'Emails Aug-Sep'!$P$5:$P$104,"No")</f>
        <v>3</v>
      </c>
      <c r="F14" s="9" t="str">
        <f aca="false">IF(COUNTIFS('Emails Aug-Sep'!$G$5:$G$104,A14,'Emails Aug-Sep'!$E$5:$E$104,"Recurring newsletter",'Emails Aug-Sep'!$P$5:$P$104,"No")&gt;0,"Yes","No")</f>
        <v>Yes</v>
      </c>
      <c r="G14" s="9" t="str">
        <f aca="false">IF(E14=0,"No sends seen",IF(LEFT(D14,6)="Active","Good","Watch"))</f>
        <v>Watch</v>
      </c>
      <c r="H14" s="10" t="s">
        <v>247</v>
      </c>
    </row>
    <row r="15" customFormat="false" ht="15" hidden="false" customHeight="true" outlineLevel="0" collapsed="false">
      <c r="A15" s="6" t="s">
        <v>186</v>
      </c>
      <c r="B15" s="8" t="s">
        <v>114</v>
      </c>
      <c r="C15" s="10" t="s">
        <v>243</v>
      </c>
      <c r="D15" s="10" t="s">
        <v>248</v>
      </c>
      <c r="E15" s="19" t="n">
        <f aca="false">COUNTIFS('Emails Aug-Sep'!$G$5:$G$104,A15,'Emails Aug-Sep'!$P$5:$P$104,"No")</f>
        <v>2</v>
      </c>
      <c r="F15" s="9" t="str">
        <f aca="false">IF(COUNTIFS('Emails Aug-Sep'!$G$5:$G$104,A15,'Emails Aug-Sep'!$E$5:$E$104,"Recurring newsletter",'Emails Aug-Sep'!$P$5:$P$104,"No")&gt;0,"Yes","No")</f>
        <v>Yes</v>
      </c>
      <c r="G15" s="9" t="str">
        <f aca="false">IF(E15=0,"No sends seen",IF(LEFT(D15,6)="Active","Good","Watch"))</f>
        <v>Watch</v>
      </c>
      <c r="H15" s="10" t="s">
        <v>249</v>
      </c>
    </row>
    <row r="16" customFormat="false" ht="15" hidden="false" customHeight="true" outlineLevel="0" collapsed="false">
      <c r="A16" s="6" t="s">
        <v>250</v>
      </c>
      <c r="B16" s="8" t="s">
        <v>114</v>
      </c>
      <c r="C16" s="10" t="s">
        <v>251</v>
      </c>
      <c r="D16" s="10" t="s">
        <v>252</v>
      </c>
      <c r="E16" s="19" t="n">
        <f aca="false">COUNTIFS('Emails Aug-Sep'!$G$5:$G$104,A16,'Emails Aug-Sep'!$P$5:$P$104,"No")</f>
        <v>13</v>
      </c>
      <c r="F16" s="9" t="str">
        <f aca="false">IF(COUNTIFS('Emails Aug-Sep'!$G$5:$G$104,A16,'Emails Aug-Sep'!$E$5:$E$104,"Recurring newsletter",'Emails Aug-Sep'!$P$5:$P$104,"No")&gt;0,"Yes","No")</f>
        <v>No</v>
      </c>
      <c r="G16" s="9" t="str">
        <f aca="false">IF(E16=0,"No sends seen",IF(LEFT(D16,6)="Active","Good","Watch"))</f>
        <v>Watch</v>
      </c>
      <c r="H16" s="10" t="s">
        <v>253</v>
      </c>
    </row>
    <row r="17" customFormat="false" ht="15" hidden="false" customHeight="true" outlineLevel="0" collapsed="false">
      <c r="A17" s="6" t="s">
        <v>254</v>
      </c>
      <c r="B17" s="8" t="s">
        <v>114</v>
      </c>
      <c r="C17" s="10" t="s">
        <v>255</v>
      </c>
      <c r="D17" s="10" t="s">
        <v>239</v>
      </c>
      <c r="E17" s="19" t="n">
        <f aca="false">COUNTIFS('Emails Aug-Sep'!$G$5:$G$104,A17,'Emails Aug-Sep'!$P$5:$P$104,"No")</f>
        <v>6</v>
      </c>
      <c r="F17" s="9" t="str">
        <f aca="false">IF(COUNTIFS('Emails Aug-Sep'!$G$5:$G$104,A17,'Emails Aug-Sep'!$E$5:$E$104,"Recurring newsletter",'Emails Aug-Sep'!$P$5:$P$104,"No")&gt;0,"Yes","No")</f>
        <v>No</v>
      </c>
      <c r="G17" s="9" t="str">
        <f aca="false">IF(E17=0,"No sends seen",IF(LEFT(D17,6)="Active","Good","Watch"))</f>
        <v>Watch</v>
      </c>
      <c r="H17" s="10" t="s">
        <v>256</v>
      </c>
    </row>
    <row r="18" customFormat="false" ht="15" hidden="false" customHeight="true" outlineLevel="0" collapsed="false">
      <c r="A18" s="6" t="s">
        <v>257</v>
      </c>
      <c r="B18" s="8" t="s">
        <v>114</v>
      </c>
      <c r="C18" s="10" t="s">
        <v>243</v>
      </c>
      <c r="D18" s="10" t="s">
        <v>239</v>
      </c>
      <c r="E18" s="19" t="n">
        <f aca="false">COUNTIFS('Emails Aug-Sep'!$G$5:$G$104,A18,'Emails Aug-Sep'!$P$5:$P$104,"No")</f>
        <v>3</v>
      </c>
      <c r="F18" s="9" t="str">
        <f aca="false">IF(COUNTIFS('Emails Aug-Sep'!$G$5:$G$104,A18,'Emails Aug-Sep'!$E$5:$E$104,"Recurring newsletter",'Emails Aug-Sep'!$P$5:$P$104,"No")&gt;0,"Yes","No")</f>
        <v>No</v>
      </c>
      <c r="G18" s="9" t="str">
        <f aca="false">IF(E18=0,"No sends seen",IF(LEFT(D18,6)="Active","Good","Watch"))</f>
        <v>Watch</v>
      </c>
      <c r="H18" s="10" t="s">
        <v>258</v>
      </c>
    </row>
    <row r="19" customFormat="false" ht="23.25" hidden="false" customHeight="true" outlineLevel="0" collapsed="false">
      <c r="A19" s="6" t="s">
        <v>259</v>
      </c>
      <c r="B19" s="8" t="s">
        <v>236</v>
      </c>
      <c r="C19" s="10" t="s">
        <v>260</v>
      </c>
      <c r="D19" s="10" t="s">
        <v>261</v>
      </c>
      <c r="E19" s="19" t="n">
        <f aca="false">COUNTIFS('Emails Aug-Sep'!$G$5:$G$104,A19,'Emails Aug-Sep'!$P$5:$P$104,"No")</f>
        <v>2</v>
      </c>
      <c r="F19" s="9" t="str">
        <f aca="false">IF(COUNTIFS('Emails Aug-Sep'!$G$5:$G$104,A19,'Emails Aug-Sep'!$E$5:$E$104,"Recurring newsletter",'Emails Aug-Sep'!$P$5:$P$104,"No")&gt;0,"Yes","No")</f>
        <v>No</v>
      </c>
      <c r="G19" s="9" t="str">
        <f aca="false">IF(E19=0,"No sends seen",IF(LEFT(D19,6)="Active","Good","Watch"))</f>
        <v>Watch</v>
      </c>
      <c r="H19" s="10"/>
    </row>
    <row r="20" customFormat="false" ht="15" hidden="false" customHeight="true" outlineLevel="0" collapsed="false">
      <c r="A20" s="6" t="s">
        <v>262</v>
      </c>
      <c r="B20" s="8" t="s">
        <v>114</v>
      </c>
      <c r="C20" s="10" t="s">
        <v>243</v>
      </c>
      <c r="D20" s="10" t="s">
        <v>252</v>
      </c>
      <c r="E20" s="19" t="n">
        <f aca="false">COUNTIFS('Emails Aug-Sep'!$G$5:$G$104,A20,'Emails Aug-Sep'!$P$5:$P$104,"No")</f>
        <v>1</v>
      </c>
      <c r="F20" s="9" t="str">
        <f aca="false">IF(COUNTIFS('Emails Aug-Sep'!$G$5:$G$104,A20,'Emails Aug-Sep'!$E$5:$E$104,"Recurring newsletter",'Emails Aug-Sep'!$P$5:$P$104,"No")&gt;0,"Yes","No")</f>
        <v>No</v>
      </c>
      <c r="G20" s="9" t="str">
        <f aca="false">IF(E20=0,"No sends seen",IF(LEFT(D20,6)="Active","Good","Watch"))</f>
        <v>Watch</v>
      </c>
      <c r="H20" s="10" t="s">
        <v>263</v>
      </c>
    </row>
    <row r="21" customFormat="false" ht="15" hidden="false" customHeight="true" outlineLevel="0" collapsed="false">
      <c r="A21" s="6" t="s">
        <v>201</v>
      </c>
      <c r="B21" s="8" t="s">
        <v>114</v>
      </c>
      <c r="C21" s="10" t="s">
        <v>243</v>
      </c>
      <c r="D21" s="10" t="s">
        <v>264</v>
      </c>
      <c r="E21" s="19" t="n">
        <f aca="false">COUNTIFS('Emails Aug-Sep'!$G$5:$G$104,A21,'Emails Aug-Sep'!$P$5:$P$104,"No")</f>
        <v>3</v>
      </c>
      <c r="F21" s="9" t="str">
        <f aca="false">IF(COUNTIFS('Emails Aug-Sep'!$G$5:$G$104,A21,'Emails Aug-Sep'!$E$5:$E$104,"Recurring newsletter",'Emails Aug-Sep'!$P$5:$P$104,"No")&gt;0,"Yes","No")</f>
        <v>Yes</v>
      </c>
      <c r="G21" s="9" t="str">
        <f aca="false">IF(E21=0,"No sends seen",IF(LEFT(D21,6)="Active","Good","Watch"))</f>
        <v>Watch</v>
      </c>
      <c r="H21" s="10" t="s">
        <v>265</v>
      </c>
    </row>
    <row r="22" customFormat="false" ht="15" hidden="false" customHeight="true" outlineLevel="0" collapsed="false">
      <c r="A22" s="6" t="s">
        <v>139</v>
      </c>
      <c r="B22" s="8" t="s">
        <v>138</v>
      </c>
      <c r="C22" s="10" t="s">
        <v>266</v>
      </c>
      <c r="D22" s="10" t="s">
        <v>234</v>
      </c>
      <c r="E22" s="19" t="n">
        <f aca="false">COUNTIFS('Emails Aug-Sep'!$G$5:$G$104,A22,'Emails Aug-Sep'!$P$5:$P$104,"No")</f>
        <v>2</v>
      </c>
      <c r="F22" s="9" t="str">
        <f aca="false">IF(COUNTIFS('Emails Aug-Sep'!$G$5:$G$104,A22,'Emails Aug-Sep'!$E$5:$E$104,"Recurring newsletter",'Emails Aug-Sep'!$P$5:$P$104,"No")&gt;0,"Yes","No")</f>
        <v>Yes</v>
      </c>
      <c r="G22" s="9" t="str">
        <f aca="false">IF(E22=0,"No sends seen",IF(LEFT(D22,6)="Active","Good","Watch"))</f>
        <v>Good</v>
      </c>
      <c r="H22" s="10"/>
    </row>
    <row r="23" customFormat="false" ht="15" hidden="false" customHeight="true" outlineLevel="0" collapsed="false">
      <c r="A23" s="6" t="s">
        <v>171</v>
      </c>
      <c r="B23" s="8" t="s">
        <v>138</v>
      </c>
      <c r="C23" s="10" t="s">
        <v>243</v>
      </c>
      <c r="D23" s="10" t="s">
        <v>234</v>
      </c>
      <c r="E23" s="19" t="n">
        <f aca="false">COUNTIFS('Emails Aug-Sep'!$G$5:$G$104,A23,'Emails Aug-Sep'!$P$5:$P$104,"No")</f>
        <v>1</v>
      </c>
      <c r="F23" s="9" t="str">
        <f aca="false">IF(COUNTIFS('Emails Aug-Sep'!$G$5:$G$104,A23,'Emails Aug-Sep'!$E$5:$E$104,"Recurring newsletter",'Emails Aug-Sep'!$P$5:$P$104,"No")&gt;0,"Yes","No")</f>
        <v>Yes</v>
      </c>
      <c r="G23" s="9" t="str">
        <f aca="false">IF(E23=0,"No sends seen",IF(LEFT(D23,6)="Active","Good","Watch"))</f>
        <v>Good</v>
      </c>
      <c r="H23" s="10"/>
    </row>
    <row r="24" customFormat="false" ht="15" hidden="false" customHeight="true" outlineLevel="0" collapsed="false">
      <c r="A24" s="6" t="s">
        <v>267</v>
      </c>
      <c r="B24" s="8" t="s">
        <v>114</v>
      </c>
      <c r="C24" s="10" t="s">
        <v>268</v>
      </c>
      <c r="D24" s="10" t="s">
        <v>269</v>
      </c>
      <c r="E24" s="19" t="n">
        <f aca="false">COUNTIFS('Emails Aug-Sep'!$G$5:$G$104,A24,'Emails Aug-Sep'!$P$5:$P$104,"No")</f>
        <v>0</v>
      </c>
      <c r="F24" s="9" t="str">
        <f aca="false">IF(COUNTIFS('Emails Aug-Sep'!$G$5:$G$104,A24,'Emails Aug-Sep'!$E$5:$E$104,"Recurring newsletter",'Emails Aug-Sep'!$P$5:$P$104,"No")&gt;0,"Yes","No")</f>
        <v>No</v>
      </c>
      <c r="G24" s="9" t="str">
        <f aca="false">IF(E24=0,"No sends seen",IF(LEFT(D24,6)="Active","Good","Watch"))</f>
        <v>No sends seen</v>
      </c>
      <c r="H24" s="10" t="s">
        <v>270</v>
      </c>
    </row>
    <row r="25" customFormat="false" ht="15" hidden="false" customHeight="true" outlineLevel="0" collapsed="false">
      <c r="A25" s="6" t="s">
        <v>271</v>
      </c>
      <c r="B25" s="8" t="s">
        <v>114</v>
      </c>
      <c r="C25" s="10" t="s">
        <v>272</v>
      </c>
      <c r="D25" s="10" t="s">
        <v>273</v>
      </c>
      <c r="E25" s="19" t="n">
        <f aca="false">COUNTIFS('Emails Aug-Sep'!$G$5:$G$104,A25,'Emails Aug-Sep'!$P$5:$P$104,"No")</f>
        <v>0</v>
      </c>
      <c r="F25" s="9" t="str">
        <f aca="false">IF(COUNTIFS('Emails Aug-Sep'!$G$5:$G$104,A25,'Emails Aug-Sep'!$E$5:$E$104,"Recurring newsletter",'Emails Aug-Sep'!$P$5:$P$104,"No")&gt;0,"Yes","No")</f>
        <v>No</v>
      </c>
      <c r="G25" s="9" t="str">
        <f aca="false">IF(E25=0,"No sends seen",IF(LEFT(D25,6)="Active","Good","Watch"))</f>
        <v>No sends seen</v>
      </c>
      <c r="H25" s="10"/>
    </row>
    <row r="26" customFormat="false" ht="15" hidden="false" customHeight="true" outlineLevel="0" collapsed="false">
      <c r="A26" s="6" t="s">
        <v>274</v>
      </c>
      <c r="B26" s="8" t="s">
        <v>114</v>
      </c>
      <c r="C26" s="10" t="s">
        <v>275</v>
      </c>
      <c r="D26" s="10" t="s">
        <v>273</v>
      </c>
      <c r="E26" s="19" t="n">
        <f aca="false">COUNTIFS('Emails Aug-Sep'!$G$5:$G$104,A26,'Emails Aug-Sep'!$P$5:$P$104,"No")</f>
        <v>0</v>
      </c>
      <c r="F26" s="9" t="str">
        <f aca="false">IF(COUNTIFS('Emails Aug-Sep'!$G$5:$G$104,A26,'Emails Aug-Sep'!$E$5:$E$104,"Recurring newsletter",'Emails Aug-Sep'!$P$5:$P$104,"No")&gt;0,"Yes","No")</f>
        <v>No</v>
      </c>
      <c r="G26" s="9" t="str">
        <f aca="false">IF(E26=0,"No sends seen",IF(LEFT(D26,6)="Active","Good","Watch"))</f>
        <v>No sends seen</v>
      </c>
      <c r="H26" s="10"/>
    </row>
    <row r="27" customFormat="false" ht="15" hidden="false" customHeight="true" outlineLevel="0" collapsed="false">
      <c r="A27" s="6" t="s">
        <v>276</v>
      </c>
      <c r="B27" s="8" t="s">
        <v>114</v>
      </c>
      <c r="C27" s="10" t="s">
        <v>277</v>
      </c>
      <c r="D27" s="10" t="s">
        <v>273</v>
      </c>
      <c r="E27" s="19" t="n">
        <f aca="false">COUNTIFS('Emails Aug-Sep'!$G$5:$G$104,A27,'Emails Aug-Sep'!$P$5:$P$104,"No")</f>
        <v>0</v>
      </c>
      <c r="F27" s="9" t="str">
        <f aca="false">IF(COUNTIFS('Emails Aug-Sep'!$G$5:$G$104,A27,'Emails Aug-Sep'!$E$5:$E$104,"Recurring newsletter",'Emails Aug-Sep'!$P$5:$P$104,"No")&gt;0,"Yes","No")</f>
        <v>No</v>
      </c>
      <c r="G27" s="9" t="str">
        <f aca="false">IF(E27=0,"No sends seen",IF(LEFT(D27,6)="Active","Good","Watch"))</f>
        <v>No sends seen</v>
      </c>
      <c r="H27" s="10"/>
    </row>
    <row r="28" customFormat="false" ht="23.25" hidden="false" customHeight="true" outlineLevel="0" collapsed="false">
      <c r="A28" s="6" t="s">
        <v>278</v>
      </c>
      <c r="B28" s="8" t="s">
        <v>114</v>
      </c>
      <c r="C28" s="10" t="s">
        <v>279</v>
      </c>
      <c r="D28" s="10" t="s">
        <v>273</v>
      </c>
      <c r="E28" s="19" t="n">
        <f aca="false">COUNTIFS('Emails Aug-Sep'!$G$5:$G$104,A28,'Emails Aug-Sep'!$P$5:$P$104,"No")</f>
        <v>0</v>
      </c>
      <c r="F28" s="9" t="str">
        <f aca="false">IF(COUNTIFS('Emails Aug-Sep'!$G$5:$G$104,A28,'Emails Aug-Sep'!$E$5:$E$104,"Recurring newsletter",'Emails Aug-Sep'!$P$5:$P$104,"No")&gt;0,"Yes","No")</f>
        <v>No</v>
      </c>
      <c r="G28" s="9" t="str">
        <f aca="false">IF(E28=0,"No sends seen",IF(LEFT(D28,6)="Active","Good","Watch"))</f>
        <v>No sends seen</v>
      </c>
      <c r="H28" s="10"/>
    </row>
    <row r="29" customFormat="false" ht="15" hidden="false" customHeight="true" outlineLevel="0" collapsed="false">
      <c r="A29" s="6" t="s">
        <v>280</v>
      </c>
      <c r="B29" s="8" t="s">
        <v>114</v>
      </c>
      <c r="C29" s="10" t="s">
        <v>281</v>
      </c>
      <c r="D29" s="10" t="s">
        <v>273</v>
      </c>
      <c r="E29" s="19" t="n">
        <f aca="false">COUNTIFS('Emails Aug-Sep'!$G$5:$G$104,A29,'Emails Aug-Sep'!$P$5:$P$104,"No")</f>
        <v>0</v>
      </c>
      <c r="F29" s="9" t="str">
        <f aca="false">IF(COUNTIFS('Emails Aug-Sep'!$G$5:$G$104,A29,'Emails Aug-Sep'!$E$5:$E$104,"Recurring newsletter",'Emails Aug-Sep'!$P$5:$P$104,"No")&gt;0,"Yes","No")</f>
        <v>No</v>
      </c>
      <c r="G29" s="9" t="str">
        <f aca="false">IF(E29=0,"No sends seen",IF(LEFT(D29,6)="Active","Good","Watch"))</f>
        <v>No sends seen</v>
      </c>
      <c r="H29" s="10"/>
    </row>
    <row r="30" customFormat="false" ht="15" hidden="false" customHeight="true" outlineLevel="0" collapsed="false">
      <c r="A30" s="6" t="s">
        <v>282</v>
      </c>
      <c r="B30" s="8" t="s">
        <v>114</v>
      </c>
      <c r="C30" s="10" t="s">
        <v>283</v>
      </c>
      <c r="D30" s="10" t="s">
        <v>273</v>
      </c>
      <c r="E30" s="19" t="n">
        <f aca="false">COUNTIFS('Emails Aug-Sep'!$G$5:$G$104,A30,'Emails Aug-Sep'!$P$5:$P$104,"No")</f>
        <v>0</v>
      </c>
      <c r="F30" s="9" t="str">
        <f aca="false">IF(COUNTIFS('Emails Aug-Sep'!$G$5:$G$104,A30,'Emails Aug-Sep'!$E$5:$E$104,"Recurring newsletter",'Emails Aug-Sep'!$P$5:$P$104,"No")&gt;0,"Yes","No")</f>
        <v>No</v>
      </c>
      <c r="G30" s="9" t="str">
        <f aca="false">IF(E30=0,"No sends seen",IF(LEFT(D30,6)="Active","Good","Watch"))</f>
        <v>No sends seen</v>
      </c>
      <c r="H30" s="10" t="s">
        <v>284</v>
      </c>
    </row>
    <row r="31" customFormat="false" ht="15" hidden="false" customHeight="true" outlineLevel="0" collapsed="false">
      <c r="A31" s="6" t="s">
        <v>285</v>
      </c>
      <c r="B31" s="8" t="s">
        <v>114</v>
      </c>
      <c r="C31" s="10" t="s">
        <v>286</v>
      </c>
      <c r="D31" s="10" t="s">
        <v>252</v>
      </c>
      <c r="E31" s="19" t="n">
        <f aca="false">COUNTIFS('Emails Aug-Sep'!$G$5:$G$104,A31,'Emails Aug-Sep'!$P$5:$P$104,"No")</f>
        <v>0</v>
      </c>
      <c r="F31" s="9" t="str">
        <f aca="false">IF(COUNTIFS('Emails Aug-Sep'!$G$5:$G$104,A31,'Emails Aug-Sep'!$E$5:$E$104,"Recurring newsletter",'Emails Aug-Sep'!$P$5:$P$104,"No")&gt;0,"Yes","No")</f>
        <v>No</v>
      </c>
      <c r="G31" s="9" t="str">
        <f aca="false">IF(E31=0,"No sends seen",IF(LEFT(D31,6)="Active","Good","Watch"))</f>
        <v>No sends seen</v>
      </c>
      <c r="H31" s="10"/>
    </row>
    <row r="32" customFormat="false" ht="15" hidden="false" customHeight="true" outlineLevel="0" collapsed="false">
      <c r="A32" s="6" t="s">
        <v>287</v>
      </c>
      <c r="B32" s="8" t="s">
        <v>114</v>
      </c>
      <c r="C32" s="10" t="s">
        <v>288</v>
      </c>
      <c r="D32" s="10" t="s">
        <v>252</v>
      </c>
      <c r="E32" s="19" t="n">
        <f aca="false">COUNTIFS('Emails Aug-Sep'!$G$5:$G$104,A32,'Emails Aug-Sep'!$P$5:$P$104,"No")</f>
        <v>0</v>
      </c>
      <c r="F32" s="9" t="str">
        <f aca="false">IF(COUNTIFS('Emails Aug-Sep'!$G$5:$G$104,A32,'Emails Aug-Sep'!$E$5:$E$104,"Recurring newsletter",'Emails Aug-Sep'!$P$5:$P$104,"No")&gt;0,"Yes","No")</f>
        <v>No</v>
      </c>
      <c r="G32" s="9" t="str">
        <f aca="false">IF(E32=0,"No sends seen",IF(LEFT(D32,6)="Active","Good","Watch"))</f>
        <v>No sends seen</v>
      </c>
      <c r="H32" s="10"/>
    </row>
    <row r="33" customFormat="false" ht="15" hidden="false" customHeight="true" outlineLevel="0" collapsed="false">
      <c r="A33" s="6" t="s">
        <v>289</v>
      </c>
      <c r="B33" s="8" t="s">
        <v>114</v>
      </c>
      <c r="C33" s="10" t="s">
        <v>290</v>
      </c>
      <c r="D33" s="10" t="s">
        <v>291</v>
      </c>
      <c r="E33" s="19" t="n">
        <f aca="false">COUNTIFS('Emails Aug-Sep'!$G$5:$G$104,A33,'Emails Aug-Sep'!$P$5:$P$104,"No")</f>
        <v>0</v>
      </c>
      <c r="F33" s="9" t="str">
        <f aca="false">IF(COUNTIFS('Emails Aug-Sep'!$G$5:$G$104,A33,'Emails Aug-Sep'!$E$5:$E$104,"Recurring newsletter",'Emails Aug-Sep'!$P$5:$P$104,"No")&gt;0,"Yes","No")</f>
        <v>No</v>
      </c>
      <c r="G33" s="9" t="str">
        <f aca="false">IF(E33=0,"No sends seen",IF(LEFT(D33,6)="Active","Good","Watch"))</f>
        <v>No sends seen</v>
      </c>
      <c r="H33" s="10"/>
    </row>
    <row r="34" customFormat="false" ht="15" hidden="false" customHeight="true" outlineLevel="0" collapsed="false">
      <c r="A34" s="6" t="s">
        <v>292</v>
      </c>
      <c r="B34" s="8" t="s">
        <v>236</v>
      </c>
      <c r="C34" s="10" t="s">
        <v>293</v>
      </c>
      <c r="D34" s="10" t="s">
        <v>294</v>
      </c>
      <c r="E34" s="19" t="n">
        <f aca="false">COUNTIFS('Emails Aug-Sep'!$G$5:$G$104,A34,'Emails Aug-Sep'!$P$5:$P$104,"No")</f>
        <v>0</v>
      </c>
      <c r="F34" s="9" t="str">
        <f aca="false">IF(COUNTIFS('Emails Aug-Sep'!$G$5:$G$104,A34,'Emails Aug-Sep'!$E$5:$E$104,"Recurring newsletter",'Emails Aug-Sep'!$P$5:$P$104,"No")&gt;0,"Yes","No")</f>
        <v>No</v>
      </c>
      <c r="G34" s="9" t="str">
        <f aca="false">IF(E34=0,"No sends seen",IF(LEFT(D34,6)="Active","Good","Watch"))</f>
        <v>No sends seen</v>
      </c>
      <c r="H34" s="10"/>
    </row>
    <row r="35" customFormat="false" ht="15" hidden="false" customHeight="true" outlineLevel="0" collapsed="false">
      <c r="A35" s="6" t="s">
        <v>295</v>
      </c>
      <c r="B35" s="8" t="s">
        <v>236</v>
      </c>
      <c r="C35" s="10" t="s">
        <v>296</v>
      </c>
      <c r="D35" s="10" t="s">
        <v>297</v>
      </c>
      <c r="E35" s="19" t="n">
        <f aca="false">COUNTIFS('Emails Aug-Sep'!$G$5:$G$104,A35,'Emails Aug-Sep'!$P$5:$P$104,"No")</f>
        <v>0</v>
      </c>
      <c r="F35" s="9" t="str">
        <f aca="false">IF(COUNTIFS('Emails Aug-Sep'!$G$5:$G$104,A35,'Emails Aug-Sep'!$E$5:$E$104,"Recurring newsletter",'Emails Aug-Sep'!$P$5:$P$104,"No")&gt;0,"Yes","No")</f>
        <v>No</v>
      </c>
      <c r="G35" s="9" t="str">
        <f aca="false">IF(E35=0,"No sends seen",IF(LEFT(D35,6)="Active","Good","Watch"))</f>
        <v>No sends seen</v>
      </c>
      <c r="H35" s="10"/>
    </row>
    <row r="36" customFormat="false" ht="15" hidden="false" customHeight="true" outlineLevel="0" collapsed="false">
      <c r="A36" s="6" t="s">
        <v>298</v>
      </c>
      <c r="B36" s="8" t="s">
        <v>114</v>
      </c>
      <c r="C36" s="10" t="s">
        <v>299</v>
      </c>
      <c r="D36" s="10" t="s">
        <v>252</v>
      </c>
      <c r="E36" s="19" t="n">
        <f aca="false">COUNTIFS('Emails Aug-Sep'!$G$5:$G$104,A36,'Emails Aug-Sep'!$P$5:$P$104,"No")</f>
        <v>0</v>
      </c>
      <c r="F36" s="9" t="str">
        <f aca="false">IF(COUNTIFS('Emails Aug-Sep'!$G$5:$G$104,A36,'Emails Aug-Sep'!$E$5:$E$104,"Recurring newsletter",'Emails Aug-Sep'!$P$5:$P$104,"No")&gt;0,"Yes","No")</f>
        <v>No</v>
      </c>
      <c r="G36" s="9" t="str">
        <f aca="false">IF(E36=0,"No sends seen",IF(LEFT(D36,6)="Active","Good","Watch"))</f>
        <v>No sends seen</v>
      </c>
      <c r="H36" s="10"/>
    </row>
    <row r="37" customFormat="false" ht="15" hidden="false" customHeight="true" outlineLevel="0" collapsed="false">
      <c r="A37" s="6" t="s">
        <v>300</v>
      </c>
      <c r="B37" s="8" t="s">
        <v>114</v>
      </c>
      <c r="C37" s="10" t="s">
        <v>301</v>
      </c>
      <c r="D37" s="10" t="s">
        <v>302</v>
      </c>
      <c r="E37" s="19" t="n">
        <f aca="false">COUNTIFS('Emails Aug-Sep'!$G$5:$G$104,A37,'Emails Aug-Sep'!$P$5:$P$104,"No")</f>
        <v>0</v>
      </c>
      <c r="F37" s="9" t="str">
        <f aca="false">IF(COUNTIFS('Emails Aug-Sep'!$G$5:$G$104,A37,'Emails Aug-Sep'!$E$5:$E$104,"Recurring newsletter",'Emails Aug-Sep'!$P$5:$P$104,"No")&gt;0,"Yes","No")</f>
        <v>No</v>
      </c>
      <c r="G37" s="9" t="str">
        <f aca="false">IF(E37=0,"No sends seen",IF(LEFT(D37,6)="Active","Good","Watch"))</f>
        <v>No sends seen</v>
      </c>
      <c r="H37" s="10"/>
    </row>
    <row r="39" customFormat="false" ht="15" hidden="false" customHeight="true" outlineLevel="0" collapsed="false">
      <c r="A39" s="3" t="s">
        <v>303</v>
      </c>
    </row>
    <row r="40" customFormat="false" ht="15" hidden="false" customHeight="true" outlineLevel="0" collapsed="false">
      <c r="A40" s="3" t="s">
        <v>304</v>
      </c>
    </row>
  </sheetData>
  <conditionalFormatting sqref="G5:G37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  <cfRule type="cellIs" priority="5" operator="equal" aboveAverage="0" equalAverage="0" bottom="0" percent="0" rank="0" text="" dxfId="4">
      <formula>"No sends seen"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6" min="5" style="1" width="10"/>
    <col collapsed="false" customWidth="true" hidden="false" outlineLevel="0" max="7" min="7" style="1" width="11"/>
    <col collapsed="false" customWidth="true" hidden="false" outlineLevel="0" max="8" min="8" style="1" width="60"/>
  </cols>
  <sheetData>
    <row r="1" customFormat="false" ht="19.5" hidden="false" customHeight="true" outlineLevel="0" collapsed="false">
      <c r="A1" s="2" t="s">
        <v>305</v>
      </c>
    </row>
    <row r="2" customFormat="false" ht="15" hidden="false" customHeight="true" outlineLevel="0" collapsed="false">
      <c r="A2" s="3" t="s">
        <v>306</v>
      </c>
    </row>
    <row r="4" customFormat="false" ht="31.5" hidden="false" customHeight="true" outlineLevel="0" collapsed="false">
      <c r="A4" s="5" t="s">
        <v>92</v>
      </c>
      <c r="B4" s="5" t="s">
        <v>128</v>
      </c>
      <c r="C4" s="5" t="s">
        <v>98</v>
      </c>
      <c r="D4" s="5" t="s">
        <v>307</v>
      </c>
      <c r="E4" s="5" t="s">
        <v>101</v>
      </c>
      <c r="F4" s="5" t="s">
        <v>102</v>
      </c>
      <c r="G4" s="5" t="s">
        <v>8</v>
      </c>
      <c r="H4" s="5" t="s">
        <v>228</v>
      </c>
    </row>
    <row r="5" customFormat="false" ht="23.25" hidden="false" customHeight="true" outlineLevel="0" collapsed="false">
      <c r="A5" s="24" t="str">
        <f aca="false">'Newsletter Map'!A10</f>
        <v>Fintech &amp; AI Fund Insights</v>
      </c>
      <c r="B5" s="25" t="str">
        <f aca="false">'Newsletter Map'!C10</f>
        <v>Fintech</v>
      </c>
      <c r="C5" s="26" t="n">
        <f aca="false">'Newsletter Map'!G10</f>
        <v>1</v>
      </c>
      <c r="D5" s="27" t="n">
        <f aca="false">'Newsletter Map'!I10</f>
        <v>8611</v>
      </c>
      <c r="E5" s="28" t="n">
        <f aca="false">'Newsletter Map'!J10</f>
        <v>0.00696783184299152</v>
      </c>
      <c r="F5" s="29" t="n">
        <f aca="false">'Newsletter Map'!K10</f>
        <v>0.0141679247474161</v>
      </c>
      <c r="G5" s="30" t="str">
        <f aca="false">'Newsletter Map'!M10</f>
        <v>Fix</v>
      </c>
      <c r="H5" s="10" t="s">
        <v>308</v>
      </c>
    </row>
    <row r="6" customFormat="false" ht="23.25" hidden="false" customHeight="true" outlineLevel="0" collapsed="false">
      <c r="A6" s="24" t="str">
        <f aca="false">'Newsletter Map'!A16</f>
        <v>Indiana Medtech + Lifetech Newsletter</v>
      </c>
      <c r="B6" s="25" t="str">
        <f aca="false">'Newsletter Map'!C16</f>
        <v>Indiana</v>
      </c>
      <c r="C6" s="26" t="n">
        <f aca="false">'Newsletter Map'!G16</f>
        <v>1</v>
      </c>
      <c r="D6" s="27" t="n">
        <f aca="false">'Newsletter Map'!I16</f>
        <v>1430</v>
      </c>
      <c r="E6" s="28" t="n">
        <f aca="false">'Newsletter Map'!J16</f>
        <v>0.0132867132867133</v>
      </c>
      <c r="F6" s="29" t="n">
        <f aca="false">'Newsletter Map'!K16</f>
        <v>0.00559440559440559</v>
      </c>
      <c r="G6" s="30" t="str">
        <f aca="false">'Newsletter Map'!M16</f>
        <v>Fix</v>
      </c>
      <c r="H6" s="10" t="s">
        <v>309</v>
      </c>
    </row>
    <row r="7" customFormat="false" ht="15" hidden="false" customHeight="true" outlineLevel="0" collapsed="false">
      <c r="A7" s="24" t="str">
        <f aca="false">'Newsletter Map'!A21</f>
        <v>Brand &amp; Retail (BRAM) Newsletter</v>
      </c>
      <c r="B7" s="25" t="str">
        <f aca="false">'Newsletter Map'!C21</f>
        <v>Brand &amp; Retail</v>
      </c>
      <c r="C7" s="26" t="n">
        <f aca="false">'Newsletter Map'!G21</f>
        <v>3</v>
      </c>
      <c r="D7" s="27" t="n">
        <f aca="false">'Newsletter Map'!I21</f>
        <v>126.333333333333</v>
      </c>
      <c r="E7" s="28" t="n">
        <f aca="false">'Newsletter Map'!J21</f>
        <v>0.0316622691292876</v>
      </c>
      <c r="F7" s="29" t="n">
        <f aca="false">'Newsletter Map'!K21</f>
        <v>0.00527704485488127</v>
      </c>
      <c r="G7" s="30" t="str">
        <f aca="false">'Newsletter Map'!M21</f>
        <v>Small list</v>
      </c>
      <c r="H7" s="10" t="s">
        <v>310</v>
      </c>
    </row>
    <row r="8" customFormat="false" ht="15" hidden="false" customHeight="true" outlineLevel="0" collapsed="false">
      <c r="A8" s="24" t="str">
        <f aca="false">'Newsletter Map'!A23</f>
        <v>AgTech &amp; Animal Health Alumni/Mentor Newsletter</v>
      </c>
      <c r="B8" s="25" t="str">
        <f aca="false">'Newsletter Map'!C23</f>
        <v>AgTech</v>
      </c>
      <c r="C8" s="26" t="n">
        <f aca="false">'Newsletter Map'!G23</f>
        <v>1</v>
      </c>
      <c r="D8" s="27" t="n">
        <f aca="false">'Newsletter Map'!I23</f>
        <v>219</v>
      </c>
      <c r="E8" s="28" t="n">
        <f aca="false">'Newsletter Map'!J23</f>
        <v>0.0182648401826484</v>
      </c>
      <c r="F8" s="29" t="n">
        <f aca="false">'Newsletter Map'!K23</f>
        <v>0</v>
      </c>
      <c r="G8" s="30" t="str">
        <f aca="false">'Newsletter Map'!M23</f>
        <v>Small list</v>
      </c>
      <c r="H8" s="10" t="s">
        <v>311</v>
      </c>
    </row>
    <row r="9" customFormat="false" ht="15" hidden="false" customHeight="true" outlineLevel="0" collapsed="false">
      <c r="A9" s="24" t="str">
        <f aca="false">'Newsletter Map'!A24</f>
        <v>Supply Chain (SLAM) Innovation Brief</v>
      </c>
      <c r="B9" s="25" t="str">
        <f aca="false">'Newsletter Map'!C24</f>
        <v>Supply Chain</v>
      </c>
      <c r="C9" s="26" t="n">
        <f aca="false">'Newsletter Map'!G24</f>
        <v>1</v>
      </c>
      <c r="D9" s="27" t="n">
        <f aca="false">'Newsletter Map'!I24</f>
        <v>54</v>
      </c>
      <c r="E9" s="28" t="n">
        <f aca="false">'Newsletter Map'!J24</f>
        <v>0.0925925925925926</v>
      </c>
      <c r="F9" s="29" t="n">
        <f aca="false">'Newsletter Map'!K24</f>
        <v>0</v>
      </c>
      <c r="G9" s="30" t="str">
        <f aca="false">'Newsletter Map'!M24</f>
        <v>Small list</v>
      </c>
      <c r="H9" s="10" t="s">
        <v>312</v>
      </c>
    </row>
    <row r="10" customFormat="false" ht="15" hidden="false" customHeight="true" outlineLevel="0" collapsed="false">
      <c r="A10" s="24" t="str">
        <f aca="false">'Newsletter Map'!A27</f>
        <v>Shamrock Foods Monthly Signal (client)</v>
      </c>
      <c r="B10" s="25" t="str">
        <f aca="false">'Newsletter Map'!C27</f>
        <v>Supply Chain</v>
      </c>
      <c r="C10" s="26" t="n">
        <f aca="false">'Newsletter Map'!G27</f>
        <v>1</v>
      </c>
      <c r="D10" s="27" t="n">
        <f aca="false">'Newsletter Map'!I27</f>
        <v>7</v>
      </c>
      <c r="E10" s="28" t="n">
        <f aca="false">'Newsletter Map'!J27</f>
        <v>0</v>
      </c>
      <c r="F10" s="29" t="n">
        <f aca="false">'Newsletter Map'!K27</f>
        <v>0</v>
      </c>
      <c r="G10" s="30" t="str">
        <f aca="false">'Newsletter Map'!M27</f>
        <v>Small list</v>
      </c>
      <c r="H10" s="10" t="s">
        <v>313</v>
      </c>
    </row>
    <row r="12" customFormat="false" ht="15" hidden="false" customHeight="true" outlineLevel="0" collapsed="false">
      <c r="A12" s="4" t="s">
        <v>314</v>
      </c>
    </row>
    <row r="13" customFormat="false" ht="15" hidden="false" customHeight="true" outlineLevel="0" collapsed="false">
      <c r="A13" s="8" t="s">
        <v>315</v>
      </c>
    </row>
    <row r="14" customFormat="false" ht="15" hidden="false" customHeight="true" outlineLevel="0" collapsed="false">
      <c r="A14" s="8" t="s">
        <v>316</v>
      </c>
    </row>
    <row r="15" customFormat="false" ht="15" hidden="false" customHeight="true" outlineLevel="0" collapsed="false">
      <c r="A15" s="8" t="s">
        <v>317</v>
      </c>
    </row>
    <row r="16" customFormat="false" ht="15" hidden="false" customHeight="true" outlineLevel="0" collapsed="false">
      <c r="A16" s="8" t="s">
        <v>318</v>
      </c>
    </row>
    <row r="17" customFormat="false" ht="15" hidden="false" customHeight="true" outlineLevel="0" collapsed="false">
      <c r="A17" s="8" t="s">
        <v>319</v>
      </c>
    </row>
    <row r="18" customFormat="false" ht="15" hidden="false" customHeight="true" outlineLevel="0" collapsed="false">
      <c r="A18" s="8" t="s">
        <v>320</v>
      </c>
    </row>
    <row r="19" customFormat="false" ht="15" hidden="false" customHeight="true" outlineLevel="0" collapsed="false">
      <c r="A19" s="8" t="s">
        <v>321</v>
      </c>
    </row>
    <row r="20" customFormat="false" ht="15" hidden="false" customHeight="true" outlineLevel="0" collapsed="false">
      <c r="A20" s="8" t="s">
        <v>322</v>
      </c>
    </row>
    <row r="21" customFormat="false" ht="15" hidden="false" customHeight="true" outlineLevel="0" collapsed="false">
      <c r="A21" s="8" t="s">
        <v>323</v>
      </c>
    </row>
    <row r="22" customFormat="false" ht="15" hidden="false" customHeight="true" outlineLevel="0" collapsed="false">
      <c r="A22" s="8" t="s">
        <v>324</v>
      </c>
    </row>
    <row r="23" customFormat="false" ht="15" hidden="false" customHeight="true" outlineLevel="0" collapsed="false">
      <c r="A23" s="8" t="s">
        <v>325</v>
      </c>
    </row>
    <row r="24" customFormat="false" ht="15" hidden="false" customHeight="true" outlineLevel="0" collapsed="false">
      <c r="A24" s="8" t="s">
        <v>326</v>
      </c>
    </row>
    <row r="25" customFormat="false" ht="15" hidden="false" customHeight="true" outlineLevel="0" collapsed="false">
      <c r="A25" s="8" t="s">
        <v>327</v>
      </c>
    </row>
    <row r="26" customFormat="false" ht="15" hidden="false" customHeight="true" outlineLevel="0" collapsed="false">
      <c r="A26" s="8" t="s">
        <v>328</v>
      </c>
    </row>
    <row r="27" customFormat="false" ht="15" hidden="false" customHeight="true" outlineLevel="0" collapsed="false">
      <c r="A27" s="8" t="s">
        <v>329</v>
      </c>
    </row>
    <row r="28" customFormat="false" ht="15" hidden="false" customHeight="true" outlineLevel="0" collapsed="false">
      <c r="A28" s="8" t="s">
        <v>330</v>
      </c>
    </row>
    <row r="29" customFormat="false" ht="15" hidden="false" customHeight="true" outlineLevel="0" collapsed="false">
      <c r="A29" s="8" t="s">
        <v>196</v>
      </c>
    </row>
    <row r="31" customFormat="false" ht="15" hidden="false" customHeight="true" outlineLevel="0" collapsed="false">
      <c r="A31" s="3" t="s">
        <v>331</v>
      </c>
    </row>
    <row r="32" customFormat="false" ht="15" hidden="false" customHeight="true" outlineLevel="0" collapsed="false">
      <c r="A32" s="3" t="s">
        <v>332</v>
      </c>
    </row>
  </sheetData>
  <conditionalFormatting sqref="G5:G10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44"/>
    <col collapsed="false" customWidth="true" hidden="false" outlineLevel="0" max="4" min="4" style="1" width="46"/>
  </cols>
  <sheetData>
    <row r="1" customFormat="false" ht="19.5" hidden="false" customHeight="true" outlineLevel="0" collapsed="false">
      <c r="A1" s="2" t="s">
        <v>333</v>
      </c>
    </row>
    <row r="3" customFormat="false" ht="15" hidden="false" customHeight="true" outlineLevel="0" collapsed="false">
      <c r="A3" s="4" t="s">
        <v>334</v>
      </c>
    </row>
    <row r="4" customFormat="false" ht="31.5" hidden="false" customHeight="true" outlineLevel="0" collapsed="false">
      <c r="A4" s="5" t="s">
        <v>335</v>
      </c>
      <c r="B4" s="5" t="s">
        <v>336</v>
      </c>
      <c r="C4" s="5" t="s">
        <v>337</v>
      </c>
      <c r="D4" s="5" t="s">
        <v>228</v>
      </c>
    </row>
    <row r="5" customFormat="false" ht="15" hidden="false" customHeight="true" outlineLevel="0" collapsed="false">
      <c r="A5" s="6" t="s">
        <v>338</v>
      </c>
      <c r="B5" s="18" t="n">
        <v>1198117</v>
      </c>
      <c r="C5" s="8"/>
      <c r="D5" s="8"/>
    </row>
    <row r="6" customFormat="false" ht="15" hidden="false" customHeight="true" outlineLevel="0" collapsed="false">
      <c r="A6" s="6" t="s">
        <v>339</v>
      </c>
      <c r="B6" s="18" t="n">
        <v>590458</v>
      </c>
      <c r="C6" s="21" t="n">
        <v>1</v>
      </c>
      <c r="D6" s="8" t="str">
        <f aca="false">TEXT(B6/B7,"0.0%")&amp;" of the 630k tier used. HubSpot only bills marketing contacts."</f>
        <v>93.7% of the 630k tier used. HubSpot only bills marketing contacts.</v>
      </c>
    </row>
    <row r="7" customFormat="false" ht="15" hidden="false" customHeight="true" outlineLevel="0" collapsed="false">
      <c r="A7" s="6" t="s">
        <v>340</v>
      </c>
      <c r="B7" s="18" t="n">
        <v>630000</v>
      </c>
      <c r="C7" s="8"/>
      <c r="D7" s="8" t="s">
        <v>341</v>
      </c>
    </row>
    <row r="8" customFormat="false" ht="15" hidden="false" customHeight="true" outlineLevel="0" collapsed="false">
      <c r="A8" s="6" t="s">
        <v>342</v>
      </c>
      <c r="B8" s="18" t="n">
        <v>508812</v>
      </c>
      <c r="C8" s="21" t="n">
        <f aca="false">B8/$B$6</f>
        <v>0.861724288603084</v>
      </c>
      <c r="D8" s="8" t="s">
        <v>343</v>
      </c>
    </row>
    <row r="9" customFormat="false" ht="15" hidden="false" customHeight="true" outlineLevel="0" collapsed="false">
      <c r="A9" s="6" t="s">
        <v>344</v>
      </c>
      <c r="B9" s="18" t="n">
        <v>433657</v>
      </c>
      <c r="C9" s="21" t="n">
        <f aca="false">B9/$B$6</f>
        <v>0.734441738447104</v>
      </c>
      <c r="D9" s="8" t="s">
        <v>345</v>
      </c>
    </row>
    <row r="10" customFormat="false" ht="15" hidden="false" customHeight="true" outlineLevel="0" collapsed="false">
      <c r="A10" s="6" t="s">
        <v>346</v>
      </c>
      <c r="B10" s="18" t="n">
        <v>20539</v>
      </c>
      <c r="C10" s="21" t="n">
        <f aca="false">B10/$B$6</f>
        <v>0.0347848619207463</v>
      </c>
      <c r="D10" s="8" t="s">
        <v>347</v>
      </c>
    </row>
    <row r="11" customFormat="false" ht="15" hidden="false" customHeight="true" outlineLevel="0" collapsed="false">
      <c r="A11" s="6" t="s">
        <v>348</v>
      </c>
      <c r="B11" s="18" t="n">
        <v>12055</v>
      </c>
      <c r="C11" s="21" t="n">
        <f aca="false">B11/$B$6</f>
        <v>0.0204163547618967</v>
      </c>
      <c r="D11" s="8"/>
    </row>
    <row r="12" customFormat="false" ht="15" hidden="false" customHeight="true" outlineLevel="0" collapsed="false">
      <c r="A12" s="6" t="s">
        <v>349</v>
      </c>
      <c r="B12" s="18" t="n">
        <v>76830</v>
      </c>
      <c r="C12" s="8"/>
      <c r="D12" s="8" t="s">
        <v>350</v>
      </c>
    </row>
    <row r="13" customFormat="false" ht="15" hidden="false" customHeight="true" outlineLevel="0" collapsed="false">
      <c r="A13" s="6" t="s">
        <v>351</v>
      </c>
      <c r="B13" s="18" t="n">
        <v>10148</v>
      </c>
      <c r="C13" s="8"/>
      <c r="D13" s="8" t="s">
        <v>352</v>
      </c>
    </row>
    <row r="14" customFormat="false" ht="15" hidden="false" customHeight="true" outlineLevel="0" collapsed="false">
      <c r="A14" s="6" t="s">
        <v>353</v>
      </c>
      <c r="B14" s="18" t="n">
        <v>454</v>
      </c>
      <c r="C14" s="8"/>
      <c r="D14" s="8" t="s">
        <v>354</v>
      </c>
    </row>
    <row r="16" customFormat="false" ht="15" hidden="false" customHeight="true" outlineLevel="0" collapsed="false">
      <c r="A16" s="6" t="s">
        <v>355</v>
      </c>
      <c r="B16" s="20" t="n">
        <f aca="false">B6-B8</f>
        <v>81646</v>
      </c>
      <c r="C16" s="21" t="n">
        <f aca="false">B16/B6</f>
        <v>0.138275711396916</v>
      </c>
      <c r="D16" s="8" t="s">
        <v>356</v>
      </c>
    </row>
    <row r="19" customFormat="false" ht="15" hidden="false" customHeight="true" outlineLevel="0" collapsed="false">
      <c r="A19" s="4" t="s">
        <v>357</v>
      </c>
    </row>
    <row r="20" customFormat="false" ht="31.5" hidden="false" customHeight="true" outlineLevel="0" collapsed="false">
      <c r="A20" s="5" t="s">
        <v>358</v>
      </c>
      <c r="B20" s="5" t="s">
        <v>359</v>
      </c>
      <c r="C20" s="5" t="s">
        <v>360</v>
      </c>
      <c r="D20" s="5" t="s">
        <v>8</v>
      </c>
    </row>
    <row r="21" customFormat="false" ht="15" hidden="false" customHeight="true" outlineLevel="0" collapsed="false">
      <c r="A21" s="6" t="s">
        <v>361</v>
      </c>
      <c r="B21" s="8" t="s">
        <v>362</v>
      </c>
      <c r="C21" s="8" t="s">
        <v>362</v>
      </c>
      <c r="D21" s="9" t="s">
        <v>363</v>
      </c>
    </row>
    <row r="22" customFormat="false" ht="15" hidden="false" customHeight="true" outlineLevel="0" collapsed="false">
      <c r="A22" s="6" t="s">
        <v>364</v>
      </c>
      <c r="B22" s="8" t="s">
        <v>365</v>
      </c>
      <c r="C22" s="8" t="s">
        <v>366</v>
      </c>
      <c r="D22" s="9" t="s">
        <v>49</v>
      </c>
    </row>
    <row r="23" customFormat="false" ht="15" hidden="false" customHeight="true" outlineLevel="0" collapsed="false">
      <c r="A23" s="6" t="s">
        <v>367</v>
      </c>
      <c r="B23" s="8" t="s">
        <v>368</v>
      </c>
      <c r="C23" s="8" t="s">
        <v>369</v>
      </c>
      <c r="D23" s="9" t="s">
        <v>370</v>
      </c>
    </row>
    <row r="24" customFormat="false" ht="15" hidden="false" customHeight="true" outlineLevel="0" collapsed="false">
      <c r="A24" s="6" t="s">
        <v>371</v>
      </c>
      <c r="B24" s="8" t="s">
        <v>365</v>
      </c>
      <c r="C24" s="8" t="s">
        <v>372</v>
      </c>
      <c r="D24" s="9" t="s">
        <v>370</v>
      </c>
    </row>
    <row r="25" customFormat="false" ht="15" hidden="false" customHeight="true" outlineLevel="0" collapsed="false">
      <c r="A25" s="6" t="s">
        <v>373</v>
      </c>
      <c r="B25" s="8" t="s">
        <v>374</v>
      </c>
      <c r="C25" s="8" t="s">
        <v>375</v>
      </c>
      <c r="D25" s="9" t="s">
        <v>370</v>
      </c>
    </row>
    <row r="26" customFormat="false" ht="15" hidden="false" customHeight="true" outlineLevel="0" collapsed="false">
      <c r="A26" s="6" t="s">
        <v>376</v>
      </c>
      <c r="B26" s="8" t="s">
        <v>377</v>
      </c>
      <c r="C26" s="8" t="s">
        <v>378</v>
      </c>
      <c r="D26" s="9" t="s">
        <v>49</v>
      </c>
    </row>
    <row r="29" customFormat="false" ht="15" hidden="false" customHeight="true" outlineLevel="0" collapsed="false">
      <c r="A29" s="4" t="s">
        <v>379</v>
      </c>
    </row>
    <row r="30" customFormat="false" ht="31.5" hidden="false" customHeight="true" outlineLevel="0" collapsed="false">
      <c r="A30" s="5" t="s">
        <v>335</v>
      </c>
      <c r="B30" s="5" t="s">
        <v>380</v>
      </c>
      <c r="C30" s="5" t="s">
        <v>228</v>
      </c>
    </row>
    <row r="31" customFormat="false" ht="15" hidden="false" customHeight="true" outlineLevel="0" collapsed="false">
      <c r="A31" s="6" t="s">
        <v>381</v>
      </c>
      <c r="B31" s="18" t="n">
        <v>95</v>
      </c>
      <c r="C31" s="8" t="s">
        <v>382</v>
      </c>
    </row>
    <row r="32" customFormat="false" ht="39.75" hidden="false" customHeight="true" outlineLevel="0" collapsed="false">
      <c r="A32" s="6" t="s">
        <v>234</v>
      </c>
      <c r="B32" s="18" t="n">
        <v>14</v>
      </c>
      <c r="C32" s="10" t="s">
        <v>383</v>
      </c>
    </row>
    <row r="33" customFormat="false" ht="27.75" hidden="false" customHeight="true" outlineLevel="0" collapsed="false">
      <c r="A33" s="6" t="s">
        <v>273</v>
      </c>
      <c r="B33" s="20" t="n">
        <f aca="false">B31-B32</f>
        <v>81</v>
      </c>
      <c r="C33" s="10" t="s">
        <v>384</v>
      </c>
    </row>
    <row r="36" customFormat="false" ht="15" hidden="false" customHeight="true" outlineLevel="0" collapsed="false">
      <c r="A36" s="4" t="s">
        <v>385</v>
      </c>
    </row>
    <row r="37" customFormat="false" ht="31.5" hidden="false" customHeight="true" outlineLevel="0" collapsed="false">
      <c r="A37" s="5" t="s">
        <v>335</v>
      </c>
      <c r="B37" s="5" t="s">
        <v>380</v>
      </c>
      <c r="C37" s="5" t="s">
        <v>228</v>
      </c>
    </row>
    <row r="38" customFormat="false" ht="15" hidden="false" customHeight="true" outlineLevel="0" collapsed="false">
      <c r="A38" s="6" t="s">
        <v>386</v>
      </c>
      <c r="B38" s="18" t="n">
        <v>309</v>
      </c>
      <c r="C38" s="10"/>
    </row>
    <row r="39" customFormat="false" ht="15" hidden="false" customHeight="true" outlineLevel="0" collapsed="false">
      <c r="A39" s="6" t="s">
        <v>387</v>
      </c>
      <c r="B39" s="18" t="n">
        <v>251</v>
      </c>
      <c r="C39" s="10"/>
    </row>
    <row r="40" customFormat="false" ht="15" hidden="false" customHeight="true" outlineLevel="0" collapsed="false">
      <c r="A40" s="6" t="s">
        <v>388</v>
      </c>
      <c r="B40" s="18" t="n">
        <v>58</v>
      </c>
      <c r="C40" s="10"/>
    </row>
    <row r="41" customFormat="false" ht="23.25" hidden="false" customHeight="true" outlineLevel="0" collapsed="false">
      <c r="A41" s="6" t="s">
        <v>389</v>
      </c>
      <c r="B41" s="18" t="n">
        <v>65</v>
      </c>
      <c r="C41" s="10" t="s">
        <v>390</v>
      </c>
    </row>
    <row r="42" customFormat="false" ht="23.25" hidden="false" customHeight="true" outlineLevel="0" collapsed="false">
      <c r="A42" s="6" t="s">
        <v>391</v>
      </c>
      <c r="B42" s="18" t="n">
        <v>3</v>
      </c>
      <c r="C42" s="10" t="s">
        <v>392</v>
      </c>
    </row>
  </sheetData>
  <conditionalFormatting sqref="D21:D26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"/>
    <col collapsed="false" customWidth="true" hidden="false" outlineLevel="0" max="3" min="3" style="1" width="18"/>
    <col collapsed="false" customWidth="true" hidden="false" outlineLevel="0" max="4" min="4" style="1" width="44"/>
    <col collapsed="false" customWidth="true" hidden="false" outlineLevel="0" max="5" min="5" style="1" width="54"/>
    <col collapsed="false" customWidth="true" hidden="false" outlineLevel="0" max="6" min="6" style="1" width="40"/>
  </cols>
  <sheetData>
    <row r="1" customFormat="false" ht="19.5" hidden="false" customHeight="true" outlineLevel="0" collapsed="false">
      <c r="A1" s="2" t="s">
        <v>393</v>
      </c>
    </row>
    <row r="2" customFormat="false" ht="15" hidden="false" customHeight="true" outlineLevel="0" collapsed="false">
      <c r="A2" s="3" t="s">
        <v>394</v>
      </c>
    </row>
    <row r="4" customFormat="false" ht="31.5" hidden="false" customHeight="true" outlineLevel="0" collapsed="false">
      <c r="A4" s="5" t="s">
        <v>395</v>
      </c>
      <c r="B4" s="5" t="s">
        <v>396</v>
      </c>
      <c r="C4" s="5" t="s">
        <v>397</v>
      </c>
      <c r="D4" s="5" t="s">
        <v>398</v>
      </c>
      <c r="E4" s="5" t="s">
        <v>399</v>
      </c>
      <c r="F4" s="5" t="s">
        <v>400</v>
      </c>
    </row>
    <row r="5" customFormat="false" ht="54" hidden="false" customHeight="true" outlineLevel="0" collapsed="false">
      <c r="A5" s="31" t="n">
        <v>1</v>
      </c>
      <c r="B5" s="32" t="s">
        <v>401</v>
      </c>
      <c r="C5" s="6" t="s">
        <v>402</v>
      </c>
      <c r="D5" s="10" t="s">
        <v>403</v>
      </c>
      <c r="E5" s="10" t="s">
        <v>404</v>
      </c>
      <c r="F5" s="10" t="s">
        <v>405</v>
      </c>
    </row>
    <row r="6" customFormat="false" ht="54" hidden="false" customHeight="true" outlineLevel="0" collapsed="false">
      <c r="A6" s="31" t="n">
        <v>2</v>
      </c>
      <c r="B6" s="32" t="s">
        <v>401</v>
      </c>
      <c r="C6" s="6" t="s">
        <v>406</v>
      </c>
      <c r="D6" s="10" t="s">
        <v>407</v>
      </c>
      <c r="E6" s="10" t="s">
        <v>408</v>
      </c>
      <c r="F6" s="10" t="s">
        <v>409</v>
      </c>
    </row>
    <row r="7" customFormat="false" ht="54" hidden="false" customHeight="true" outlineLevel="0" collapsed="false">
      <c r="A7" s="31" t="n">
        <v>3</v>
      </c>
      <c r="B7" s="32" t="s">
        <v>401</v>
      </c>
      <c r="C7" s="6" t="s">
        <v>410</v>
      </c>
      <c r="D7" s="10" t="s">
        <v>411</v>
      </c>
      <c r="E7" s="10" t="s">
        <v>412</v>
      </c>
      <c r="F7" s="10" t="s">
        <v>413</v>
      </c>
    </row>
    <row r="8" customFormat="false" ht="54" hidden="false" customHeight="true" outlineLevel="0" collapsed="false">
      <c r="A8" s="31" t="n">
        <v>4</v>
      </c>
      <c r="B8" s="32" t="s">
        <v>401</v>
      </c>
      <c r="C8" s="6" t="s">
        <v>414</v>
      </c>
      <c r="D8" s="10" t="s">
        <v>415</v>
      </c>
      <c r="E8" s="10" t="s">
        <v>416</v>
      </c>
      <c r="F8" s="10" t="s">
        <v>417</v>
      </c>
    </row>
    <row r="9" customFormat="false" ht="54" hidden="false" customHeight="true" outlineLevel="0" collapsed="false">
      <c r="A9" s="31" t="n">
        <v>5</v>
      </c>
      <c r="B9" s="32" t="s">
        <v>401</v>
      </c>
      <c r="C9" s="6" t="s">
        <v>418</v>
      </c>
      <c r="D9" s="10" t="s">
        <v>419</v>
      </c>
      <c r="E9" s="10" t="s">
        <v>420</v>
      </c>
      <c r="F9" s="10" t="s">
        <v>421</v>
      </c>
    </row>
    <row r="10" customFormat="false" ht="54" hidden="false" customHeight="true" outlineLevel="0" collapsed="false">
      <c r="A10" s="31" t="n">
        <v>6</v>
      </c>
      <c r="B10" s="32" t="s">
        <v>422</v>
      </c>
      <c r="C10" s="6" t="s">
        <v>423</v>
      </c>
      <c r="D10" s="10" t="s">
        <v>424</v>
      </c>
      <c r="E10" s="10" t="s">
        <v>425</v>
      </c>
      <c r="F10" s="10" t="s">
        <v>426</v>
      </c>
    </row>
    <row r="11" customFormat="false" ht="54" hidden="false" customHeight="true" outlineLevel="0" collapsed="false">
      <c r="A11" s="31" t="n">
        <v>7</v>
      </c>
      <c r="B11" s="32" t="s">
        <v>422</v>
      </c>
      <c r="C11" s="6" t="s">
        <v>427</v>
      </c>
      <c r="D11" s="10" t="s">
        <v>428</v>
      </c>
      <c r="E11" s="10" t="s">
        <v>429</v>
      </c>
      <c r="F11" s="10" t="s">
        <v>430</v>
      </c>
    </row>
    <row r="12" customFormat="false" ht="54" hidden="false" customHeight="true" outlineLevel="0" collapsed="false">
      <c r="A12" s="31" t="n">
        <v>8</v>
      </c>
      <c r="B12" s="32" t="s">
        <v>422</v>
      </c>
      <c r="C12" s="6" t="s">
        <v>431</v>
      </c>
      <c r="D12" s="10" t="s">
        <v>432</v>
      </c>
      <c r="E12" s="10" t="s">
        <v>433</v>
      </c>
      <c r="F12" s="10" t="s">
        <v>434</v>
      </c>
    </row>
    <row r="13" customFormat="false" ht="54" hidden="false" customHeight="true" outlineLevel="0" collapsed="false">
      <c r="A13" s="31" t="n">
        <v>9</v>
      </c>
      <c r="B13" s="32" t="s">
        <v>422</v>
      </c>
      <c r="C13" s="6" t="s">
        <v>435</v>
      </c>
      <c r="D13" s="10" t="s">
        <v>436</v>
      </c>
      <c r="E13" s="10" t="s">
        <v>437</v>
      </c>
      <c r="F13" s="10" t="s">
        <v>438</v>
      </c>
    </row>
    <row r="14" customFormat="false" ht="54" hidden="false" customHeight="true" outlineLevel="0" collapsed="false">
      <c r="A14" s="31" t="n">
        <v>10</v>
      </c>
      <c r="B14" s="32" t="s">
        <v>422</v>
      </c>
      <c r="C14" s="6" t="s">
        <v>439</v>
      </c>
      <c r="D14" s="10" t="s">
        <v>440</v>
      </c>
      <c r="E14" s="10" t="s">
        <v>441</v>
      </c>
      <c r="F14" s="10" t="s">
        <v>442</v>
      </c>
    </row>
    <row r="15" customFormat="false" ht="54" hidden="false" customHeight="true" outlineLevel="0" collapsed="false">
      <c r="A15" s="31" t="n">
        <v>11</v>
      </c>
      <c r="B15" s="32" t="s">
        <v>422</v>
      </c>
      <c r="C15" s="6" t="s">
        <v>443</v>
      </c>
      <c r="D15" s="10" t="s">
        <v>444</v>
      </c>
      <c r="E15" s="10" t="s">
        <v>445</v>
      </c>
      <c r="F15" s="10" t="s">
        <v>446</v>
      </c>
    </row>
    <row r="16" customFormat="false" ht="54" hidden="false" customHeight="true" outlineLevel="0" collapsed="false">
      <c r="A16" s="31" t="n">
        <v>12</v>
      </c>
      <c r="B16" s="32" t="s">
        <v>447</v>
      </c>
      <c r="C16" s="6" t="s">
        <v>448</v>
      </c>
      <c r="D16" s="10" t="s">
        <v>449</v>
      </c>
      <c r="E16" s="10" t="s">
        <v>450</v>
      </c>
      <c r="F16" s="10" t="s">
        <v>451</v>
      </c>
    </row>
    <row r="17" customFormat="false" ht="54" hidden="false" customHeight="true" outlineLevel="0" collapsed="false">
      <c r="A17" s="31" t="n">
        <v>13</v>
      </c>
      <c r="B17" s="32" t="s">
        <v>447</v>
      </c>
      <c r="C17" s="6" t="s">
        <v>452</v>
      </c>
      <c r="D17" s="10" t="s">
        <v>453</v>
      </c>
      <c r="E17" s="10" t="s">
        <v>454</v>
      </c>
      <c r="F17" s="10" t="s">
        <v>455</v>
      </c>
    </row>
  </sheetData>
  <conditionalFormatting sqref="B5:B17">
    <cfRule type="cellIs" priority="2" operator="equal" aboveAverage="0" equalAverage="0" bottom="0" percent="0" rank="0" text="" dxfId="5">
      <formula>"Quick win"</formula>
    </cfRule>
    <cfRule type="cellIs" priority="3" operator="equal" aboveAverage="0" equalAverage="0" bottom="0" percent="0" rank="0" text="" dxfId="6">
      <formula>"Medium"</formula>
    </cfRule>
    <cfRule type="cellIs" priority="4" operator="equal" aboveAverage="0" equalAverage="0" bottom="0" percent="0" rank="0" text="" dxfId="7">
      <formula>"Bigger"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33" t="s">
        <v>456</v>
      </c>
    </row>
    <row r="2" customFormat="false" ht="15" hidden="false" customHeight="false" outlineLevel="0" collapsed="false">
      <c r="A2" s="34" t="s">
        <v>457</v>
      </c>
    </row>
    <row r="4" customFormat="false" ht="15" hidden="false" customHeight="false" outlineLevel="0" collapsed="false">
      <c r="A4" s="35" t="s">
        <v>458</v>
      </c>
      <c r="B4" s="35" t="s">
        <v>8</v>
      </c>
      <c r="C4" s="35" t="s">
        <v>459</v>
      </c>
      <c r="D4" s="35" t="s">
        <v>460</v>
      </c>
    </row>
    <row r="5" customFormat="false" ht="15" hidden="false" customHeight="false" outlineLevel="0" collapsed="false">
      <c r="A5" s="36" t="s">
        <v>461</v>
      </c>
      <c r="B5" s="36" t="s">
        <v>462</v>
      </c>
      <c r="C5" s="36" t="n">
        <v>0</v>
      </c>
      <c r="D5" s="36" t="s">
        <v>463</v>
      </c>
    </row>
    <row r="6" customFormat="false" ht="15" hidden="false" customHeight="false" outlineLevel="0" collapsed="false">
      <c r="A6" s="36" t="s">
        <v>464</v>
      </c>
      <c r="B6" s="36" t="s">
        <v>462</v>
      </c>
      <c r="C6" s="36" t="n">
        <v>0</v>
      </c>
      <c r="D6" s="36" t="s">
        <v>465</v>
      </c>
    </row>
    <row r="7" customFormat="false" ht="15" hidden="false" customHeight="false" outlineLevel="0" collapsed="false">
      <c r="A7" s="36" t="s">
        <v>466</v>
      </c>
      <c r="B7" s="36" t="s">
        <v>462</v>
      </c>
      <c r="C7" s="36" t="n">
        <v>0</v>
      </c>
      <c r="D7" s="36" t="s">
        <v>465</v>
      </c>
    </row>
    <row r="8" customFormat="false" ht="15" hidden="false" customHeight="false" outlineLevel="0" collapsed="false">
      <c r="A8" s="36" t="s">
        <v>467</v>
      </c>
      <c r="B8" s="36" t="s">
        <v>462</v>
      </c>
      <c r="C8" s="36" t="n">
        <v>0</v>
      </c>
      <c r="D8" s="36" t="s">
        <v>465</v>
      </c>
    </row>
    <row r="9" customFormat="false" ht="15" hidden="false" customHeight="false" outlineLevel="0" collapsed="false">
      <c r="A9" s="36" t="s">
        <v>468</v>
      </c>
      <c r="B9" s="36" t="s">
        <v>462</v>
      </c>
      <c r="C9" s="36" t="n">
        <v>0</v>
      </c>
      <c r="D9" s="36" t="s">
        <v>465</v>
      </c>
    </row>
    <row r="10" customFormat="false" ht="15" hidden="false" customHeight="false" outlineLevel="0" collapsed="false">
      <c r="A10" s="36" t="s">
        <v>469</v>
      </c>
      <c r="B10" s="36" t="s">
        <v>462</v>
      </c>
      <c r="C10" s="36" t="n">
        <v>0</v>
      </c>
      <c r="D10" s="36" t="s">
        <v>465</v>
      </c>
    </row>
    <row r="11" customFormat="false" ht="15" hidden="false" customHeight="false" outlineLevel="0" collapsed="false">
      <c r="A11" s="36" t="s">
        <v>470</v>
      </c>
      <c r="B11" s="36" t="s">
        <v>462</v>
      </c>
      <c r="C11" s="36" t="n">
        <v>0</v>
      </c>
      <c r="D11" s="36" t="s">
        <v>465</v>
      </c>
    </row>
    <row r="12" customFormat="false" ht="15" hidden="false" customHeight="false" outlineLevel="0" collapsed="false">
      <c r="A12" s="36" t="s">
        <v>471</v>
      </c>
      <c r="B12" s="36" t="s">
        <v>462</v>
      </c>
      <c r="C12" s="36" t="n">
        <v>0</v>
      </c>
      <c r="D12" s="36" t="s">
        <v>465</v>
      </c>
    </row>
    <row r="13" customFormat="false" ht="15" hidden="false" customHeight="false" outlineLevel="0" collapsed="false">
      <c r="A13" s="36" t="s">
        <v>472</v>
      </c>
      <c r="B13" s="36" t="s">
        <v>462</v>
      </c>
      <c r="C13" s="36" t="n">
        <v>0</v>
      </c>
      <c r="D13" s="36" t="s">
        <v>473</v>
      </c>
    </row>
    <row r="14" customFormat="false" ht="15" hidden="false" customHeight="false" outlineLevel="0" collapsed="false">
      <c r="A14" s="36" t="s">
        <v>474</v>
      </c>
      <c r="B14" s="36" t="s">
        <v>462</v>
      </c>
      <c r="C14" s="36" t="n">
        <v>0</v>
      </c>
      <c r="D14" s="36" t="s">
        <v>473</v>
      </c>
    </row>
    <row r="15" customFormat="false" ht="15" hidden="false" customHeight="false" outlineLevel="0" collapsed="false">
      <c r="A15" s="36" t="s">
        <v>475</v>
      </c>
      <c r="B15" s="36" t="s">
        <v>462</v>
      </c>
      <c r="C15" s="36" t="n">
        <v>0</v>
      </c>
      <c r="D15" s="36" t="s">
        <v>473</v>
      </c>
    </row>
    <row r="16" customFormat="false" ht="15" hidden="false" customHeight="false" outlineLevel="0" collapsed="false">
      <c r="A16" s="36" t="s">
        <v>476</v>
      </c>
      <c r="B16" s="36" t="s">
        <v>462</v>
      </c>
      <c r="C16" s="36" t="n">
        <v>0</v>
      </c>
      <c r="D16" s="36" t="s">
        <v>473</v>
      </c>
    </row>
    <row r="17" customFormat="false" ht="15" hidden="false" customHeight="false" outlineLevel="0" collapsed="false">
      <c r="A17" s="36" t="s">
        <v>477</v>
      </c>
      <c r="B17" s="36" t="s">
        <v>462</v>
      </c>
      <c r="C17" s="36" t="n">
        <v>0</v>
      </c>
      <c r="D17" s="36" t="s">
        <v>473</v>
      </c>
    </row>
    <row r="18" customFormat="false" ht="15" hidden="false" customHeight="false" outlineLevel="0" collapsed="false">
      <c r="A18" s="36" t="s">
        <v>478</v>
      </c>
      <c r="B18" s="36" t="s">
        <v>462</v>
      </c>
      <c r="C18" s="36" t="n">
        <v>0</v>
      </c>
      <c r="D18" s="36" t="s">
        <v>473</v>
      </c>
    </row>
    <row r="19" customFormat="false" ht="15" hidden="false" customHeight="false" outlineLevel="0" collapsed="false">
      <c r="A19" s="36" t="s">
        <v>479</v>
      </c>
      <c r="B19" s="36" t="s">
        <v>462</v>
      </c>
      <c r="C19" s="36" t="n">
        <v>0</v>
      </c>
      <c r="D19" s="36" t="s">
        <v>473</v>
      </c>
    </row>
    <row r="20" customFormat="false" ht="15" hidden="false" customHeight="false" outlineLevel="0" collapsed="false">
      <c r="A20" s="36" t="s">
        <v>480</v>
      </c>
      <c r="B20" s="36" t="s">
        <v>462</v>
      </c>
      <c r="C20" s="36" t="n">
        <v>0</v>
      </c>
      <c r="D20" s="36" t="s">
        <v>473</v>
      </c>
    </row>
    <row r="21" customFormat="false" ht="15" hidden="false" customHeight="false" outlineLevel="0" collapsed="false">
      <c r="A21" s="36" t="s">
        <v>481</v>
      </c>
      <c r="B21" s="36" t="s">
        <v>462</v>
      </c>
      <c r="C21" s="36" t="n">
        <v>0</v>
      </c>
      <c r="D21" s="36" t="s">
        <v>473</v>
      </c>
    </row>
    <row r="22" customFormat="false" ht="15" hidden="false" customHeight="false" outlineLevel="0" collapsed="false">
      <c r="A22" s="36" t="s">
        <v>482</v>
      </c>
      <c r="B22" s="36" t="s">
        <v>462</v>
      </c>
      <c r="C22" s="36" t="n">
        <v>0</v>
      </c>
      <c r="D22" s="36" t="s">
        <v>473</v>
      </c>
    </row>
    <row r="23" customFormat="false" ht="15" hidden="false" customHeight="false" outlineLevel="0" collapsed="false">
      <c r="A23" s="37" t="s">
        <v>483</v>
      </c>
      <c r="B23" s="36" t="s">
        <v>462</v>
      </c>
      <c r="C23" s="36" t="n">
        <v>0</v>
      </c>
      <c r="D23" s="36" t="s">
        <v>473</v>
      </c>
    </row>
    <row r="24" customFormat="false" ht="15" hidden="false" customHeight="false" outlineLevel="0" collapsed="false">
      <c r="A24" s="36" t="s">
        <v>484</v>
      </c>
      <c r="B24" s="36" t="s">
        <v>462</v>
      </c>
      <c r="C24" s="36" t="n">
        <v>0</v>
      </c>
      <c r="D24" s="36" t="s">
        <v>473</v>
      </c>
    </row>
    <row r="25" customFormat="false" ht="15" hidden="false" customHeight="false" outlineLevel="0" collapsed="false">
      <c r="A25" s="36" t="s">
        <v>485</v>
      </c>
      <c r="B25" s="36" t="s">
        <v>462</v>
      </c>
      <c r="C25" s="36" t="n">
        <v>0</v>
      </c>
      <c r="D25" s="36" t="s">
        <v>486</v>
      </c>
    </row>
    <row r="26" customFormat="false" ht="15" hidden="false" customHeight="false" outlineLevel="0" collapsed="false">
      <c r="A26" s="36" t="s">
        <v>487</v>
      </c>
      <c r="B26" s="36" t="s">
        <v>462</v>
      </c>
      <c r="C26" s="36" t="n">
        <v>0</v>
      </c>
      <c r="D26" s="36" t="s">
        <v>488</v>
      </c>
    </row>
    <row r="27" customFormat="false" ht="15" hidden="false" customHeight="false" outlineLevel="0" collapsed="false">
      <c r="A27" s="36" t="s">
        <v>489</v>
      </c>
      <c r="B27" s="36" t="s">
        <v>462</v>
      </c>
      <c r="C27" s="36" t="n">
        <v>0</v>
      </c>
      <c r="D27" s="36" t="s">
        <v>490</v>
      </c>
    </row>
    <row r="28" customFormat="false" ht="15" hidden="false" customHeight="false" outlineLevel="0" collapsed="false">
      <c r="A28" s="36" t="s">
        <v>491</v>
      </c>
      <c r="B28" s="36" t="s">
        <v>462</v>
      </c>
      <c r="C28" s="36" t="n">
        <v>0</v>
      </c>
      <c r="D28" s="36" t="s">
        <v>492</v>
      </c>
    </row>
    <row r="29" customFormat="false" ht="15" hidden="false" customHeight="false" outlineLevel="0" collapsed="false">
      <c r="A29" s="36" t="s">
        <v>493</v>
      </c>
      <c r="B29" s="36" t="s">
        <v>462</v>
      </c>
      <c r="C29" s="36" t="n">
        <v>0</v>
      </c>
      <c r="D29" s="36" t="s">
        <v>494</v>
      </c>
    </row>
    <row r="30" customFormat="false" ht="15" hidden="false" customHeight="false" outlineLevel="0" collapsed="false">
      <c r="A30" s="36" t="s">
        <v>495</v>
      </c>
      <c r="B30" s="36" t="s">
        <v>462</v>
      </c>
      <c r="C30" s="36" t="n">
        <v>0</v>
      </c>
      <c r="D30" s="36" t="s">
        <v>496</v>
      </c>
    </row>
    <row r="31" customFormat="false" ht="15" hidden="false" customHeight="false" outlineLevel="0" collapsed="false">
      <c r="A31" s="36" t="s">
        <v>497</v>
      </c>
      <c r="B31" s="36" t="s">
        <v>462</v>
      </c>
      <c r="C31" s="36" t="n">
        <v>0</v>
      </c>
      <c r="D31" s="36" t="s">
        <v>496</v>
      </c>
    </row>
    <row r="32" customFormat="false" ht="15" hidden="false" customHeight="false" outlineLevel="0" collapsed="false">
      <c r="A32" s="36" t="s">
        <v>498</v>
      </c>
      <c r="B32" s="36" t="s">
        <v>462</v>
      </c>
      <c r="C32" s="36" t="n">
        <v>0</v>
      </c>
      <c r="D32" s="36" t="s">
        <v>496</v>
      </c>
    </row>
    <row r="33" customFormat="false" ht="15" hidden="false" customHeight="false" outlineLevel="0" collapsed="false">
      <c r="A33" s="36" t="s">
        <v>497</v>
      </c>
      <c r="B33" s="36" t="s">
        <v>462</v>
      </c>
      <c r="C33" s="36" t="n">
        <v>0</v>
      </c>
      <c r="D33" s="36" t="s">
        <v>496</v>
      </c>
    </row>
    <row r="34" customFormat="false" ht="15" hidden="false" customHeight="false" outlineLevel="0" collapsed="false">
      <c r="A34" s="36" t="s">
        <v>499</v>
      </c>
      <c r="B34" s="36" t="s">
        <v>462</v>
      </c>
      <c r="C34" s="36" t="n">
        <v>0</v>
      </c>
      <c r="D34" s="36" t="s">
        <v>500</v>
      </c>
    </row>
    <row r="35" customFormat="false" ht="15" hidden="false" customHeight="false" outlineLevel="0" collapsed="false">
      <c r="A35" s="36" t="s">
        <v>501</v>
      </c>
      <c r="B35" s="36" t="s">
        <v>462</v>
      </c>
      <c r="C35" s="36" t="n">
        <v>0</v>
      </c>
      <c r="D35" s="36" t="s">
        <v>500</v>
      </c>
    </row>
    <row r="36" customFormat="false" ht="15" hidden="false" customHeight="false" outlineLevel="0" collapsed="false">
      <c r="A36" s="36" t="s">
        <v>502</v>
      </c>
      <c r="B36" s="36" t="s">
        <v>462</v>
      </c>
      <c r="C36" s="36" t="n">
        <v>0</v>
      </c>
      <c r="D36" s="36" t="s">
        <v>500</v>
      </c>
    </row>
    <row r="37" customFormat="false" ht="15" hidden="false" customHeight="false" outlineLevel="0" collapsed="false">
      <c r="A37" s="36" t="s">
        <v>503</v>
      </c>
      <c r="B37" s="36" t="s">
        <v>462</v>
      </c>
      <c r="C37" s="36" t="n">
        <v>0</v>
      </c>
      <c r="D37" s="36" t="s">
        <v>500</v>
      </c>
    </row>
    <row r="38" customFormat="false" ht="15" hidden="false" customHeight="false" outlineLevel="0" collapsed="false">
      <c r="A38" s="36" t="s">
        <v>504</v>
      </c>
      <c r="B38" s="36" t="s">
        <v>462</v>
      </c>
      <c r="C38" s="36" t="n">
        <v>0</v>
      </c>
      <c r="D38" s="36" t="s">
        <v>500</v>
      </c>
    </row>
    <row r="39" customFormat="false" ht="15" hidden="false" customHeight="false" outlineLevel="0" collapsed="false">
      <c r="A39" s="36" t="s">
        <v>505</v>
      </c>
      <c r="B39" s="36" t="s">
        <v>462</v>
      </c>
      <c r="C39" s="36" t="n">
        <v>0</v>
      </c>
      <c r="D39" s="36" t="s">
        <v>500</v>
      </c>
    </row>
    <row r="40" customFormat="false" ht="15" hidden="false" customHeight="false" outlineLevel="0" collapsed="false">
      <c r="A40" s="36" t="s">
        <v>506</v>
      </c>
      <c r="B40" s="36" t="s">
        <v>462</v>
      </c>
      <c r="C40" s="36" t="n">
        <v>0</v>
      </c>
      <c r="D40" s="36" t="s">
        <v>500</v>
      </c>
    </row>
    <row r="41" customFormat="false" ht="15" hidden="false" customHeight="false" outlineLevel="0" collapsed="false">
      <c r="A41" s="36" t="s">
        <v>507</v>
      </c>
      <c r="B41" s="36" t="s">
        <v>462</v>
      </c>
      <c r="C41" s="36" t="n">
        <v>0</v>
      </c>
      <c r="D41" s="36" t="s">
        <v>500</v>
      </c>
    </row>
    <row r="42" customFormat="false" ht="15" hidden="false" customHeight="false" outlineLevel="0" collapsed="false">
      <c r="A42" s="36" t="s">
        <v>508</v>
      </c>
      <c r="B42" s="36" t="s">
        <v>462</v>
      </c>
      <c r="C42" s="36" t="n">
        <v>0</v>
      </c>
      <c r="D42" s="36" t="s">
        <v>500</v>
      </c>
    </row>
    <row r="43" customFormat="false" ht="15" hidden="false" customHeight="false" outlineLevel="0" collapsed="false">
      <c r="A43" s="36" t="s">
        <v>509</v>
      </c>
      <c r="B43" s="36" t="s">
        <v>462</v>
      </c>
      <c r="C43" s="36" t="n">
        <v>0</v>
      </c>
      <c r="D43" s="36" t="s">
        <v>500</v>
      </c>
    </row>
    <row r="44" customFormat="false" ht="15" hidden="false" customHeight="false" outlineLevel="0" collapsed="false">
      <c r="A44" s="37" t="s">
        <v>510</v>
      </c>
      <c r="B44" s="36" t="s">
        <v>462</v>
      </c>
      <c r="C44" s="36" t="n">
        <v>0</v>
      </c>
      <c r="D44" s="36" t="s">
        <v>500</v>
      </c>
    </row>
    <row r="45" customFormat="false" ht="15" hidden="false" customHeight="false" outlineLevel="0" collapsed="false">
      <c r="A45" s="36" t="s">
        <v>511</v>
      </c>
      <c r="B45" s="36" t="s">
        <v>462</v>
      </c>
      <c r="C45" s="36" t="n">
        <v>0</v>
      </c>
      <c r="D45" s="36" t="s">
        <v>500</v>
      </c>
    </row>
    <row r="46" customFormat="false" ht="15" hidden="false" customHeight="false" outlineLevel="0" collapsed="false">
      <c r="A46" s="36" t="s">
        <v>512</v>
      </c>
      <c r="B46" s="36" t="s">
        <v>462</v>
      </c>
      <c r="C46" s="36" t="n">
        <v>0</v>
      </c>
      <c r="D46" s="36" t="s">
        <v>500</v>
      </c>
    </row>
    <row r="47" customFormat="false" ht="15" hidden="false" customHeight="false" outlineLevel="0" collapsed="false">
      <c r="A47" s="36" t="s">
        <v>513</v>
      </c>
      <c r="B47" s="36" t="s">
        <v>462</v>
      </c>
      <c r="C47" s="36" t="n">
        <v>0</v>
      </c>
      <c r="D47" s="36" t="s">
        <v>500</v>
      </c>
    </row>
    <row r="48" customFormat="false" ht="15" hidden="false" customHeight="false" outlineLevel="0" collapsed="false">
      <c r="A48" s="36" t="s">
        <v>514</v>
      </c>
      <c r="B48" s="36" t="s">
        <v>462</v>
      </c>
      <c r="C48" s="36" t="n">
        <v>0</v>
      </c>
      <c r="D48" s="36" t="s">
        <v>500</v>
      </c>
    </row>
    <row r="49" customFormat="false" ht="15" hidden="false" customHeight="false" outlineLevel="0" collapsed="false">
      <c r="A49" s="36" t="s">
        <v>497</v>
      </c>
      <c r="B49" s="36" t="s">
        <v>462</v>
      </c>
      <c r="C49" s="36" t="n">
        <v>0</v>
      </c>
      <c r="D49" s="36" t="s">
        <v>515</v>
      </c>
    </row>
    <row r="50" customFormat="false" ht="15" hidden="false" customHeight="false" outlineLevel="0" collapsed="false">
      <c r="A50" s="37" t="s">
        <v>516</v>
      </c>
      <c r="B50" s="36" t="s">
        <v>462</v>
      </c>
      <c r="C50" s="36" t="n">
        <v>0</v>
      </c>
      <c r="D50" s="36" t="s">
        <v>517</v>
      </c>
    </row>
    <row r="51" customFormat="false" ht="15" hidden="false" customHeight="false" outlineLevel="0" collapsed="false">
      <c r="A51" s="37" t="s">
        <v>518</v>
      </c>
      <c r="B51" s="36" t="s">
        <v>462</v>
      </c>
      <c r="C51" s="36" t="n">
        <v>0</v>
      </c>
      <c r="D51" s="36" t="s">
        <v>517</v>
      </c>
    </row>
    <row r="52" customFormat="false" ht="15" hidden="false" customHeight="false" outlineLevel="0" collapsed="false">
      <c r="A52" s="36" t="s">
        <v>519</v>
      </c>
      <c r="B52" s="36" t="s">
        <v>462</v>
      </c>
      <c r="C52" s="36" t="n">
        <v>0</v>
      </c>
      <c r="D52" s="36" t="s">
        <v>517</v>
      </c>
    </row>
    <row r="53" customFormat="false" ht="15" hidden="false" customHeight="false" outlineLevel="0" collapsed="false">
      <c r="A53" s="36" t="s">
        <v>520</v>
      </c>
      <c r="B53" s="36" t="s">
        <v>462</v>
      </c>
      <c r="C53" s="36" t="n">
        <v>0</v>
      </c>
      <c r="D53" s="36" t="s">
        <v>517</v>
      </c>
    </row>
    <row r="54" customFormat="false" ht="15" hidden="false" customHeight="false" outlineLevel="0" collapsed="false">
      <c r="A54" s="36" t="s">
        <v>521</v>
      </c>
      <c r="B54" s="36" t="s">
        <v>462</v>
      </c>
      <c r="C54" s="36" t="n">
        <v>0</v>
      </c>
      <c r="D54" s="36" t="s">
        <v>517</v>
      </c>
    </row>
    <row r="55" customFormat="false" ht="15" hidden="false" customHeight="false" outlineLevel="0" collapsed="false">
      <c r="A55" s="36" t="s">
        <v>522</v>
      </c>
      <c r="B55" s="36" t="s">
        <v>462</v>
      </c>
      <c r="C55" s="36" t="n">
        <v>0</v>
      </c>
      <c r="D55" s="36" t="s">
        <v>517</v>
      </c>
    </row>
    <row r="56" customFormat="false" ht="15" hidden="false" customHeight="false" outlineLevel="0" collapsed="false">
      <c r="A56" s="36" t="s">
        <v>523</v>
      </c>
      <c r="B56" s="36" t="s">
        <v>462</v>
      </c>
      <c r="C56" s="36" t="n">
        <v>0</v>
      </c>
      <c r="D56" s="36" t="s">
        <v>517</v>
      </c>
    </row>
    <row r="57" customFormat="false" ht="15" hidden="false" customHeight="false" outlineLevel="0" collapsed="false">
      <c r="A57" s="36" t="s">
        <v>524</v>
      </c>
      <c r="B57" s="36" t="s">
        <v>462</v>
      </c>
      <c r="C57" s="36" t="n">
        <v>0</v>
      </c>
      <c r="D57" s="36" t="s">
        <v>517</v>
      </c>
    </row>
    <row r="58" customFormat="false" ht="15" hidden="false" customHeight="false" outlineLevel="0" collapsed="false">
      <c r="A58" s="36" t="s">
        <v>525</v>
      </c>
      <c r="B58" s="36" t="s">
        <v>462</v>
      </c>
      <c r="C58" s="36" t="n">
        <v>0</v>
      </c>
      <c r="D58" s="36" t="s">
        <v>526</v>
      </c>
    </row>
    <row r="59" customFormat="false" ht="15" hidden="false" customHeight="false" outlineLevel="0" collapsed="false">
      <c r="A59" s="36" t="s">
        <v>527</v>
      </c>
      <c r="B59" s="36" t="s">
        <v>462</v>
      </c>
      <c r="C59" s="36" t="n">
        <v>0</v>
      </c>
      <c r="D59" s="36" t="s">
        <v>528</v>
      </c>
    </row>
    <row r="60" customFormat="false" ht="15" hidden="false" customHeight="false" outlineLevel="0" collapsed="false">
      <c r="A60" s="36" t="s">
        <v>529</v>
      </c>
      <c r="B60" s="36" t="s">
        <v>462</v>
      </c>
      <c r="C60" s="36" t="n">
        <v>0</v>
      </c>
      <c r="D60" s="36" t="s">
        <v>530</v>
      </c>
    </row>
    <row r="61" customFormat="false" ht="15" hidden="false" customHeight="false" outlineLevel="0" collapsed="false">
      <c r="A61" s="36" t="s">
        <v>531</v>
      </c>
      <c r="B61" s="36" t="s">
        <v>462</v>
      </c>
      <c r="C61" s="36" t="n">
        <v>0</v>
      </c>
      <c r="D61" s="36" t="s">
        <v>532</v>
      </c>
    </row>
    <row r="62" customFormat="false" ht="15" hidden="false" customHeight="false" outlineLevel="0" collapsed="false">
      <c r="A62" s="36" t="s">
        <v>533</v>
      </c>
      <c r="B62" s="36" t="s">
        <v>462</v>
      </c>
      <c r="C62" s="36" t="n">
        <v>0</v>
      </c>
      <c r="D62" s="36" t="s">
        <v>532</v>
      </c>
    </row>
    <row r="63" customFormat="false" ht="15" hidden="false" customHeight="false" outlineLevel="0" collapsed="false">
      <c r="A63" s="36" t="s">
        <v>534</v>
      </c>
      <c r="B63" s="36" t="s">
        <v>462</v>
      </c>
      <c r="C63" s="36" t="n">
        <v>0</v>
      </c>
      <c r="D63" s="36" t="s">
        <v>532</v>
      </c>
    </row>
    <row r="64" customFormat="false" ht="15" hidden="false" customHeight="false" outlineLevel="0" collapsed="false">
      <c r="A64" s="36" t="s">
        <v>535</v>
      </c>
      <c r="B64" s="36" t="s">
        <v>462</v>
      </c>
      <c r="C64" s="36" t="n">
        <v>0</v>
      </c>
      <c r="D64" s="36" t="s">
        <v>532</v>
      </c>
    </row>
    <row r="65" customFormat="false" ht="15" hidden="false" customHeight="false" outlineLevel="0" collapsed="false">
      <c r="A65" s="36" t="s">
        <v>536</v>
      </c>
      <c r="B65" s="36" t="s">
        <v>462</v>
      </c>
      <c r="C65" s="36" t="n">
        <v>0</v>
      </c>
      <c r="D65" s="36" t="s">
        <v>532</v>
      </c>
    </row>
    <row r="66" customFormat="false" ht="15" hidden="false" customHeight="false" outlineLevel="0" collapsed="false">
      <c r="A66" s="36" t="s">
        <v>537</v>
      </c>
      <c r="B66" s="36" t="s">
        <v>462</v>
      </c>
      <c r="C66" s="36" t="n">
        <v>0</v>
      </c>
      <c r="D66" s="36" t="s">
        <v>532</v>
      </c>
    </row>
    <row r="67" customFormat="false" ht="15" hidden="false" customHeight="false" outlineLevel="0" collapsed="false">
      <c r="A67" s="36" t="s">
        <v>538</v>
      </c>
      <c r="B67" s="36" t="s">
        <v>462</v>
      </c>
      <c r="C67" s="36" t="n">
        <v>0</v>
      </c>
      <c r="D67" s="36" t="s">
        <v>532</v>
      </c>
    </row>
    <row r="68" customFormat="false" ht="15" hidden="false" customHeight="false" outlineLevel="0" collapsed="false">
      <c r="A68" s="36" t="s">
        <v>539</v>
      </c>
      <c r="B68" s="36" t="s">
        <v>462</v>
      </c>
      <c r="C68" s="36" t="n">
        <v>0</v>
      </c>
      <c r="D68" s="36" t="s">
        <v>540</v>
      </c>
    </row>
    <row r="69" customFormat="false" ht="15" hidden="false" customHeight="false" outlineLevel="0" collapsed="false">
      <c r="A69" s="36" t="s">
        <v>541</v>
      </c>
      <c r="B69" s="36" t="s">
        <v>462</v>
      </c>
      <c r="C69" s="36" t="n">
        <v>0</v>
      </c>
      <c r="D69" s="36" t="s">
        <v>542</v>
      </c>
    </row>
    <row r="71" customFormat="false" ht="15" hidden="false" customHeight="false" outlineLevel="0" collapsed="false">
      <c r="A71" s="38" t="str">
        <f aca="false">COUNTA(A5:A69)&amp;" workflows"</f>
        <v>65 workflows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1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0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0"/>
    <col collapsed="false" customWidth="true" hidden="false" outlineLevel="0" max="11" min="9" style="1" width="9"/>
    <col collapsed="false" customWidth="true" hidden="false" outlineLevel="0" max="12" min="12" style="1" width="8"/>
    <col collapsed="false" customWidth="true" hidden="false" outlineLevel="0" max="13" min="13" style="1" width="9"/>
    <col collapsed="false" customWidth="true" hidden="false" outlineLevel="0" max="14" min="14" style="1" width="10"/>
    <col collapsed="false" customWidth="true" hidden="false" outlineLevel="0" max="15" min="15" style="1" width="9"/>
    <col collapsed="false" customWidth="true" hidden="false" outlineLevel="0" max="16" min="16" style="1" width="10"/>
  </cols>
  <sheetData>
    <row r="1" customFormat="false" ht="19.5" hidden="false" customHeight="true" outlineLevel="0" collapsed="false">
      <c r="A1" s="2" t="s">
        <v>543</v>
      </c>
    </row>
    <row r="2" customFormat="false" ht="15" hidden="false" customHeight="true" outlineLevel="0" collapsed="false">
      <c r="A2" s="3" t="s">
        <v>544</v>
      </c>
    </row>
    <row r="4" customFormat="false" ht="31.5" hidden="false" customHeight="true" outlineLevel="0" collapsed="false">
      <c r="A4" s="5" t="s">
        <v>545</v>
      </c>
      <c r="B4" s="5" t="s">
        <v>546</v>
      </c>
      <c r="C4" s="5" t="s">
        <v>547</v>
      </c>
      <c r="D4" s="5" t="s">
        <v>548</v>
      </c>
      <c r="E4" s="5" t="s">
        <v>212</v>
      </c>
      <c r="F4" s="5" t="s">
        <v>92</v>
      </c>
      <c r="G4" s="5" t="s">
        <v>94</v>
      </c>
      <c r="H4" s="5" t="s">
        <v>214</v>
      </c>
      <c r="I4" s="5" t="s">
        <v>549</v>
      </c>
      <c r="J4" s="5" t="s">
        <v>101</v>
      </c>
      <c r="K4" s="5" t="s">
        <v>550</v>
      </c>
      <c r="L4" s="5" t="s">
        <v>551</v>
      </c>
      <c r="M4" s="5" t="s">
        <v>102</v>
      </c>
      <c r="N4" s="5" t="s">
        <v>552</v>
      </c>
      <c r="O4" s="5" t="s">
        <v>103</v>
      </c>
      <c r="P4" s="5" t="s">
        <v>553</v>
      </c>
    </row>
    <row r="5" customFormat="false" ht="15" hidden="false" customHeight="true" outlineLevel="0" collapsed="false">
      <c r="A5" s="8" t="s">
        <v>554</v>
      </c>
      <c r="B5" s="8" t="s">
        <v>123</v>
      </c>
      <c r="C5" s="8" t="s">
        <v>555</v>
      </c>
      <c r="D5" s="8" t="s">
        <v>556</v>
      </c>
      <c r="E5" s="8" t="s">
        <v>217</v>
      </c>
      <c r="F5" s="8"/>
      <c r="G5" s="8" t="s">
        <v>557</v>
      </c>
      <c r="H5" s="18" t="n">
        <v>576</v>
      </c>
      <c r="I5" s="16" t="n">
        <v>0.311</v>
      </c>
      <c r="J5" s="16" t="n">
        <v>0.028</v>
      </c>
      <c r="K5" s="20" t="n">
        <f aca="false">ROUND(H5*J5,0)</f>
        <v>16</v>
      </c>
      <c r="L5" s="18" t="n">
        <v>3</v>
      </c>
      <c r="M5" s="22" t="n">
        <f aca="false">IF(H5=0,0,L5/H5)</f>
        <v>0.00520833333333333</v>
      </c>
      <c r="N5" s="18" t="n">
        <v>32</v>
      </c>
      <c r="O5" s="21" t="n">
        <f aca="false">IF(H5+N5=0,0,N5/(H5+N5))</f>
        <v>0.0526315789473684</v>
      </c>
      <c r="P5" s="9" t="s">
        <v>558</v>
      </c>
    </row>
    <row r="6" customFormat="false" ht="15" hidden="false" customHeight="true" outlineLevel="0" collapsed="false">
      <c r="A6" s="8" t="s">
        <v>559</v>
      </c>
      <c r="B6" s="8" t="s">
        <v>123</v>
      </c>
      <c r="C6" s="8" t="s">
        <v>168</v>
      </c>
      <c r="D6" s="8" t="s">
        <v>169</v>
      </c>
      <c r="E6" s="8" t="s">
        <v>215</v>
      </c>
      <c r="F6" s="8" t="s">
        <v>166</v>
      </c>
      <c r="G6" s="8" t="s">
        <v>167</v>
      </c>
      <c r="H6" s="18" t="n">
        <v>618</v>
      </c>
      <c r="I6" s="16" t="n">
        <v>0.12</v>
      </c>
      <c r="J6" s="16" t="n">
        <v>0.06</v>
      </c>
      <c r="K6" s="20" t="n">
        <f aca="false">ROUND(H6*J6,0)</f>
        <v>37</v>
      </c>
      <c r="L6" s="18" t="n">
        <v>0</v>
      </c>
      <c r="M6" s="22" t="n">
        <f aca="false">IF(H6=0,0,L6/H6)</f>
        <v>0</v>
      </c>
      <c r="N6" s="18" t="n">
        <v>1</v>
      </c>
      <c r="O6" s="21" t="n">
        <f aca="false">IF(H6+N6=0,0,N6/(H6+N6))</f>
        <v>0.00161550888529887</v>
      </c>
      <c r="P6" s="9" t="s">
        <v>558</v>
      </c>
    </row>
    <row r="7" customFormat="false" ht="15" hidden="false" customHeight="true" outlineLevel="0" collapsed="false">
      <c r="A7" s="8" t="s">
        <v>560</v>
      </c>
      <c r="B7" s="8" t="s">
        <v>123</v>
      </c>
      <c r="C7" s="8" t="s">
        <v>561</v>
      </c>
      <c r="D7" s="8" t="s">
        <v>207</v>
      </c>
      <c r="E7" s="8" t="s">
        <v>216</v>
      </c>
      <c r="F7" s="8"/>
      <c r="G7" s="8" t="s">
        <v>107</v>
      </c>
      <c r="H7" s="18" t="n">
        <v>124</v>
      </c>
      <c r="I7" s="16" t="n">
        <v>0.452</v>
      </c>
      <c r="J7" s="16" t="n">
        <v>0.008</v>
      </c>
      <c r="K7" s="20" t="n">
        <f aca="false">ROUND(H7*J7,0)</f>
        <v>1</v>
      </c>
      <c r="L7" s="18" t="n">
        <v>0</v>
      </c>
      <c r="M7" s="22" t="n">
        <f aca="false">IF(H7=0,0,L7/H7)</f>
        <v>0</v>
      </c>
      <c r="N7" s="18" t="n">
        <v>0</v>
      </c>
      <c r="O7" s="21" t="n">
        <f aca="false">IF(H7+N7=0,0,N7/(H7+N7))</f>
        <v>0</v>
      </c>
      <c r="P7" s="9" t="s">
        <v>558</v>
      </c>
    </row>
    <row r="8" customFormat="false" ht="15" hidden="false" customHeight="true" outlineLevel="0" collapsed="false">
      <c r="A8" s="8" t="s">
        <v>562</v>
      </c>
      <c r="B8" s="8" t="s">
        <v>123</v>
      </c>
      <c r="C8" s="8" t="s">
        <v>122</v>
      </c>
      <c r="D8" s="8" t="s">
        <v>117</v>
      </c>
      <c r="E8" s="8" t="s">
        <v>215</v>
      </c>
      <c r="F8" s="8" t="s">
        <v>120</v>
      </c>
      <c r="G8" s="8" t="s">
        <v>121</v>
      </c>
      <c r="H8" s="18" t="n">
        <v>6415</v>
      </c>
      <c r="I8" s="16" t="n">
        <v>0.261</v>
      </c>
      <c r="J8" s="16" t="n">
        <v>0.009</v>
      </c>
      <c r="K8" s="20" t="n">
        <f aca="false">ROUND(H8*J8,0)</f>
        <v>58</v>
      </c>
      <c r="L8" s="18" t="n">
        <v>56</v>
      </c>
      <c r="M8" s="22" t="n">
        <f aca="false">IF(H8=0,0,L8/H8)</f>
        <v>0.00872954014029618</v>
      </c>
      <c r="N8" s="18" t="n">
        <v>38</v>
      </c>
      <c r="O8" s="21" t="n">
        <f aca="false">IF(H8+N8=0,0,N8/(H8+N8))</f>
        <v>0.00588873392220673</v>
      </c>
      <c r="P8" s="9" t="s">
        <v>558</v>
      </c>
    </row>
    <row r="9" customFormat="false" ht="15" hidden="false" customHeight="true" outlineLevel="0" collapsed="false">
      <c r="A9" s="8" t="s">
        <v>563</v>
      </c>
      <c r="B9" s="8" t="s">
        <v>123</v>
      </c>
      <c r="C9" s="8" t="s">
        <v>145</v>
      </c>
      <c r="D9" s="8" t="s">
        <v>145</v>
      </c>
      <c r="E9" s="8" t="s">
        <v>215</v>
      </c>
      <c r="F9" s="8" t="s">
        <v>143</v>
      </c>
      <c r="G9" s="8" t="s">
        <v>144</v>
      </c>
      <c r="H9" s="18" t="n">
        <v>1108</v>
      </c>
      <c r="I9" s="16" t="n">
        <v>0.428</v>
      </c>
      <c r="J9" s="16" t="n">
        <v>0.057</v>
      </c>
      <c r="K9" s="20" t="n">
        <f aca="false">ROUND(H9*J9,0)</f>
        <v>63</v>
      </c>
      <c r="L9" s="18" t="n">
        <v>0</v>
      </c>
      <c r="M9" s="22" t="n">
        <f aca="false">IF(H9=0,0,L9/H9)</f>
        <v>0</v>
      </c>
      <c r="N9" s="18" t="n">
        <v>1</v>
      </c>
      <c r="O9" s="21" t="n">
        <f aca="false">IF(H9+N9=0,0,N9/(H9+N9))</f>
        <v>0.000901713255184851</v>
      </c>
      <c r="P9" s="9" t="s">
        <v>558</v>
      </c>
    </row>
    <row r="10" customFormat="false" ht="15" hidden="false" customHeight="true" outlineLevel="0" collapsed="false">
      <c r="A10" s="8" t="s">
        <v>564</v>
      </c>
      <c r="B10" s="8" t="s">
        <v>123</v>
      </c>
      <c r="C10" s="8" t="s">
        <v>565</v>
      </c>
      <c r="D10" s="8" t="s">
        <v>207</v>
      </c>
      <c r="E10" s="8" t="s">
        <v>216</v>
      </c>
      <c r="F10" s="8"/>
      <c r="G10" s="8" t="s">
        <v>262</v>
      </c>
      <c r="H10" s="18" t="n">
        <v>958</v>
      </c>
      <c r="I10" s="16" t="n">
        <v>0.31</v>
      </c>
      <c r="J10" s="16" t="n">
        <v>0.082</v>
      </c>
      <c r="K10" s="20" t="n">
        <f aca="false">ROUND(H10*J10,0)</f>
        <v>79</v>
      </c>
      <c r="L10" s="18" t="n">
        <v>4</v>
      </c>
      <c r="M10" s="22" t="n">
        <f aca="false">IF(H10=0,0,L10/H10)</f>
        <v>0.00417536534446764</v>
      </c>
      <c r="N10" s="18" t="n">
        <v>16</v>
      </c>
      <c r="O10" s="21" t="n">
        <f aca="false">IF(H10+N10=0,0,N10/(H10+N10))</f>
        <v>0.0164271047227926</v>
      </c>
      <c r="P10" s="9" t="s">
        <v>558</v>
      </c>
    </row>
    <row r="11" customFormat="false" ht="15" hidden="false" customHeight="true" outlineLevel="0" collapsed="false">
      <c r="A11" s="8" t="s">
        <v>566</v>
      </c>
      <c r="B11" s="8" t="s">
        <v>123</v>
      </c>
      <c r="C11" s="8" t="s">
        <v>561</v>
      </c>
      <c r="D11" s="8" t="s">
        <v>207</v>
      </c>
      <c r="E11" s="8" t="s">
        <v>216</v>
      </c>
      <c r="F11" s="8"/>
      <c r="G11" s="8" t="s">
        <v>107</v>
      </c>
      <c r="H11" s="18" t="n">
        <v>124</v>
      </c>
      <c r="I11" s="16" t="n">
        <v>0.653</v>
      </c>
      <c r="J11" s="16" t="n">
        <v>0.016</v>
      </c>
      <c r="K11" s="20" t="n">
        <f aca="false">ROUND(H11*J11,0)</f>
        <v>2</v>
      </c>
      <c r="L11" s="18" t="n">
        <v>0</v>
      </c>
      <c r="M11" s="22" t="n">
        <f aca="false">IF(H11=0,0,L11/H11)</f>
        <v>0</v>
      </c>
      <c r="N11" s="18" t="n">
        <v>0</v>
      </c>
      <c r="O11" s="21" t="n">
        <f aca="false">IF(H11+N11=0,0,N11/(H11+N11))</f>
        <v>0</v>
      </c>
      <c r="P11" s="9" t="s">
        <v>558</v>
      </c>
    </row>
    <row r="12" customFormat="false" ht="15" hidden="false" customHeight="true" outlineLevel="0" collapsed="false">
      <c r="A12" s="8" t="s">
        <v>567</v>
      </c>
      <c r="B12" s="8" t="s">
        <v>111</v>
      </c>
      <c r="C12" s="8" t="s">
        <v>108</v>
      </c>
      <c r="D12" s="8" t="s">
        <v>109</v>
      </c>
      <c r="E12" s="8" t="s">
        <v>215</v>
      </c>
      <c r="F12" s="8" t="s">
        <v>105</v>
      </c>
      <c r="G12" s="8" t="s">
        <v>107</v>
      </c>
      <c r="H12" s="18" t="n">
        <v>7029</v>
      </c>
      <c r="I12" s="16" t="n">
        <v>0.178</v>
      </c>
      <c r="J12" s="16" t="n">
        <v>0.03</v>
      </c>
      <c r="K12" s="20" t="n">
        <f aca="false">ROUND(H12*J12,0)</f>
        <v>211</v>
      </c>
      <c r="L12" s="18" t="n">
        <v>29</v>
      </c>
      <c r="M12" s="22" t="n">
        <f aca="false">IF(H12=0,0,L12/H12)</f>
        <v>0.00412576468914497</v>
      </c>
      <c r="N12" s="18" t="n">
        <v>34</v>
      </c>
      <c r="O12" s="21" t="n">
        <f aca="false">IF(H12+N12=0,0,N12/(H12+N12))</f>
        <v>0.00481381849072632</v>
      </c>
      <c r="P12" s="9" t="s">
        <v>558</v>
      </c>
    </row>
    <row r="13" customFormat="false" ht="15" hidden="false" customHeight="true" outlineLevel="0" collapsed="false">
      <c r="A13" s="8" t="s">
        <v>568</v>
      </c>
      <c r="B13" s="8" t="s">
        <v>111</v>
      </c>
      <c r="C13" s="8" t="s">
        <v>126</v>
      </c>
      <c r="D13" s="8" t="s">
        <v>117</v>
      </c>
      <c r="E13" s="8" t="s">
        <v>215</v>
      </c>
      <c r="F13" s="8" t="s">
        <v>124</v>
      </c>
      <c r="G13" s="8" t="s">
        <v>125</v>
      </c>
      <c r="H13" s="18" t="n">
        <v>4698</v>
      </c>
      <c r="I13" s="16" t="n">
        <v>0.245</v>
      </c>
      <c r="J13" s="16" t="n">
        <v>0.026</v>
      </c>
      <c r="K13" s="20" t="n">
        <f aca="false">ROUND(H13*J13,0)</f>
        <v>122</v>
      </c>
      <c r="L13" s="18" t="n">
        <v>28</v>
      </c>
      <c r="M13" s="22" t="n">
        <f aca="false">IF(H13=0,0,L13/H13)</f>
        <v>0.00595998297147722</v>
      </c>
      <c r="N13" s="18" t="n">
        <v>38</v>
      </c>
      <c r="O13" s="21" t="n">
        <f aca="false">IF(H13+N13=0,0,N13/(H13+N13))</f>
        <v>0.00802364864864865</v>
      </c>
      <c r="P13" s="9" t="s">
        <v>558</v>
      </c>
    </row>
    <row r="14" customFormat="false" ht="15" hidden="false" customHeight="true" outlineLevel="0" collapsed="false">
      <c r="A14" s="8" t="s">
        <v>569</v>
      </c>
      <c r="B14" s="8" t="s">
        <v>111</v>
      </c>
      <c r="C14" s="8" t="s">
        <v>181</v>
      </c>
      <c r="D14" s="8" t="s">
        <v>570</v>
      </c>
      <c r="E14" s="8" t="s">
        <v>215</v>
      </c>
      <c r="F14" s="8" t="s">
        <v>179</v>
      </c>
      <c r="G14" s="8" t="s">
        <v>180</v>
      </c>
      <c r="H14" s="18" t="n">
        <v>114</v>
      </c>
      <c r="I14" s="16" t="n">
        <v>0.254</v>
      </c>
      <c r="J14" s="16" t="n">
        <v>0.026</v>
      </c>
      <c r="K14" s="20" t="n">
        <f aca="false">ROUND(H14*J14,0)</f>
        <v>3</v>
      </c>
      <c r="L14" s="18" t="n">
        <v>0</v>
      </c>
      <c r="M14" s="22" t="n">
        <f aca="false">IF(H14=0,0,L14/H14)</f>
        <v>0</v>
      </c>
      <c r="N14" s="18" t="n">
        <v>0</v>
      </c>
      <c r="O14" s="21" t="n">
        <f aca="false">IF(H14+N14=0,0,N14/(H14+N14))</f>
        <v>0</v>
      </c>
      <c r="P14" s="9" t="s">
        <v>558</v>
      </c>
    </row>
    <row r="15" customFormat="false" ht="15" hidden="false" customHeight="true" outlineLevel="0" collapsed="false">
      <c r="A15" s="8" t="s">
        <v>571</v>
      </c>
      <c r="B15" s="8" t="s">
        <v>111</v>
      </c>
      <c r="C15" s="8" t="s">
        <v>187</v>
      </c>
      <c r="D15" s="8" t="s">
        <v>117</v>
      </c>
      <c r="E15" s="8" t="s">
        <v>216</v>
      </c>
      <c r="F15" s="8"/>
      <c r="G15" s="8" t="s">
        <v>186</v>
      </c>
      <c r="H15" s="18" t="n">
        <v>3663</v>
      </c>
      <c r="I15" s="16" t="n">
        <v>0.292</v>
      </c>
      <c r="J15" s="16" t="n">
        <v>0.016</v>
      </c>
      <c r="K15" s="20" t="n">
        <f aca="false">ROUND(H15*J15,0)</f>
        <v>59</v>
      </c>
      <c r="L15" s="18" t="n">
        <v>33</v>
      </c>
      <c r="M15" s="22" t="n">
        <f aca="false">IF(H15=0,0,L15/H15)</f>
        <v>0.00900900900900901</v>
      </c>
      <c r="N15" s="18" t="n">
        <v>65</v>
      </c>
      <c r="O15" s="21" t="n">
        <f aca="false">IF(H15+N15=0,0,N15/(H15+N15))</f>
        <v>0.0174356223175966</v>
      </c>
      <c r="P15" s="9" t="s">
        <v>558</v>
      </c>
    </row>
    <row r="16" customFormat="false" ht="15" hidden="false" customHeight="true" outlineLevel="0" collapsed="false">
      <c r="A16" s="8" t="s">
        <v>572</v>
      </c>
      <c r="B16" s="8" t="s">
        <v>573</v>
      </c>
      <c r="C16" s="8" t="s">
        <v>574</v>
      </c>
      <c r="D16" s="8" t="s">
        <v>207</v>
      </c>
      <c r="E16" s="8" t="s">
        <v>216</v>
      </c>
      <c r="F16" s="8"/>
      <c r="G16" s="8" t="s">
        <v>250</v>
      </c>
      <c r="H16" s="18" t="n">
        <v>79</v>
      </c>
      <c r="I16" s="16" t="n">
        <v>0.544</v>
      </c>
      <c r="J16" s="16" t="n">
        <v>0</v>
      </c>
      <c r="K16" s="20" t="n">
        <f aca="false">ROUND(H16*J16,0)</f>
        <v>0</v>
      </c>
      <c r="L16" s="18" t="n">
        <v>0</v>
      </c>
      <c r="M16" s="22" t="n">
        <f aca="false">IF(H16=0,0,L16/H16)</f>
        <v>0</v>
      </c>
      <c r="N16" s="18" t="n">
        <v>0</v>
      </c>
      <c r="O16" s="21" t="n">
        <f aca="false">IF(H16+N16=0,0,N16/(H16+N16))</f>
        <v>0</v>
      </c>
      <c r="P16" s="9" t="s">
        <v>558</v>
      </c>
    </row>
    <row r="17" customFormat="false" ht="15" hidden="false" customHeight="true" outlineLevel="0" collapsed="false">
      <c r="A17" s="8" t="s">
        <v>575</v>
      </c>
      <c r="B17" s="8" t="s">
        <v>576</v>
      </c>
      <c r="C17" s="8" t="s">
        <v>561</v>
      </c>
      <c r="D17" s="8" t="s">
        <v>207</v>
      </c>
      <c r="E17" s="8" t="s">
        <v>216</v>
      </c>
      <c r="F17" s="8"/>
      <c r="G17" s="8" t="s">
        <v>107</v>
      </c>
      <c r="H17" s="18" t="n">
        <v>124</v>
      </c>
      <c r="I17" s="16" t="n">
        <v>0.556</v>
      </c>
      <c r="J17" s="16" t="n">
        <v>0.065</v>
      </c>
      <c r="K17" s="20" t="n">
        <f aca="false">ROUND(H17*J17,0)</f>
        <v>8</v>
      </c>
      <c r="L17" s="18" t="n">
        <v>0</v>
      </c>
      <c r="M17" s="22" t="n">
        <f aca="false">IF(H17=0,0,L17/H17)</f>
        <v>0</v>
      </c>
      <c r="N17" s="18" t="n">
        <v>0</v>
      </c>
      <c r="O17" s="21" t="n">
        <f aca="false">IF(H17+N17=0,0,N17/(H17+N17))</f>
        <v>0</v>
      </c>
      <c r="P17" s="9" t="s">
        <v>558</v>
      </c>
    </row>
    <row r="18" customFormat="false" ht="15" hidden="false" customHeight="true" outlineLevel="0" collapsed="false">
      <c r="A18" s="8" t="s">
        <v>577</v>
      </c>
      <c r="B18" s="8" t="s">
        <v>578</v>
      </c>
      <c r="C18" s="8" t="s">
        <v>579</v>
      </c>
      <c r="D18" s="8" t="s">
        <v>207</v>
      </c>
      <c r="E18" s="8" t="s">
        <v>216</v>
      </c>
      <c r="F18" s="8"/>
      <c r="G18" s="8" t="s">
        <v>107</v>
      </c>
      <c r="H18" s="18" t="n">
        <v>70</v>
      </c>
      <c r="I18" s="16" t="n">
        <v>0.486</v>
      </c>
      <c r="J18" s="16" t="n">
        <v>0.043</v>
      </c>
      <c r="K18" s="20" t="n">
        <f aca="false">ROUND(H18*J18,0)</f>
        <v>3</v>
      </c>
      <c r="L18" s="18" t="n">
        <v>0</v>
      </c>
      <c r="M18" s="22" t="n">
        <f aca="false">IF(H18=0,0,L18/H18)</f>
        <v>0</v>
      </c>
      <c r="N18" s="18" t="n">
        <v>0</v>
      </c>
      <c r="O18" s="21" t="n">
        <f aca="false">IF(H18+N18=0,0,N18/(H18+N18))</f>
        <v>0</v>
      </c>
      <c r="P18" s="9" t="s">
        <v>558</v>
      </c>
    </row>
    <row r="19" customFormat="false" ht="15" hidden="false" customHeight="true" outlineLevel="0" collapsed="false">
      <c r="A19" s="8" t="s">
        <v>580</v>
      </c>
      <c r="B19" s="8" t="s">
        <v>578</v>
      </c>
      <c r="C19" s="8" t="s">
        <v>561</v>
      </c>
      <c r="D19" s="8" t="s">
        <v>207</v>
      </c>
      <c r="E19" s="8" t="s">
        <v>216</v>
      </c>
      <c r="F19" s="8"/>
      <c r="G19" s="8" t="s">
        <v>107</v>
      </c>
      <c r="H19" s="18" t="n">
        <v>125</v>
      </c>
      <c r="I19" s="16" t="n">
        <v>0.664</v>
      </c>
      <c r="J19" s="16" t="n">
        <v>0.192</v>
      </c>
      <c r="K19" s="20" t="n">
        <f aca="false">ROUND(H19*J19,0)</f>
        <v>24</v>
      </c>
      <c r="L19" s="18" t="n">
        <v>0</v>
      </c>
      <c r="M19" s="22" t="n">
        <f aca="false">IF(H19=0,0,L19/H19)</f>
        <v>0</v>
      </c>
      <c r="N19" s="18" t="n">
        <v>0</v>
      </c>
      <c r="O19" s="21" t="n">
        <f aca="false">IF(H19+N19=0,0,N19/(H19+N19))</f>
        <v>0</v>
      </c>
      <c r="P19" s="9" t="s">
        <v>558</v>
      </c>
    </row>
    <row r="20" customFormat="false" ht="15" hidden="false" customHeight="true" outlineLevel="0" collapsed="false">
      <c r="A20" s="8" t="s">
        <v>581</v>
      </c>
      <c r="B20" s="8" t="s">
        <v>132</v>
      </c>
      <c r="C20" s="8" t="s">
        <v>130</v>
      </c>
      <c r="D20" s="8" t="s">
        <v>127</v>
      </c>
      <c r="E20" s="8" t="s">
        <v>215</v>
      </c>
      <c r="F20" s="8" t="s">
        <v>127</v>
      </c>
      <c r="G20" s="8" t="s">
        <v>129</v>
      </c>
      <c r="H20" s="18" t="n">
        <v>8611</v>
      </c>
      <c r="I20" s="16" t="n">
        <v>0.359</v>
      </c>
      <c r="J20" s="16" t="n">
        <v>0.007</v>
      </c>
      <c r="K20" s="20" t="n">
        <f aca="false">ROUND(H20*J20,0)</f>
        <v>60</v>
      </c>
      <c r="L20" s="18" t="n">
        <v>122</v>
      </c>
      <c r="M20" s="22" t="n">
        <f aca="false">IF(H20=0,0,L20/H20)</f>
        <v>0.0141679247474161</v>
      </c>
      <c r="N20" s="18" t="n">
        <v>113</v>
      </c>
      <c r="O20" s="21" t="n">
        <f aca="false">IF(H20+N20=0,0,N20/(H20+N20))</f>
        <v>0.0129527739569005</v>
      </c>
      <c r="P20" s="9" t="s">
        <v>558</v>
      </c>
    </row>
    <row r="21" customFormat="false" ht="15" hidden="false" customHeight="true" outlineLevel="0" collapsed="false">
      <c r="A21" s="8" t="s">
        <v>582</v>
      </c>
      <c r="B21" s="8" t="s">
        <v>132</v>
      </c>
      <c r="C21" s="8" t="s">
        <v>583</v>
      </c>
      <c r="D21" s="8" t="s">
        <v>117</v>
      </c>
      <c r="E21" s="8" t="s">
        <v>216</v>
      </c>
      <c r="F21" s="8"/>
      <c r="G21" s="8" t="s">
        <v>259</v>
      </c>
      <c r="H21" s="18" t="n">
        <v>4295</v>
      </c>
      <c r="I21" s="16" t="n">
        <v>0.276</v>
      </c>
      <c r="J21" s="16" t="n">
        <v>0.02</v>
      </c>
      <c r="K21" s="20" t="n">
        <f aca="false">ROUND(H21*J21,0)</f>
        <v>86</v>
      </c>
      <c r="L21" s="18" t="n">
        <v>26</v>
      </c>
      <c r="M21" s="22" t="n">
        <f aca="false">IF(H21=0,0,L21/H21)</f>
        <v>0.0060535506402794</v>
      </c>
      <c r="N21" s="18" t="n">
        <v>44</v>
      </c>
      <c r="O21" s="21" t="n">
        <f aca="false">IF(H21+N21=0,0,N21/(H21+N21))</f>
        <v>0.0101405853883383</v>
      </c>
      <c r="P21" s="9" t="s">
        <v>558</v>
      </c>
    </row>
    <row r="22" customFormat="false" ht="15" hidden="false" customHeight="true" outlineLevel="0" collapsed="false">
      <c r="A22" s="8" t="s">
        <v>584</v>
      </c>
      <c r="B22" s="8" t="s">
        <v>132</v>
      </c>
      <c r="C22" s="8" t="s">
        <v>561</v>
      </c>
      <c r="D22" s="8" t="s">
        <v>207</v>
      </c>
      <c r="E22" s="8" t="s">
        <v>216</v>
      </c>
      <c r="F22" s="8"/>
      <c r="G22" s="8" t="s">
        <v>107</v>
      </c>
      <c r="H22" s="18" t="n">
        <v>126</v>
      </c>
      <c r="I22" s="16" t="n">
        <v>0.5</v>
      </c>
      <c r="J22" s="16" t="n">
        <v>0.056</v>
      </c>
      <c r="K22" s="20" t="n">
        <f aca="false">ROUND(H22*J22,0)</f>
        <v>7</v>
      </c>
      <c r="L22" s="18" t="n">
        <v>0</v>
      </c>
      <c r="M22" s="22" t="n">
        <f aca="false">IF(H22=0,0,L22/H22)</f>
        <v>0</v>
      </c>
      <c r="N22" s="18" t="n">
        <v>0</v>
      </c>
      <c r="O22" s="21" t="n">
        <f aca="false">IF(H22+N22=0,0,N22/(H22+N22))</f>
        <v>0</v>
      </c>
      <c r="P22" s="9" t="s">
        <v>558</v>
      </c>
    </row>
    <row r="23" customFormat="false" ht="15" hidden="false" customHeight="true" outlineLevel="0" collapsed="false">
      <c r="A23" s="8" t="s">
        <v>585</v>
      </c>
      <c r="B23" s="8" t="s">
        <v>132</v>
      </c>
      <c r="C23" s="8" t="s">
        <v>136</v>
      </c>
      <c r="D23" s="8" t="s">
        <v>136</v>
      </c>
      <c r="E23" s="8" t="s">
        <v>215</v>
      </c>
      <c r="F23" s="8" t="s">
        <v>134</v>
      </c>
      <c r="G23" s="8" t="s">
        <v>135</v>
      </c>
      <c r="H23" s="18" t="n">
        <v>2789</v>
      </c>
      <c r="I23" s="16" t="n">
        <v>0.321</v>
      </c>
      <c r="J23" s="16" t="n">
        <v>0.034</v>
      </c>
      <c r="K23" s="20" t="n">
        <f aca="false">ROUND(H23*J23,0)</f>
        <v>95</v>
      </c>
      <c r="L23" s="18" t="n">
        <v>10</v>
      </c>
      <c r="M23" s="22" t="n">
        <f aca="false">IF(H23=0,0,L23/H23)</f>
        <v>0.00358551452133381</v>
      </c>
      <c r="N23" s="18" t="n">
        <v>17</v>
      </c>
      <c r="O23" s="21" t="n">
        <f aca="false">IF(H23+N23=0,0,N23/(H23+N23))</f>
        <v>0.00605844618674269</v>
      </c>
      <c r="P23" s="9" t="s">
        <v>558</v>
      </c>
    </row>
    <row r="24" customFormat="false" ht="15" hidden="false" customHeight="true" outlineLevel="0" collapsed="false">
      <c r="A24" s="8" t="s">
        <v>586</v>
      </c>
      <c r="B24" s="8" t="s">
        <v>587</v>
      </c>
      <c r="C24" s="8" t="s">
        <v>574</v>
      </c>
      <c r="D24" s="8" t="s">
        <v>207</v>
      </c>
      <c r="E24" s="8" t="s">
        <v>216</v>
      </c>
      <c r="F24" s="8"/>
      <c r="G24" s="8" t="s">
        <v>250</v>
      </c>
      <c r="H24" s="18" t="n">
        <v>79</v>
      </c>
      <c r="I24" s="16" t="n">
        <v>0.544</v>
      </c>
      <c r="J24" s="16" t="n">
        <v>0.215</v>
      </c>
      <c r="K24" s="20" t="n">
        <f aca="false">ROUND(H24*J24,0)</f>
        <v>17</v>
      </c>
      <c r="L24" s="18" t="n">
        <v>0</v>
      </c>
      <c r="M24" s="22" t="n">
        <f aca="false">IF(H24=0,0,L24/H24)</f>
        <v>0</v>
      </c>
      <c r="N24" s="18" t="n">
        <v>0</v>
      </c>
      <c r="O24" s="21" t="n">
        <f aca="false">IF(H24+N24=0,0,N24/(H24+N24))</f>
        <v>0</v>
      </c>
      <c r="P24" s="9" t="s">
        <v>558</v>
      </c>
    </row>
    <row r="25" customFormat="false" ht="15" hidden="false" customHeight="true" outlineLevel="0" collapsed="false">
      <c r="A25" s="8" t="s">
        <v>588</v>
      </c>
      <c r="B25" s="8" t="s">
        <v>587</v>
      </c>
      <c r="C25" s="8" t="s">
        <v>561</v>
      </c>
      <c r="D25" s="8" t="s">
        <v>207</v>
      </c>
      <c r="E25" s="8" t="s">
        <v>216</v>
      </c>
      <c r="F25" s="8"/>
      <c r="G25" s="8" t="s">
        <v>107</v>
      </c>
      <c r="H25" s="18" t="n">
        <v>126</v>
      </c>
      <c r="I25" s="16" t="n">
        <v>0.563</v>
      </c>
      <c r="J25" s="16" t="n">
        <v>0.016</v>
      </c>
      <c r="K25" s="20" t="n">
        <f aca="false">ROUND(H25*J25,0)</f>
        <v>2</v>
      </c>
      <c r="L25" s="18" t="n">
        <v>0</v>
      </c>
      <c r="M25" s="22" t="n">
        <f aca="false">IF(H25=0,0,L25/H25)</f>
        <v>0</v>
      </c>
      <c r="N25" s="18" t="n">
        <v>0</v>
      </c>
      <c r="O25" s="21" t="n">
        <f aca="false">IF(H25+N25=0,0,N25/(H25+N25))</f>
        <v>0</v>
      </c>
      <c r="P25" s="9" t="s">
        <v>558</v>
      </c>
    </row>
    <row r="26" customFormat="false" ht="15" hidden="false" customHeight="true" outlineLevel="0" collapsed="false">
      <c r="A26" s="8" t="s">
        <v>589</v>
      </c>
      <c r="B26" s="8" t="s">
        <v>160</v>
      </c>
      <c r="C26" s="8" t="s">
        <v>159</v>
      </c>
      <c r="D26" s="8" t="s">
        <v>117</v>
      </c>
      <c r="E26" s="8" t="s">
        <v>215</v>
      </c>
      <c r="F26" s="8" t="s">
        <v>157</v>
      </c>
      <c r="G26" s="8" t="s">
        <v>158</v>
      </c>
      <c r="H26" s="18" t="n">
        <v>1430</v>
      </c>
      <c r="I26" s="16" t="n">
        <v>0.414</v>
      </c>
      <c r="J26" s="16" t="n">
        <v>0.013</v>
      </c>
      <c r="K26" s="20" t="n">
        <f aca="false">ROUND(H26*J26,0)</f>
        <v>19</v>
      </c>
      <c r="L26" s="18" t="n">
        <v>8</v>
      </c>
      <c r="M26" s="22" t="n">
        <f aca="false">IF(H26=0,0,L26/H26)</f>
        <v>0.00559440559440559</v>
      </c>
      <c r="N26" s="18" t="n">
        <v>10</v>
      </c>
      <c r="O26" s="21" t="n">
        <f aca="false">IF(H26+N26=0,0,N26/(H26+N26))</f>
        <v>0.00694444444444444</v>
      </c>
      <c r="P26" s="9" t="s">
        <v>558</v>
      </c>
    </row>
    <row r="27" customFormat="false" ht="15" hidden="false" customHeight="true" outlineLevel="0" collapsed="false">
      <c r="A27" s="8" t="s">
        <v>589</v>
      </c>
      <c r="B27" s="8" t="s">
        <v>160</v>
      </c>
      <c r="C27" s="8" t="s">
        <v>159</v>
      </c>
      <c r="D27" s="8" t="s">
        <v>117</v>
      </c>
      <c r="E27" s="8" t="s">
        <v>215</v>
      </c>
      <c r="F27" s="8" t="s">
        <v>157</v>
      </c>
      <c r="G27" s="8" t="s">
        <v>158</v>
      </c>
      <c r="H27" s="18" t="n">
        <v>1430</v>
      </c>
      <c r="I27" s="16" t="n">
        <v>0.414</v>
      </c>
      <c r="J27" s="16" t="n">
        <v>0.013</v>
      </c>
      <c r="K27" s="20" t="n">
        <f aca="false">ROUND(H27*J27,0)</f>
        <v>19</v>
      </c>
      <c r="L27" s="18" t="n">
        <v>8</v>
      </c>
      <c r="M27" s="22" t="n">
        <f aca="false">IF(H27=0,0,L27/H27)</f>
        <v>0.00559440559440559</v>
      </c>
      <c r="N27" s="18" t="n">
        <v>10</v>
      </c>
      <c r="O27" s="21" t="n">
        <f aca="false">IF(H27+N27=0,0,N27/(H27+N27))</f>
        <v>0.00694444444444444</v>
      </c>
      <c r="P27" s="9" t="s">
        <v>590</v>
      </c>
    </row>
    <row r="28" customFormat="false" ht="15" hidden="false" customHeight="true" outlineLevel="0" collapsed="false">
      <c r="A28" s="8" t="s">
        <v>591</v>
      </c>
      <c r="B28" s="8" t="s">
        <v>160</v>
      </c>
      <c r="C28" s="8" t="s">
        <v>145</v>
      </c>
      <c r="D28" s="8" t="s">
        <v>145</v>
      </c>
      <c r="E28" s="8" t="s">
        <v>217</v>
      </c>
      <c r="F28" s="8"/>
      <c r="G28" s="8" t="s">
        <v>144</v>
      </c>
      <c r="H28" s="18" t="n">
        <v>38385</v>
      </c>
      <c r="I28" s="16" t="n">
        <v>0.229</v>
      </c>
      <c r="J28" s="16" t="n">
        <v>0.003</v>
      </c>
      <c r="K28" s="20" t="n">
        <f aca="false">ROUND(H28*J28,0)</f>
        <v>115</v>
      </c>
      <c r="L28" s="18" t="n">
        <v>735</v>
      </c>
      <c r="M28" s="22" t="n">
        <f aca="false">IF(H28=0,0,L28/H28)</f>
        <v>0.0191481047284095</v>
      </c>
      <c r="N28" s="18" t="n">
        <v>3576</v>
      </c>
      <c r="O28" s="21" t="n">
        <f aca="false">IF(H28+N28=0,0,N28/(H28+N28))</f>
        <v>0.0852219918495746</v>
      </c>
      <c r="P28" s="9" t="s">
        <v>558</v>
      </c>
    </row>
    <row r="29" customFormat="false" ht="15" hidden="false" customHeight="true" outlineLevel="0" collapsed="false">
      <c r="A29" s="8" t="s">
        <v>592</v>
      </c>
      <c r="B29" s="8" t="s">
        <v>160</v>
      </c>
      <c r="C29" s="8" t="s">
        <v>555</v>
      </c>
      <c r="D29" s="8" t="s">
        <v>556</v>
      </c>
      <c r="E29" s="8" t="s">
        <v>217</v>
      </c>
      <c r="F29" s="8"/>
      <c r="G29" s="8" t="s">
        <v>557</v>
      </c>
      <c r="H29" s="18" t="n">
        <v>1545</v>
      </c>
      <c r="I29" s="16" t="n">
        <v>0.35</v>
      </c>
      <c r="J29" s="16" t="n">
        <v>0.015</v>
      </c>
      <c r="K29" s="20" t="n">
        <f aca="false">ROUND(H29*J29,0)</f>
        <v>23</v>
      </c>
      <c r="L29" s="18" t="n">
        <v>25</v>
      </c>
      <c r="M29" s="22" t="n">
        <f aca="false">IF(H29=0,0,L29/H29)</f>
        <v>0.0161812297734628</v>
      </c>
      <c r="N29" s="18" t="n">
        <v>48</v>
      </c>
      <c r="O29" s="21" t="n">
        <f aca="false">IF(H29+N29=0,0,N29/(H29+N29))</f>
        <v>0.0301318267419962</v>
      </c>
      <c r="P29" s="9" t="s">
        <v>558</v>
      </c>
    </row>
    <row r="30" customFormat="false" ht="15" hidden="false" customHeight="true" outlineLevel="0" collapsed="false">
      <c r="A30" s="8" t="s">
        <v>593</v>
      </c>
      <c r="B30" s="8" t="s">
        <v>118</v>
      </c>
      <c r="C30" s="8" t="s">
        <v>594</v>
      </c>
      <c r="D30" s="8" t="s">
        <v>207</v>
      </c>
      <c r="E30" s="8" t="s">
        <v>216</v>
      </c>
      <c r="F30" s="8"/>
      <c r="G30" s="8" t="s">
        <v>158</v>
      </c>
      <c r="H30" s="18" t="n">
        <v>108</v>
      </c>
      <c r="I30" s="16" t="n">
        <v>0.472</v>
      </c>
      <c r="J30" s="16" t="n">
        <v>0.028</v>
      </c>
      <c r="K30" s="20" t="n">
        <f aca="false">ROUND(H30*J30,0)</f>
        <v>3</v>
      </c>
      <c r="L30" s="18" t="n">
        <v>0</v>
      </c>
      <c r="M30" s="22" t="n">
        <f aca="false">IF(H30=0,0,L30/H30)</f>
        <v>0</v>
      </c>
      <c r="N30" s="18" t="n">
        <v>1</v>
      </c>
      <c r="O30" s="21" t="n">
        <f aca="false">IF(H30+N30=0,0,N30/(H30+N30))</f>
        <v>0.00917431192660551</v>
      </c>
      <c r="P30" s="9" t="s">
        <v>558</v>
      </c>
    </row>
    <row r="31" customFormat="false" ht="15" hidden="false" customHeight="true" outlineLevel="0" collapsed="false">
      <c r="A31" s="8" t="s">
        <v>595</v>
      </c>
      <c r="B31" s="8" t="s">
        <v>118</v>
      </c>
      <c r="C31" s="8" t="s">
        <v>594</v>
      </c>
      <c r="D31" s="8" t="s">
        <v>207</v>
      </c>
      <c r="E31" s="8" t="s">
        <v>216</v>
      </c>
      <c r="F31" s="8"/>
      <c r="G31" s="8" t="s">
        <v>158</v>
      </c>
      <c r="H31" s="18" t="n">
        <v>72</v>
      </c>
      <c r="I31" s="16" t="n">
        <v>0.653</v>
      </c>
      <c r="J31" s="16" t="n">
        <v>0.208</v>
      </c>
      <c r="K31" s="20" t="n">
        <f aca="false">ROUND(H31*J31,0)</f>
        <v>15</v>
      </c>
      <c r="L31" s="18" t="n">
        <v>0</v>
      </c>
      <c r="M31" s="22" t="n">
        <f aca="false">IF(H31=0,0,L31/H31)</f>
        <v>0</v>
      </c>
      <c r="N31" s="18" t="n">
        <v>0</v>
      </c>
      <c r="O31" s="21" t="n">
        <f aca="false">IF(H31+N31=0,0,N31/(H31+N31))</f>
        <v>0</v>
      </c>
      <c r="P31" s="9" t="s">
        <v>558</v>
      </c>
    </row>
    <row r="32" customFormat="false" ht="15" hidden="false" customHeight="true" outlineLevel="0" collapsed="false">
      <c r="A32" s="8" t="s">
        <v>596</v>
      </c>
      <c r="B32" s="8" t="s">
        <v>118</v>
      </c>
      <c r="C32" s="8" t="s">
        <v>116</v>
      </c>
      <c r="D32" s="8" t="s">
        <v>117</v>
      </c>
      <c r="E32" s="8" t="s">
        <v>215</v>
      </c>
      <c r="F32" s="8" t="s">
        <v>113</v>
      </c>
      <c r="G32" s="8" t="s">
        <v>115</v>
      </c>
      <c r="H32" s="18" t="n">
        <v>7259</v>
      </c>
      <c r="I32" s="16" t="n">
        <v>0.263</v>
      </c>
      <c r="J32" s="16" t="n">
        <v>0.01</v>
      </c>
      <c r="K32" s="20" t="n">
        <f aca="false">ROUND(H32*J32,0)</f>
        <v>73</v>
      </c>
      <c r="L32" s="18" t="n">
        <v>62</v>
      </c>
      <c r="M32" s="22" t="n">
        <f aca="false">IF(H32=0,0,L32/H32)</f>
        <v>0.00854112136657942</v>
      </c>
      <c r="N32" s="18" t="n">
        <v>100</v>
      </c>
      <c r="O32" s="21" t="n">
        <f aca="false">IF(H32+N32=0,0,N32/(H32+N32))</f>
        <v>0.013588802826471</v>
      </c>
      <c r="P32" s="9" t="s">
        <v>558</v>
      </c>
    </row>
    <row r="33" customFormat="false" ht="15" hidden="false" customHeight="true" outlineLevel="0" collapsed="false">
      <c r="A33" s="8" t="s">
        <v>597</v>
      </c>
      <c r="B33" s="8" t="s">
        <v>598</v>
      </c>
      <c r="C33" s="8" t="s">
        <v>145</v>
      </c>
      <c r="D33" s="8" t="s">
        <v>145</v>
      </c>
      <c r="E33" s="8" t="s">
        <v>215</v>
      </c>
      <c r="F33" s="8" t="s">
        <v>143</v>
      </c>
      <c r="G33" s="8" t="s">
        <v>144</v>
      </c>
      <c r="H33" s="18" t="n">
        <v>887</v>
      </c>
      <c r="I33" s="16" t="n">
        <v>0.263</v>
      </c>
      <c r="J33" s="16" t="n">
        <v>0.061</v>
      </c>
      <c r="K33" s="20" t="n">
        <f aca="false">ROUND(H33*J33,0)</f>
        <v>54</v>
      </c>
      <c r="L33" s="18" t="n">
        <v>2</v>
      </c>
      <c r="M33" s="22" t="n">
        <f aca="false">IF(H33=0,0,L33/H33)</f>
        <v>0.00225479143179256</v>
      </c>
      <c r="N33" s="18" t="n">
        <v>1</v>
      </c>
      <c r="O33" s="21" t="n">
        <f aca="false">IF(H33+N33=0,0,N33/(H33+N33))</f>
        <v>0.00112612612612613</v>
      </c>
      <c r="P33" s="9" t="s">
        <v>558</v>
      </c>
    </row>
    <row r="34" customFormat="false" ht="15" hidden="false" customHeight="true" outlineLevel="0" collapsed="false">
      <c r="A34" s="8" t="s">
        <v>599</v>
      </c>
      <c r="B34" s="8" t="s">
        <v>598</v>
      </c>
      <c r="C34" s="8" t="s">
        <v>600</v>
      </c>
      <c r="D34" s="8" t="s">
        <v>136</v>
      </c>
      <c r="E34" s="8" t="s">
        <v>218</v>
      </c>
      <c r="F34" s="8"/>
      <c r="G34" s="8" t="s">
        <v>135</v>
      </c>
      <c r="H34" s="18" t="n">
        <v>44</v>
      </c>
      <c r="I34" s="16" t="n">
        <v>0.455</v>
      </c>
      <c r="J34" s="16" t="n">
        <v>0.114</v>
      </c>
      <c r="K34" s="20" t="n">
        <f aca="false">ROUND(H34*J34,0)</f>
        <v>5</v>
      </c>
      <c r="L34" s="18" t="n">
        <v>0</v>
      </c>
      <c r="M34" s="22" t="n">
        <f aca="false">IF(H34=0,0,L34/H34)</f>
        <v>0</v>
      </c>
      <c r="N34" s="18" t="n">
        <v>0</v>
      </c>
      <c r="O34" s="21" t="n">
        <f aca="false">IF(H34+N34=0,0,N34/(H34+N34))</f>
        <v>0</v>
      </c>
      <c r="P34" s="9" t="s">
        <v>558</v>
      </c>
    </row>
    <row r="35" customFormat="false" ht="15" hidden="false" customHeight="true" outlineLevel="0" collapsed="false">
      <c r="A35" s="8" t="s">
        <v>601</v>
      </c>
      <c r="B35" s="8" t="s">
        <v>598</v>
      </c>
      <c r="C35" s="8" t="s">
        <v>574</v>
      </c>
      <c r="D35" s="8" t="s">
        <v>117</v>
      </c>
      <c r="E35" s="8" t="s">
        <v>218</v>
      </c>
      <c r="F35" s="8"/>
      <c r="G35" s="8" t="s">
        <v>250</v>
      </c>
      <c r="H35" s="18" t="n">
        <v>9</v>
      </c>
      <c r="I35" s="16" t="n">
        <v>0.889</v>
      </c>
      <c r="J35" s="16" t="n">
        <v>0.556</v>
      </c>
      <c r="K35" s="20" t="n">
        <f aca="false">ROUND(H35*J35,0)</f>
        <v>5</v>
      </c>
      <c r="L35" s="18" t="n">
        <v>0</v>
      </c>
      <c r="M35" s="22" t="n">
        <f aca="false">IF(H35=0,0,L35/H35)</f>
        <v>0</v>
      </c>
      <c r="N35" s="18" t="n">
        <v>0</v>
      </c>
      <c r="O35" s="21" t="n">
        <f aca="false">IF(H35+N35=0,0,N35/(H35+N35))</f>
        <v>0</v>
      </c>
      <c r="P35" s="9" t="s">
        <v>558</v>
      </c>
    </row>
    <row r="36" customFormat="false" ht="15" hidden="false" customHeight="true" outlineLevel="0" collapsed="false">
      <c r="A36" s="8" t="s">
        <v>602</v>
      </c>
      <c r="B36" s="8" t="s">
        <v>603</v>
      </c>
      <c r="C36" s="8" t="s">
        <v>574</v>
      </c>
      <c r="D36" s="8" t="s">
        <v>207</v>
      </c>
      <c r="E36" s="8" t="s">
        <v>216</v>
      </c>
      <c r="F36" s="8"/>
      <c r="G36" s="8" t="s">
        <v>250</v>
      </c>
      <c r="H36" s="18" t="n">
        <v>90</v>
      </c>
      <c r="I36" s="16" t="n">
        <v>0.333</v>
      </c>
      <c r="J36" s="16" t="n">
        <v>0.089</v>
      </c>
      <c r="K36" s="20" t="n">
        <f aca="false">ROUND(H36*J36,0)</f>
        <v>8</v>
      </c>
      <c r="L36" s="18" t="n">
        <v>0</v>
      </c>
      <c r="M36" s="22" t="n">
        <f aca="false">IF(H36=0,0,L36/H36)</f>
        <v>0</v>
      </c>
      <c r="N36" s="18" t="n">
        <v>1</v>
      </c>
      <c r="O36" s="21" t="n">
        <f aca="false">IF(H36+N36=0,0,N36/(H36+N36))</f>
        <v>0.010989010989011</v>
      </c>
      <c r="P36" s="9" t="s">
        <v>558</v>
      </c>
    </row>
    <row r="37" customFormat="false" ht="15" hidden="false" customHeight="true" outlineLevel="0" collapsed="false">
      <c r="A37" s="8" t="s">
        <v>604</v>
      </c>
      <c r="B37" s="8" t="s">
        <v>603</v>
      </c>
      <c r="C37" s="8" t="s">
        <v>574</v>
      </c>
      <c r="D37" s="8" t="s">
        <v>207</v>
      </c>
      <c r="E37" s="8" t="s">
        <v>216</v>
      </c>
      <c r="F37" s="8"/>
      <c r="G37" s="8" t="s">
        <v>250</v>
      </c>
      <c r="H37" s="18" t="n">
        <v>73</v>
      </c>
      <c r="I37" s="16" t="n">
        <v>0.466</v>
      </c>
      <c r="J37" s="16" t="n">
        <v>0.11</v>
      </c>
      <c r="K37" s="20" t="n">
        <f aca="false">ROUND(H37*J37,0)</f>
        <v>8</v>
      </c>
      <c r="L37" s="18" t="n">
        <v>0</v>
      </c>
      <c r="M37" s="22" t="n">
        <f aca="false">IF(H37=0,0,L37/H37)</f>
        <v>0</v>
      </c>
      <c r="N37" s="18" t="n">
        <v>0</v>
      </c>
      <c r="O37" s="21" t="n">
        <f aca="false">IF(H37+N37=0,0,N37/(H37+N37))</f>
        <v>0</v>
      </c>
      <c r="P37" s="9" t="s">
        <v>558</v>
      </c>
    </row>
    <row r="38" customFormat="false" ht="15" hidden="false" customHeight="true" outlineLevel="0" collapsed="false">
      <c r="A38" s="8" t="s">
        <v>605</v>
      </c>
      <c r="B38" s="8" t="s">
        <v>603</v>
      </c>
      <c r="C38" s="8" t="s">
        <v>574</v>
      </c>
      <c r="D38" s="8" t="s">
        <v>117</v>
      </c>
      <c r="E38" s="8" t="s">
        <v>218</v>
      </c>
      <c r="F38" s="8"/>
      <c r="G38" s="8" t="s">
        <v>250</v>
      </c>
      <c r="H38" s="18" t="n">
        <v>9</v>
      </c>
      <c r="I38" s="16" t="n">
        <v>0.889</v>
      </c>
      <c r="J38" s="16" t="n">
        <v>0.778</v>
      </c>
      <c r="K38" s="20" t="n">
        <f aca="false">ROUND(H38*J38,0)</f>
        <v>7</v>
      </c>
      <c r="L38" s="18" t="n">
        <v>0</v>
      </c>
      <c r="M38" s="22" t="n">
        <f aca="false">IF(H38=0,0,L38/H38)</f>
        <v>0</v>
      </c>
      <c r="N38" s="18" t="n">
        <v>0</v>
      </c>
      <c r="O38" s="21" t="n">
        <f aca="false">IF(H38+N38=0,0,N38/(H38+N38))</f>
        <v>0</v>
      </c>
      <c r="P38" s="9" t="s">
        <v>558</v>
      </c>
    </row>
    <row r="39" customFormat="false" ht="15" hidden="false" customHeight="true" outlineLevel="0" collapsed="false">
      <c r="A39" s="8" t="s">
        <v>606</v>
      </c>
      <c r="B39" s="8" t="s">
        <v>603</v>
      </c>
      <c r="C39" s="8" t="s">
        <v>561</v>
      </c>
      <c r="D39" s="8" t="s">
        <v>207</v>
      </c>
      <c r="E39" s="8" t="s">
        <v>216</v>
      </c>
      <c r="F39" s="8"/>
      <c r="G39" s="8" t="s">
        <v>107</v>
      </c>
      <c r="H39" s="18" t="n">
        <v>123</v>
      </c>
      <c r="I39" s="16" t="n">
        <v>0.504</v>
      </c>
      <c r="J39" s="16" t="n">
        <v>0.057</v>
      </c>
      <c r="K39" s="20" t="n">
        <f aca="false">ROUND(H39*J39,0)</f>
        <v>7</v>
      </c>
      <c r="L39" s="18" t="n">
        <v>0</v>
      </c>
      <c r="M39" s="22" t="n">
        <f aca="false">IF(H39=0,0,L39/H39)</f>
        <v>0</v>
      </c>
      <c r="N39" s="18" t="n">
        <v>0</v>
      </c>
      <c r="O39" s="21" t="n">
        <f aca="false">IF(H39+N39=0,0,N39/(H39+N39))</f>
        <v>0</v>
      </c>
      <c r="P39" s="9" t="s">
        <v>558</v>
      </c>
    </row>
    <row r="40" customFormat="false" ht="15" hidden="false" customHeight="true" outlineLevel="0" collapsed="false">
      <c r="A40" s="8" t="s">
        <v>607</v>
      </c>
      <c r="B40" s="8" t="s">
        <v>209</v>
      </c>
      <c r="C40" s="8" t="s">
        <v>196</v>
      </c>
      <c r="D40" s="8" t="s">
        <v>117</v>
      </c>
      <c r="E40" s="8" t="s">
        <v>215</v>
      </c>
      <c r="F40" s="8" t="s">
        <v>208</v>
      </c>
      <c r="G40" s="8" t="s">
        <v>195</v>
      </c>
      <c r="H40" s="18" t="n">
        <v>7</v>
      </c>
      <c r="I40" s="16" t="n">
        <v>0.857</v>
      </c>
      <c r="J40" s="16" t="n">
        <v>0</v>
      </c>
      <c r="K40" s="20" t="n">
        <f aca="false">ROUND(H40*J40,0)</f>
        <v>0</v>
      </c>
      <c r="L40" s="18" t="n">
        <v>0</v>
      </c>
      <c r="M40" s="22" t="n">
        <f aca="false">IF(H40=0,0,L40/H40)</f>
        <v>0</v>
      </c>
      <c r="N40" s="18" t="n">
        <v>0</v>
      </c>
      <c r="O40" s="21" t="n">
        <f aca="false">IF(H40+N40=0,0,N40/(H40+N40))</f>
        <v>0</v>
      </c>
      <c r="P40" s="9" t="s">
        <v>558</v>
      </c>
    </row>
    <row r="41" customFormat="false" ht="15" hidden="false" customHeight="true" outlineLevel="0" collapsed="false">
      <c r="A41" s="8" t="s">
        <v>608</v>
      </c>
      <c r="B41" s="8" t="s">
        <v>209</v>
      </c>
      <c r="C41" s="8" t="s">
        <v>202</v>
      </c>
      <c r="D41" s="8" t="s">
        <v>109</v>
      </c>
      <c r="E41" s="8" t="s">
        <v>218</v>
      </c>
      <c r="F41" s="8"/>
      <c r="G41" s="8" t="s">
        <v>201</v>
      </c>
      <c r="H41" s="18" t="n">
        <v>177</v>
      </c>
      <c r="I41" s="16" t="n">
        <v>0.508</v>
      </c>
      <c r="J41" s="16" t="n">
        <v>0.186</v>
      </c>
      <c r="K41" s="20" t="n">
        <f aca="false">ROUND(H41*J41,0)</f>
        <v>33</v>
      </c>
      <c r="L41" s="18" t="n">
        <v>0</v>
      </c>
      <c r="M41" s="22" t="n">
        <f aca="false">IF(H41=0,0,L41/H41)</f>
        <v>0</v>
      </c>
      <c r="N41" s="18" t="n">
        <v>1</v>
      </c>
      <c r="O41" s="21" t="n">
        <f aca="false">IF(H41+N41=0,0,N41/(H41+N41))</f>
        <v>0.00561797752808989</v>
      </c>
      <c r="P41" s="9" t="s">
        <v>558</v>
      </c>
    </row>
    <row r="42" customFormat="false" ht="15" hidden="false" customHeight="true" outlineLevel="0" collapsed="false">
      <c r="A42" s="8" t="s">
        <v>609</v>
      </c>
      <c r="B42" s="8" t="s">
        <v>209</v>
      </c>
      <c r="C42" s="8" t="s">
        <v>561</v>
      </c>
      <c r="D42" s="8" t="s">
        <v>207</v>
      </c>
      <c r="E42" s="8" t="s">
        <v>216</v>
      </c>
      <c r="F42" s="8"/>
      <c r="G42" s="8" t="s">
        <v>107</v>
      </c>
      <c r="H42" s="18" t="n">
        <v>123</v>
      </c>
      <c r="I42" s="16" t="n">
        <v>0.528</v>
      </c>
      <c r="J42" s="16" t="n">
        <v>0.049</v>
      </c>
      <c r="K42" s="20" t="n">
        <f aca="false">ROUND(H42*J42,0)</f>
        <v>6</v>
      </c>
      <c r="L42" s="18" t="n">
        <v>0</v>
      </c>
      <c r="M42" s="22" t="n">
        <f aca="false">IF(H42=0,0,L42/H42)</f>
        <v>0</v>
      </c>
      <c r="N42" s="18" t="n">
        <v>0</v>
      </c>
      <c r="O42" s="21" t="n">
        <f aca="false">IF(H42+N42=0,0,N42/(H42+N42))</f>
        <v>0</v>
      </c>
      <c r="P42" s="9" t="s">
        <v>558</v>
      </c>
    </row>
    <row r="43" customFormat="false" ht="15" hidden="false" customHeight="true" outlineLevel="0" collapsed="false">
      <c r="A43" s="8" t="s">
        <v>610</v>
      </c>
      <c r="B43" s="8" t="s">
        <v>209</v>
      </c>
      <c r="C43" s="8" t="s">
        <v>574</v>
      </c>
      <c r="D43" s="8" t="s">
        <v>117</v>
      </c>
      <c r="E43" s="8" t="s">
        <v>218</v>
      </c>
      <c r="F43" s="8"/>
      <c r="G43" s="8" t="s">
        <v>250</v>
      </c>
      <c r="H43" s="18" t="n">
        <v>8</v>
      </c>
      <c r="I43" s="16" t="n">
        <v>0.875</v>
      </c>
      <c r="J43" s="16" t="n">
        <v>0</v>
      </c>
      <c r="K43" s="20" t="n">
        <f aca="false">ROUND(H43*J43,0)</f>
        <v>0</v>
      </c>
      <c r="L43" s="18" t="n">
        <v>0</v>
      </c>
      <c r="M43" s="22" t="n">
        <f aca="false">IF(H43=0,0,L43/H43)</f>
        <v>0</v>
      </c>
      <c r="N43" s="18" t="n">
        <v>0</v>
      </c>
      <c r="O43" s="21" t="n">
        <f aca="false">IF(H43+N43=0,0,N43/(H43+N43))</f>
        <v>0</v>
      </c>
      <c r="P43" s="9" t="s">
        <v>558</v>
      </c>
    </row>
    <row r="44" customFormat="false" ht="15" hidden="false" customHeight="true" outlineLevel="0" collapsed="false">
      <c r="A44" s="8" t="s">
        <v>611</v>
      </c>
      <c r="B44" s="8" t="s">
        <v>209</v>
      </c>
      <c r="C44" s="8" t="s">
        <v>574</v>
      </c>
      <c r="D44" s="8" t="s">
        <v>207</v>
      </c>
      <c r="E44" s="8" t="s">
        <v>218</v>
      </c>
      <c r="F44" s="8"/>
      <c r="G44" s="8" t="s">
        <v>250</v>
      </c>
      <c r="H44" s="18" t="n">
        <v>12</v>
      </c>
      <c r="I44" s="16" t="n">
        <v>0.917</v>
      </c>
      <c r="J44" s="16" t="n">
        <v>0.167</v>
      </c>
      <c r="K44" s="20" t="n">
        <f aca="false">ROUND(H44*J44,0)</f>
        <v>2</v>
      </c>
      <c r="L44" s="18" t="n">
        <v>0</v>
      </c>
      <c r="M44" s="22" t="n">
        <f aca="false">IF(H44=0,0,L44/H44)</f>
        <v>0</v>
      </c>
      <c r="N44" s="18" t="n">
        <v>0</v>
      </c>
      <c r="O44" s="21" t="n">
        <f aca="false">IF(H44+N44=0,0,N44/(H44+N44))</f>
        <v>0</v>
      </c>
      <c r="P44" s="9" t="s">
        <v>558</v>
      </c>
    </row>
    <row r="45" customFormat="false" ht="15" hidden="false" customHeight="true" outlineLevel="0" collapsed="false">
      <c r="A45" s="8" t="s">
        <v>612</v>
      </c>
      <c r="B45" s="8" t="s">
        <v>209</v>
      </c>
      <c r="C45" s="8" t="s">
        <v>574</v>
      </c>
      <c r="D45" s="8" t="s">
        <v>207</v>
      </c>
      <c r="E45" s="8" t="s">
        <v>218</v>
      </c>
      <c r="F45" s="8"/>
      <c r="G45" s="8" t="s">
        <v>250</v>
      </c>
      <c r="H45" s="18" t="n">
        <v>81</v>
      </c>
      <c r="I45" s="16" t="n">
        <v>0.704</v>
      </c>
      <c r="J45" s="16" t="n">
        <v>0.099</v>
      </c>
      <c r="K45" s="20" t="n">
        <f aca="false">ROUND(H45*J45,0)</f>
        <v>8</v>
      </c>
      <c r="L45" s="18" t="n">
        <v>1</v>
      </c>
      <c r="M45" s="22" t="n">
        <f aca="false">IF(H45=0,0,L45/H45)</f>
        <v>0.0123456790123457</v>
      </c>
      <c r="N45" s="18" t="n">
        <v>1</v>
      </c>
      <c r="O45" s="21" t="n">
        <f aca="false">IF(H45+N45=0,0,N45/(H45+N45))</f>
        <v>0.0121951219512195</v>
      </c>
      <c r="P45" s="9" t="s">
        <v>558</v>
      </c>
    </row>
    <row r="46" customFormat="false" ht="15" hidden="false" customHeight="true" outlineLevel="0" collapsed="false">
      <c r="A46" s="8" t="s">
        <v>613</v>
      </c>
      <c r="B46" s="8" t="s">
        <v>614</v>
      </c>
      <c r="C46" s="8" t="s">
        <v>181</v>
      </c>
      <c r="D46" s="8" t="s">
        <v>570</v>
      </c>
      <c r="E46" s="8" t="s">
        <v>215</v>
      </c>
      <c r="F46" s="8" t="s">
        <v>179</v>
      </c>
      <c r="G46" s="8" t="s">
        <v>180</v>
      </c>
      <c r="H46" s="18" t="n">
        <v>148</v>
      </c>
      <c r="I46" s="16" t="n">
        <v>0.277</v>
      </c>
      <c r="J46" s="16" t="n">
        <v>0.027</v>
      </c>
      <c r="K46" s="20" t="n">
        <f aca="false">ROUND(H46*J46,0)</f>
        <v>4</v>
      </c>
      <c r="L46" s="18" t="n">
        <v>1</v>
      </c>
      <c r="M46" s="22" t="n">
        <f aca="false">IF(H46=0,0,L46/H46)</f>
        <v>0.00675675675675676</v>
      </c>
      <c r="N46" s="18" t="n">
        <v>0</v>
      </c>
      <c r="O46" s="21" t="n">
        <f aca="false">IF(H46+N46=0,0,N46/(H46+N46))</f>
        <v>0</v>
      </c>
      <c r="P46" s="9" t="s">
        <v>558</v>
      </c>
    </row>
    <row r="47" customFormat="false" ht="15" hidden="false" customHeight="true" outlineLevel="0" collapsed="false">
      <c r="A47" s="8" t="s">
        <v>615</v>
      </c>
      <c r="B47" s="8" t="s">
        <v>614</v>
      </c>
      <c r="C47" s="8" t="s">
        <v>181</v>
      </c>
      <c r="D47" s="8" t="s">
        <v>197</v>
      </c>
      <c r="E47" s="8" t="s">
        <v>215</v>
      </c>
      <c r="F47" s="8" t="s">
        <v>179</v>
      </c>
      <c r="G47" s="8" t="s">
        <v>180</v>
      </c>
      <c r="H47" s="18" t="n">
        <v>117</v>
      </c>
      <c r="I47" s="16" t="n">
        <v>0.274</v>
      </c>
      <c r="J47" s="16" t="n">
        <v>0.043</v>
      </c>
      <c r="K47" s="20" t="n">
        <f aca="false">ROUND(H47*J47,0)</f>
        <v>5</v>
      </c>
      <c r="L47" s="18" t="n">
        <v>1</v>
      </c>
      <c r="M47" s="22" t="n">
        <f aca="false">IF(H47=0,0,L47/H47)</f>
        <v>0.00854700854700855</v>
      </c>
      <c r="N47" s="18" t="n">
        <v>0</v>
      </c>
      <c r="O47" s="21" t="n">
        <f aca="false">IF(H47+N47=0,0,N47/(H47+N47))</f>
        <v>0</v>
      </c>
      <c r="P47" s="9" t="s">
        <v>558</v>
      </c>
    </row>
    <row r="48" customFormat="false" ht="15" hidden="false" customHeight="true" outlineLevel="0" collapsed="false">
      <c r="A48" s="8" t="s">
        <v>615</v>
      </c>
      <c r="B48" s="8" t="s">
        <v>614</v>
      </c>
      <c r="C48" s="8" t="s">
        <v>181</v>
      </c>
      <c r="D48" s="8" t="s">
        <v>197</v>
      </c>
      <c r="E48" s="8" t="s">
        <v>215</v>
      </c>
      <c r="F48" s="8" t="s">
        <v>179</v>
      </c>
      <c r="G48" s="8" t="s">
        <v>180</v>
      </c>
      <c r="H48" s="18" t="n">
        <v>117</v>
      </c>
      <c r="I48" s="16" t="n">
        <v>0.274</v>
      </c>
      <c r="J48" s="16" t="n">
        <v>0.043</v>
      </c>
      <c r="K48" s="20" t="n">
        <f aca="false">ROUND(H48*J48,0)</f>
        <v>5</v>
      </c>
      <c r="L48" s="18" t="n">
        <v>1</v>
      </c>
      <c r="M48" s="22" t="n">
        <f aca="false">IF(H48=0,0,L48/H48)</f>
        <v>0.00854700854700855</v>
      </c>
      <c r="N48" s="18" t="n">
        <v>0</v>
      </c>
      <c r="O48" s="21" t="n">
        <f aca="false">IF(H48+N48=0,0,N48/(H48+N48))</f>
        <v>0</v>
      </c>
      <c r="P48" s="9" t="s">
        <v>590</v>
      </c>
    </row>
    <row r="49" customFormat="false" ht="15" hidden="false" customHeight="true" outlineLevel="0" collapsed="false">
      <c r="A49" s="8" t="s">
        <v>616</v>
      </c>
      <c r="B49" s="8" t="s">
        <v>617</v>
      </c>
      <c r="C49" s="8" t="s">
        <v>561</v>
      </c>
      <c r="D49" s="8" t="s">
        <v>207</v>
      </c>
      <c r="E49" s="8" t="s">
        <v>216</v>
      </c>
      <c r="F49" s="8"/>
      <c r="G49" s="8" t="s">
        <v>107</v>
      </c>
      <c r="H49" s="18" t="n">
        <v>123</v>
      </c>
      <c r="I49" s="16" t="n">
        <v>0.48</v>
      </c>
      <c r="J49" s="16" t="n">
        <v>0.057</v>
      </c>
      <c r="K49" s="20" t="n">
        <f aca="false">ROUND(H49*J49,0)</f>
        <v>7</v>
      </c>
      <c r="L49" s="18" t="n">
        <v>0</v>
      </c>
      <c r="M49" s="22" t="n">
        <f aca="false">IF(H49=0,0,L49/H49)</f>
        <v>0</v>
      </c>
      <c r="N49" s="18" t="n">
        <v>0</v>
      </c>
      <c r="O49" s="21" t="n">
        <f aca="false">IF(H49+N49=0,0,N49/(H49+N49))</f>
        <v>0</v>
      </c>
      <c r="P49" s="9" t="s">
        <v>558</v>
      </c>
    </row>
    <row r="50" customFormat="false" ht="15" hidden="false" customHeight="true" outlineLevel="0" collapsed="false">
      <c r="A50" s="8" t="s">
        <v>618</v>
      </c>
      <c r="B50" s="8" t="s">
        <v>619</v>
      </c>
      <c r="C50" s="8" t="s">
        <v>561</v>
      </c>
      <c r="D50" s="8" t="s">
        <v>207</v>
      </c>
      <c r="E50" s="8" t="s">
        <v>216</v>
      </c>
      <c r="F50" s="8"/>
      <c r="G50" s="8" t="s">
        <v>107</v>
      </c>
      <c r="H50" s="18" t="n">
        <v>124</v>
      </c>
      <c r="I50" s="16" t="n">
        <v>0.581</v>
      </c>
      <c r="J50" s="16" t="n">
        <v>0.056</v>
      </c>
      <c r="K50" s="20" t="n">
        <f aca="false">ROUND(H50*J50,0)</f>
        <v>7</v>
      </c>
      <c r="L50" s="18" t="n">
        <v>0</v>
      </c>
      <c r="M50" s="22" t="n">
        <f aca="false">IF(H50=0,0,L50/H50)</f>
        <v>0</v>
      </c>
      <c r="N50" s="18" t="n">
        <v>0</v>
      </c>
      <c r="O50" s="21" t="n">
        <f aca="false">IF(H50+N50=0,0,N50/(H50+N50))</f>
        <v>0</v>
      </c>
      <c r="P50" s="9" t="s">
        <v>558</v>
      </c>
    </row>
    <row r="51" customFormat="false" ht="15" hidden="false" customHeight="true" outlineLevel="0" collapsed="false">
      <c r="A51" s="8" t="s">
        <v>620</v>
      </c>
      <c r="B51" s="8" t="s">
        <v>199</v>
      </c>
      <c r="C51" s="8" t="s">
        <v>561</v>
      </c>
      <c r="D51" s="8" t="s">
        <v>207</v>
      </c>
      <c r="E51" s="8" t="s">
        <v>216</v>
      </c>
      <c r="F51" s="8"/>
      <c r="G51" s="8" t="s">
        <v>107</v>
      </c>
      <c r="H51" s="18" t="n">
        <v>124</v>
      </c>
      <c r="I51" s="16" t="n">
        <v>0.685</v>
      </c>
      <c r="J51" s="16" t="n">
        <v>0.065</v>
      </c>
      <c r="K51" s="20" t="n">
        <f aca="false">ROUND(H51*J51,0)</f>
        <v>8</v>
      </c>
      <c r="L51" s="18" t="n">
        <v>0</v>
      </c>
      <c r="M51" s="22" t="n">
        <f aca="false">IF(H51=0,0,L51/H51)</f>
        <v>0</v>
      </c>
      <c r="N51" s="18" t="n">
        <v>0</v>
      </c>
      <c r="O51" s="21" t="n">
        <f aca="false">IF(H51+N51=0,0,N51/(H51+N51))</f>
        <v>0</v>
      </c>
      <c r="P51" s="9" t="s">
        <v>558</v>
      </c>
    </row>
    <row r="52" customFormat="false" ht="15" hidden="false" customHeight="true" outlineLevel="0" collapsed="false">
      <c r="A52" s="8" t="s">
        <v>621</v>
      </c>
      <c r="B52" s="8" t="s">
        <v>199</v>
      </c>
      <c r="C52" s="8" t="s">
        <v>622</v>
      </c>
      <c r="D52" s="8" t="s">
        <v>117</v>
      </c>
      <c r="E52" s="8" t="s">
        <v>216</v>
      </c>
      <c r="F52" s="8"/>
      <c r="G52" s="8" t="s">
        <v>257</v>
      </c>
      <c r="H52" s="18" t="n">
        <v>101</v>
      </c>
      <c r="I52" s="16" t="n">
        <v>0.545</v>
      </c>
      <c r="J52" s="16" t="n">
        <v>0.109</v>
      </c>
      <c r="K52" s="20" t="n">
        <f aca="false">ROUND(H52*J52,0)</f>
        <v>11</v>
      </c>
      <c r="L52" s="18" t="n">
        <v>0</v>
      </c>
      <c r="M52" s="22" t="n">
        <f aca="false">IF(H52=0,0,L52/H52)</f>
        <v>0</v>
      </c>
      <c r="N52" s="18" t="n">
        <v>0</v>
      </c>
      <c r="O52" s="21" t="n">
        <f aca="false">IF(H52+N52=0,0,N52/(H52+N52))</f>
        <v>0</v>
      </c>
      <c r="P52" s="9" t="s">
        <v>558</v>
      </c>
    </row>
    <row r="53" customFormat="false" ht="15" hidden="false" customHeight="true" outlineLevel="0" collapsed="false">
      <c r="A53" s="8" t="s">
        <v>623</v>
      </c>
      <c r="B53" s="8" t="s">
        <v>199</v>
      </c>
      <c r="C53" s="8" t="s">
        <v>196</v>
      </c>
      <c r="D53" s="8" t="s">
        <v>197</v>
      </c>
      <c r="E53" s="8" t="s">
        <v>215</v>
      </c>
      <c r="F53" s="8" t="s">
        <v>194</v>
      </c>
      <c r="G53" s="8" t="s">
        <v>195</v>
      </c>
      <c r="H53" s="18" t="n">
        <v>54</v>
      </c>
      <c r="I53" s="16" t="n">
        <v>0.259</v>
      </c>
      <c r="J53" s="16" t="n">
        <v>0.093</v>
      </c>
      <c r="K53" s="20" t="n">
        <f aca="false">ROUND(H53*J53,0)</f>
        <v>5</v>
      </c>
      <c r="L53" s="18" t="n">
        <v>0</v>
      </c>
      <c r="M53" s="22" t="n">
        <f aca="false">IF(H53=0,0,L53/H53)</f>
        <v>0</v>
      </c>
      <c r="N53" s="18" t="n">
        <v>0</v>
      </c>
      <c r="O53" s="21" t="n">
        <f aca="false">IF(H53+N53=0,0,N53/(H53+N53))</f>
        <v>0</v>
      </c>
      <c r="P53" s="9" t="s">
        <v>558</v>
      </c>
    </row>
    <row r="54" customFormat="false" ht="15" hidden="false" customHeight="true" outlineLevel="0" collapsed="false">
      <c r="A54" s="8" t="s">
        <v>624</v>
      </c>
      <c r="B54" s="8" t="s">
        <v>199</v>
      </c>
      <c r="C54" s="8" t="s">
        <v>625</v>
      </c>
      <c r="D54" s="8" t="s">
        <v>117</v>
      </c>
      <c r="E54" s="8" t="s">
        <v>217</v>
      </c>
      <c r="F54" s="8"/>
      <c r="G54" s="8" t="s">
        <v>254</v>
      </c>
      <c r="H54" s="18" t="n">
        <v>27</v>
      </c>
      <c r="I54" s="16" t="n">
        <v>0.852</v>
      </c>
      <c r="J54" s="16" t="n">
        <v>0.778</v>
      </c>
      <c r="K54" s="20" t="n">
        <f aca="false">ROUND(H54*J54,0)</f>
        <v>21</v>
      </c>
      <c r="L54" s="18" t="n">
        <v>0</v>
      </c>
      <c r="M54" s="22" t="n">
        <f aca="false">IF(H54=0,0,L54/H54)</f>
        <v>0</v>
      </c>
      <c r="N54" s="18" t="n">
        <v>0</v>
      </c>
      <c r="O54" s="21" t="n">
        <f aca="false">IF(H54+N54=0,0,N54/(H54+N54))</f>
        <v>0</v>
      </c>
      <c r="P54" s="9" t="s">
        <v>558</v>
      </c>
    </row>
    <row r="55" customFormat="false" ht="15" hidden="false" customHeight="true" outlineLevel="0" collapsed="false">
      <c r="A55" s="8" t="s">
        <v>626</v>
      </c>
      <c r="B55" s="8" t="s">
        <v>199</v>
      </c>
      <c r="C55" s="8" t="s">
        <v>625</v>
      </c>
      <c r="D55" s="8" t="s">
        <v>117</v>
      </c>
      <c r="E55" s="8" t="s">
        <v>217</v>
      </c>
      <c r="F55" s="8"/>
      <c r="G55" s="8" t="s">
        <v>254</v>
      </c>
      <c r="H55" s="18" t="n">
        <v>173</v>
      </c>
      <c r="I55" s="16" t="n">
        <v>0.717</v>
      </c>
      <c r="J55" s="16" t="n">
        <v>0.607</v>
      </c>
      <c r="K55" s="20" t="n">
        <f aca="false">ROUND(H55*J55,0)</f>
        <v>105</v>
      </c>
      <c r="L55" s="18" t="n">
        <v>1</v>
      </c>
      <c r="M55" s="22" t="n">
        <f aca="false">IF(H55=0,0,L55/H55)</f>
        <v>0.00578034682080925</v>
      </c>
      <c r="N55" s="18" t="n">
        <v>0</v>
      </c>
      <c r="O55" s="21" t="n">
        <f aca="false">IF(H55+N55=0,0,N55/(H55+N55))</f>
        <v>0</v>
      </c>
      <c r="P55" s="9" t="s">
        <v>558</v>
      </c>
    </row>
    <row r="56" customFormat="false" ht="15" hidden="false" customHeight="true" outlineLevel="0" collapsed="false">
      <c r="A56" s="8" t="s">
        <v>627</v>
      </c>
      <c r="B56" s="8" t="s">
        <v>142</v>
      </c>
      <c r="C56" s="8" t="s">
        <v>140</v>
      </c>
      <c r="D56" s="8" t="s">
        <v>141</v>
      </c>
      <c r="E56" s="8" t="s">
        <v>215</v>
      </c>
      <c r="F56" s="8" t="s">
        <v>137</v>
      </c>
      <c r="G56" s="8" t="s">
        <v>139</v>
      </c>
      <c r="H56" s="18" t="n">
        <v>4384</v>
      </c>
      <c r="I56" s="16" t="n">
        <v>0.224</v>
      </c>
      <c r="J56" s="16" t="n">
        <v>0.021</v>
      </c>
      <c r="K56" s="20" t="n">
        <f aca="false">ROUND(H56*J56,0)</f>
        <v>92</v>
      </c>
      <c r="L56" s="18" t="n">
        <v>15</v>
      </c>
      <c r="M56" s="22" t="n">
        <f aca="false">IF(H56=0,0,L56/H56)</f>
        <v>0.00342153284671533</v>
      </c>
      <c r="N56" s="18" t="n">
        <v>45</v>
      </c>
      <c r="O56" s="21" t="n">
        <f aca="false">IF(H56+N56=0,0,N56/(H56+N56))</f>
        <v>0.010160307067058</v>
      </c>
      <c r="P56" s="9" t="s">
        <v>558</v>
      </c>
    </row>
    <row r="57" customFormat="false" ht="15" hidden="false" customHeight="true" outlineLevel="0" collapsed="false">
      <c r="A57" s="8" t="s">
        <v>628</v>
      </c>
      <c r="B57" s="8" t="s">
        <v>151</v>
      </c>
      <c r="C57" s="8" t="s">
        <v>561</v>
      </c>
      <c r="D57" s="8" t="s">
        <v>207</v>
      </c>
      <c r="E57" s="8" t="s">
        <v>216</v>
      </c>
      <c r="F57" s="8"/>
      <c r="G57" s="8" t="s">
        <v>107</v>
      </c>
      <c r="H57" s="18" t="n">
        <v>125</v>
      </c>
      <c r="I57" s="16" t="n">
        <v>0.552</v>
      </c>
      <c r="J57" s="16" t="n">
        <v>0.04</v>
      </c>
      <c r="K57" s="20" t="n">
        <f aca="false">ROUND(H57*J57,0)</f>
        <v>5</v>
      </c>
      <c r="L57" s="18" t="n">
        <v>0</v>
      </c>
      <c r="M57" s="22" t="n">
        <f aca="false">IF(H57=0,0,L57/H57)</f>
        <v>0</v>
      </c>
      <c r="N57" s="18" t="n">
        <v>0</v>
      </c>
      <c r="O57" s="21" t="n">
        <f aca="false">IF(H57+N57=0,0,N57/(H57+N57))</f>
        <v>0</v>
      </c>
      <c r="P57" s="9" t="s">
        <v>558</v>
      </c>
    </row>
    <row r="58" customFormat="false" ht="15" hidden="false" customHeight="true" outlineLevel="0" collapsed="false">
      <c r="A58" s="8" t="s">
        <v>629</v>
      </c>
      <c r="B58" s="8" t="s">
        <v>151</v>
      </c>
      <c r="C58" s="8" t="s">
        <v>187</v>
      </c>
      <c r="D58" s="8" t="s">
        <v>117</v>
      </c>
      <c r="E58" s="8" t="s">
        <v>215</v>
      </c>
      <c r="F58" s="8" t="s">
        <v>185</v>
      </c>
      <c r="G58" s="8" t="s">
        <v>186</v>
      </c>
      <c r="H58" s="18" t="n">
        <v>309</v>
      </c>
      <c r="I58" s="16" t="n">
        <v>0.379</v>
      </c>
      <c r="J58" s="16" t="n">
        <v>0.104</v>
      </c>
      <c r="K58" s="20" t="n">
        <f aca="false">ROUND(H58*J58,0)</f>
        <v>32</v>
      </c>
      <c r="L58" s="18" t="n">
        <v>6</v>
      </c>
      <c r="M58" s="22" t="n">
        <f aca="false">IF(H58=0,0,L58/H58)</f>
        <v>0.0194174757281553</v>
      </c>
      <c r="N58" s="18" t="n">
        <v>26</v>
      </c>
      <c r="O58" s="21" t="n">
        <f aca="false">IF(H58+N58=0,0,N58/(H58+N58))</f>
        <v>0.0776119402985075</v>
      </c>
      <c r="P58" s="9" t="s">
        <v>558</v>
      </c>
    </row>
    <row r="59" customFormat="false" ht="15" hidden="false" customHeight="true" outlineLevel="0" collapsed="false">
      <c r="A59" s="8" t="s">
        <v>630</v>
      </c>
      <c r="B59" s="8" t="s">
        <v>151</v>
      </c>
      <c r="C59" s="8" t="s">
        <v>150</v>
      </c>
      <c r="D59" s="8" t="s">
        <v>117</v>
      </c>
      <c r="E59" s="8" t="s">
        <v>215</v>
      </c>
      <c r="F59" s="8" t="s">
        <v>148</v>
      </c>
      <c r="G59" s="8" t="s">
        <v>149</v>
      </c>
      <c r="H59" s="18" t="n">
        <v>3302</v>
      </c>
      <c r="I59" s="16" t="n">
        <v>0.255</v>
      </c>
      <c r="J59" s="16" t="n">
        <v>0.015</v>
      </c>
      <c r="K59" s="20" t="n">
        <f aca="false">ROUND(H59*J59,0)</f>
        <v>50</v>
      </c>
      <c r="L59" s="18" t="n">
        <v>25</v>
      </c>
      <c r="M59" s="22" t="n">
        <f aca="false">IF(H59=0,0,L59/H59)</f>
        <v>0.00757116898849182</v>
      </c>
      <c r="N59" s="18" t="n">
        <v>75</v>
      </c>
      <c r="O59" s="21" t="n">
        <f aca="false">IF(H59+N59=0,0,N59/(H59+N59))</f>
        <v>0.0222090612970092</v>
      </c>
      <c r="P59" s="9" t="s">
        <v>558</v>
      </c>
    </row>
    <row r="60" customFormat="false" ht="15" hidden="false" customHeight="true" outlineLevel="0" collapsed="false">
      <c r="A60" s="8" t="s">
        <v>631</v>
      </c>
      <c r="B60" s="8" t="s">
        <v>204</v>
      </c>
      <c r="C60" s="8" t="s">
        <v>202</v>
      </c>
      <c r="D60" s="8" t="s">
        <v>109</v>
      </c>
      <c r="E60" s="8" t="s">
        <v>215</v>
      </c>
      <c r="F60" s="8" t="s">
        <v>200</v>
      </c>
      <c r="G60" s="8" t="s">
        <v>201</v>
      </c>
      <c r="H60" s="18" t="n">
        <v>26</v>
      </c>
      <c r="I60" s="16" t="n">
        <v>0.654</v>
      </c>
      <c r="J60" s="16" t="n">
        <v>0.462</v>
      </c>
      <c r="K60" s="20" t="n">
        <f aca="false">ROUND(H60*J60,0)</f>
        <v>12</v>
      </c>
      <c r="L60" s="18" t="n">
        <v>0</v>
      </c>
      <c r="M60" s="22" t="n">
        <f aca="false">IF(H60=0,0,L60/H60)</f>
        <v>0</v>
      </c>
      <c r="N60" s="18" t="n">
        <v>0</v>
      </c>
      <c r="O60" s="21" t="n">
        <f aca="false">IF(H60+N60=0,0,N60/(H60+N60))</f>
        <v>0</v>
      </c>
      <c r="P60" s="9" t="s">
        <v>558</v>
      </c>
    </row>
    <row r="61" customFormat="false" ht="15" hidden="false" customHeight="true" outlineLevel="0" collapsed="false">
      <c r="A61" s="8" t="s">
        <v>632</v>
      </c>
      <c r="B61" s="8" t="s">
        <v>204</v>
      </c>
      <c r="C61" s="8" t="s">
        <v>202</v>
      </c>
      <c r="D61" s="8" t="s">
        <v>109</v>
      </c>
      <c r="E61" s="8" t="s">
        <v>215</v>
      </c>
      <c r="F61" s="8" t="s">
        <v>200</v>
      </c>
      <c r="G61" s="8" t="s">
        <v>201</v>
      </c>
      <c r="H61" s="18" t="n">
        <v>22</v>
      </c>
      <c r="I61" s="16" t="n">
        <v>0.682</v>
      </c>
      <c r="J61" s="16" t="n">
        <v>0.455</v>
      </c>
      <c r="K61" s="20" t="n">
        <f aca="false">ROUND(H61*J61,0)</f>
        <v>10</v>
      </c>
      <c r="L61" s="18" t="n">
        <v>0</v>
      </c>
      <c r="M61" s="22" t="n">
        <f aca="false">IF(H61=0,0,L61/H61)</f>
        <v>0</v>
      </c>
      <c r="N61" s="18" t="n">
        <v>0</v>
      </c>
      <c r="O61" s="21" t="n">
        <f aca="false">IF(H61+N61=0,0,N61/(H61+N61))</f>
        <v>0</v>
      </c>
      <c r="P61" s="9" t="s">
        <v>558</v>
      </c>
    </row>
    <row r="62" customFormat="false" ht="15" hidden="false" customHeight="true" outlineLevel="0" collapsed="false">
      <c r="A62" s="8" t="s">
        <v>633</v>
      </c>
      <c r="B62" s="8" t="s">
        <v>204</v>
      </c>
      <c r="C62" s="8" t="s">
        <v>206</v>
      </c>
      <c r="D62" s="8" t="s">
        <v>207</v>
      </c>
      <c r="E62" s="8" t="s">
        <v>215</v>
      </c>
      <c r="F62" s="8" t="s">
        <v>205</v>
      </c>
      <c r="G62" s="8" t="s">
        <v>121</v>
      </c>
      <c r="H62" s="18" t="n">
        <v>31</v>
      </c>
      <c r="I62" s="16" t="n">
        <v>0.613</v>
      </c>
      <c r="J62" s="16" t="n">
        <v>0.065</v>
      </c>
      <c r="K62" s="20" t="n">
        <f aca="false">ROUND(H62*J62,0)</f>
        <v>2</v>
      </c>
      <c r="L62" s="18" t="n">
        <v>0</v>
      </c>
      <c r="M62" s="22" t="n">
        <f aca="false">IF(H62=0,0,L62/H62)</f>
        <v>0</v>
      </c>
      <c r="N62" s="18" t="n">
        <v>0</v>
      </c>
      <c r="O62" s="21" t="n">
        <f aca="false">IF(H62+N62=0,0,N62/(H62+N62))</f>
        <v>0</v>
      </c>
      <c r="P62" s="9" t="s">
        <v>558</v>
      </c>
    </row>
    <row r="63" customFormat="false" ht="15" hidden="false" customHeight="true" outlineLevel="0" collapsed="false">
      <c r="A63" s="8" t="s">
        <v>634</v>
      </c>
      <c r="B63" s="8" t="s">
        <v>635</v>
      </c>
      <c r="C63" s="8" t="s">
        <v>555</v>
      </c>
      <c r="D63" s="8" t="s">
        <v>109</v>
      </c>
      <c r="E63" s="8" t="s">
        <v>218</v>
      </c>
      <c r="F63" s="8"/>
      <c r="G63" s="8" t="s">
        <v>107</v>
      </c>
      <c r="H63" s="18" t="n">
        <v>59</v>
      </c>
      <c r="I63" s="16" t="n">
        <v>0.407</v>
      </c>
      <c r="J63" s="16" t="n">
        <v>0.119</v>
      </c>
      <c r="K63" s="20" t="n">
        <f aca="false">ROUND(H63*J63,0)</f>
        <v>7</v>
      </c>
      <c r="L63" s="18" t="n">
        <v>0</v>
      </c>
      <c r="M63" s="22" t="n">
        <f aca="false">IF(H63=0,0,L63/H63)</f>
        <v>0</v>
      </c>
      <c r="N63" s="18" t="n">
        <v>0</v>
      </c>
      <c r="O63" s="21" t="n">
        <f aca="false">IF(H63+N63=0,0,N63/(H63+N63))</f>
        <v>0</v>
      </c>
      <c r="P63" s="9" t="s">
        <v>558</v>
      </c>
    </row>
    <row r="64" customFormat="false" ht="15" hidden="false" customHeight="true" outlineLevel="0" collapsed="false">
      <c r="A64" s="8" t="s">
        <v>636</v>
      </c>
      <c r="B64" s="8" t="s">
        <v>635</v>
      </c>
      <c r="C64" s="8" t="s">
        <v>108</v>
      </c>
      <c r="D64" s="8" t="s">
        <v>109</v>
      </c>
      <c r="E64" s="8" t="s">
        <v>216</v>
      </c>
      <c r="F64" s="8"/>
      <c r="G64" s="8" t="s">
        <v>129</v>
      </c>
      <c r="H64" s="18" t="n">
        <v>1330</v>
      </c>
      <c r="I64" s="16" t="n">
        <v>0.261</v>
      </c>
      <c r="J64" s="16" t="n">
        <v>0.026</v>
      </c>
      <c r="K64" s="20" t="n">
        <f aca="false">ROUND(H64*J64,0)</f>
        <v>35</v>
      </c>
      <c r="L64" s="18" t="n">
        <v>11</v>
      </c>
      <c r="M64" s="22" t="n">
        <f aca="false">IF(H64=0,0,L64/H64)</f>
        <v>0.00827067669172932</v>
      </c>
      <c r="N64" s="18" t="n">
        <v>7</v>
      </c>
      <c r="O64" s="21" t="n">
        <f aca="false">IF(H64+N64=0,0,N64/(H64+N64))</f>
        <v>0.00523560209424084</v>
      </c>
      <c r="P64" s="9" t="s">
        <v>558</v>
      </c>
    </row>
    <row r="65" customFormat="false" ht="15" hidden="false" customHeight="true" outlineLevel="0" collapsed="false">
      <c r="A65" s="8" t="s">
        <v>637</v>
      </c>
      <c r="B65" s="8" t="s">
        <v>635</v>
      </c>
      <c r="C65" s="8" t="s">
        <v>561</v>
      </c>
      <c r="D65" s="8" t="s">
        <v>207</v>
      </c>
      <c r="E65" s="8" t="s">
        <v>216</v>
      </c>
      <c r="F65" s="8"/>
      <c r="G65" s="8" t="s">
        <v>107</v>
      </c>
      <c r="H65" s="18" t="n">
        <v>125</v>
      </c>
      <c r="I65" s="16" t="n">
        <v>0.592</v>
      </c>
      <c r="J65" s="16" t="n">
        <v>0.128</v>
      </c>
      <c r="K65" s="20" t="n">
        <f aca="false">ROUND(H65*J65,0)</f>
        <v>16</v>
      </c>
      <c r="L65" s="18" t="n">
        <v>0</v>
      </c>
      <c r="M65" s="22" t="n">
        <f aca="false">IF(H65=0,0,L65/H65)</f>
        <v>0</v>
      </c>
      <c r="N65" s="18" t="n">
        <v>0</v>
      </c>
      <c r="O65" s="21" t="n">
        <f aca="false">IF(H65+N65=0,0,N65/(H65+N65))</f>
        <v>0</v>
      </c>
      <c r="P65" s="9" t="s">
        <v>558</v>
      </c>
    </row>
    <row r="66" customFormat="false" ht="15" hidden="false" customHeight="true" outlineLevel="0" collapsed="false">
      <c r="A66" s="8" t="s">
        <v>638</v>
      </c>
      <c r="B66" s="8" t="s">
        <v>635</v>
      </c>
      <c r="C66" s="8" t="s">
        <v>639</v>
      </c>
      <c r="D66" s="8" t="s">
        <v>117</v>
      </c>
      <c r="E66" s="8" t="s">
        <v>217</v>
      </c>
      <c r="F66" s="8"/>
      <c r="G66" s="8" t="s">
        <v>254</v>
      </c>
      <c r="H66" s="18" t="n">
        <v>1346</v>
      </c>
      <c r="I66" s="16" t="n">
        <v>0.245</v>
      </c>
      <c r="J66" s="16" t="n">
        <v>0.025</v>
      </c>
      <c r="K66" s="20" t="n">
        <f aca="false">ROUND(H66*J66,0)</f>
        <v>34</v>
      </c>
      <c r="L66" s="18" t="n">
        <v>11</v>
      </c>
      <c r="M66" s="22" t="n">
        <f aca="false">IF(H66=0,0,L66/H66)</f>
        <v>0.00817236255572065</v>
      </c>
      <c r="N66" s="18" t="n">
        <v>6</v>
      </c>
      <c r="O66" s="21" t="n">
        <f aca="false">IF(H66+N66=0,0,N66/(H66+N66))</f>
        <v>0.00443786982248521</v>
      </c>
      <c r="P66" s="9" t="s">
        <v>558</v>
      </c>
    </row>
    <row r="67" customFormat="false" ht="15" hidden="false" customHeight="true" outlineLevel="0" collapsed="false">
      <c r="A67" s="8" t="s">
        <v>640</v>
      </c>
      <c r="B67" s="8" t="s">
        <v>635</v>
      </c>
      <c r="C67" s="8" t="s">
        <v>625</v>
      </c>
      <c r="D67" s="8" t="s">
        <v>117</v>
      </c>
      <c r="E67" s="8" t="s">
        <v>217</v>
      </c>
      <c r="F67" s="8"/>
      <c r="G67" s="8" t="s">
        <v>254</v>
      </c>
      <c r="H67" s="18" t="n">
        <v>3448</v>
      </c>
      <c r="I67" s="16" t="n">
        <v>0.226</v>
      </c>
      <c r="J67" s="16" t="n">
        <v>0.01</v>
      </c>
      <c r="K67" s="20" t="n">
        <f aca="false">ROUND(H67*J67,0)</f>
        <v>34</v>
      </c>
      <c r="L67" s="18" t="n">
        <v>58</v>
      </c>
      <c r="M67" s="22" t="n">
        <f aca="false">IF(H67=0,0,L67/H67)</f>
        <v>0.0168213457076566</v>
      </c>
      <c r="N67" s="18" t="n">
        <v>62</v>
      </c>
      <c r="O67" s="21" t="n">
        <f aca="false">IF(H67+N67=0,0,N67/(H67+N67))</f>
        <v>0.0176638176638177</v>
      </c>
      <c r="P67" s="9" t="s">
        <v>558</v>
      </c>
    </row>
    <row r="68" customFormat="false" ht="15" hidden="false" customHeight="true" outlineLevel="0" collapsed="false">
      <c r="A68" s="8" t="s">
        <v>641</v>
      </c>
      <c r="B68" s="8" t="s">
        <v>635</v>
      </c>
      <c r="C68" s="8" t="s">
        <v>122</v>
      </c>
      <c r="D68" s="8" t="s">
        <v>117</v>
      </c>
      <c r="E68" s="8" t="s">
        <v>215</v>
      </c>
      <c r="F68" s="8" t="s">
        <v>120</v>
      </c>
      <c r="G68" s="8" t="s">
        <v>121</v>
      </c>
      <c r="H68" s="18" t="n">
        <v>6534</v>
      </c>
      <c r="I68" s="16" t="n">
        <v>0.266</v>
      </c>
      <c r="J68" s="16" t="n">
        <v>0.012</v>
      </c>
      <c r="K68" s="20" t="n">
        <f aca="false">ROUND(H68*J68,0)</f>
        <v>78</v>
      </c>
      <c r="L68" s="18" t="n">
        <v>71</v>
      </c>
      <c r="M68" s="22" t="n">
        <f aca="false">IF(H68=0,0,L68/H68)</f>
        <v>0.0108662381389654</v>
      </c>
      <c r="N68" s="18" t="n">
        <v>54</v>
      </c>
      <c r="O68" s="21" t="n">
        <f aca="false">IF(H68+N68=0,0,N68/(H68+N68))</f>
        <v>0.00819672131147541</v>
      </c>
      <c r="P68" s="9" t="s">
        <v>558</v>
      </c>
    </row>
    <row r="69" customFormat="false" ht="15" hidden="false" customHeight="true" outlineLevel="0" collapsed="false">
      <c r="A69" s="8" t="s">
        <v>642</v>
      </c>
      <c r="B69" s="8" t="s">
        <v>635</v>
      </c>
      <c r="C69" s="8" t="s">
        <v>145</v>
      </c>
      <c r="D69" s="8" t="s">
        <v>145</v>
      </c>
      <c r="E69" s="8" t="s">
        <v>215</v>
      </c>
      <c r="F69" s="8" t="s">
        <v>143</v>
      </c>
      <c r="G69" s="8" t="s">
        <v>144</v>
      </c>
      <c r="H69" s="18" t="n">
        <v>982</v>
      </c>
      <c r="I69" s="16" t="n">
        <v>0.379</v>
      </c>
      <c r="J69" s="16" t="n">
        <v>0.065</v>
      </c>
      <c r="K69" s="20" t="n">
        <f aca="false">ROUND(H69*J69,0)</f>
        <v>64</v>
      </c>
      <c r="L69" s="18" t="n">
        <v>0</v>
      </c>
      <c r="M69" s="22" t="n">
        <f aca="false">IF(H69=0,0,L69/H69)</f>
        <v>0</v>
      </c>
      <c r="N69" s="18" t="n">
        <v>4</v>
      </c>
      <c r="O69" s="21" t="n">
        <f aca="false">IF(H69+N69=0,0,N69/(H69+N69))</f>
        <v>0.00405679513184584</v>
      </c>
      <c r="P69" s="9" t="s">
        <v>558</v>
      </c>
    </row>
    <row r="70" customFormat="false" ht="15" hidden="false" customHeight="true" outlineLevel="0" collapsed="false">
      <c r="A70" s="8" t="s">
        <v>643</v>
      </c>
      <c r="B70" s="8" t="s">
        <v>156</v>
      </c>
      <c r="C70" s="8" t="s">
        <v>155</v>
      </c>
      <c r="D70" s="8" t="s">
        <v>117</v>
      </c>
      <c r="E70" s="8" t="s">
        <v>215</v>
      </c>
      <c r="F70" s="8" t="s">
        <v>153</v>
      </c>
      <c r="G70" s="8" t="s">
        <v>154</v>
      </c>
      <c r="H70" s="18" t="n">
        <v>1787</v>
      </c>
      <c r="I70" s="16" t="n">
        <v>0.276</v>
      </c>
      <c r="J70" s="16" t="n">
        <v>0.022</v>
      </c>
      <c r="K70" s="20" t="n">
        <f aca="false">ROUND(H70*J70,0)</f>
        <v>39</v>
      </c>
      <c r="L70" s="18" t="n">
        <v>10</v>
      </c>
      <c r="M70" s="22" t="n">
        <f aca="false">IF(H70=0,0,L70/H70)</f>
        <v>0.00559597090095132</v>
      </c>
      <c r="N70" s="18" t="n">
        <v>13</v>
      </c>
      <c r="O70" s="21" t="n">
        <f aca="false">IF(H70+N70=0,0,N70/(H70+N70))</f>
        <v>0.00722222222222222</v>
      </c>
      <c r="P70" s="9" t="s">
        <v>558</v>
      </c>
    </row>
    <row r="71" customFormat="false" ht="15" hidden="false" customHeight="true" outlineLevel="0" collapsed="false">
      <c r="A71" s="8" t="s">
        <v>644</v>
      </c>
      <c r="B71" s="8" t="s">
        <v>156</v>
      </c>
      <c r="C71" s="8" t="s">
        <v>108</v>
      </c>
      <c r="D71" s="8" t="s">
        <v>109</v>
      </c>
      <c r="E71" s="8" t="s">
        <v>216</v>
      </c>
      <c r="F71" s="8"/>
      <c r="G71" s="8" t="s">
        <v>129</v>
      </c>
      <c r="H71" s="18" t="n">
        <v>618</v>
      </c>
      <c r="I71" s="16" t="n">
        <v>0.259</v>
      </c>
      <c r="J71" s="16" t="n">
        <v>0.042</v>
      </c>
      <c r="K71" s="20" t="n">
        <f aca="false">ROUND(H71*J71,0)</f>
        <v>26</v>
      </c>
      <c r="L71" s="18" t="n">
        <v>9</v>
      </c>
      <c r="M71" s="22" t="n">
        <f aca="false">IF(H71=0,0,L71/H71)</f>
        <v>0.0145631067961165</v>
      </c>
      <c r="N71" s="18" t="n">
        <v>5</v>
      </c>
      <c r="O71" s="21" t="n">
        <f aca="false">IF(H71+N71=0,0,N71/(H71+N71))</f>
        <v>0.00802568218298555</v>
      </c>
      <c r="P71" s="9" t="s">
        <v>558</v>
      </c>
    </row>
    <row r="72" customFormat="false" ht="15" hidden="false" customHeight="true" outlineLevel="0" collapsed="false">
      <c r="A72" s="8" t="s">
        <v>645</v>
      </c>
      <c r="B72" s="8" t="s">
        <v>165</v>
      </c>
      <c r="C72" s="8" t="s">
        <v>168</v>
      </c>
      <c r="D72" s="8" t="s">
        <v>169</v>
      </c>
      <c r="E72" s="8" t="s">
        <v>215</v>
      </c>
      <c r="F72" s="8" t="s">
        <v>166</v>
      </c>
      <c r="G72" s="8" t="s">
        <v>167</v>
      </c>
      <c r="H72" s="18" t="n">
        <v>664</v>
      </c>
      <c r="I72" s="16" t="n">
        <v>0.721</v>
      </c>
      <c r="J72" s="16" t="n">
        <v>0.081</v>
      </c>
      <c r="K72" s="20" t="n">
        <f aca="false">ROUND(H72*J72,0)</f>
        <v>54</v>
      </c>
      <c r="L72" s="18" t="n">
        <v>0</v>
      </c>
      <c r="M72" s="22" t="n">
        <f aca="false">IF(H72=0,0,L72/H72)</f>
        <v>0</v>
      </c>
      <c r="N72" s="18" t="n">
        <v>3</v>
      </c>
      <c r="O72" s="21" t="n">
        <f aca="false">IF(H72+N72=0,0,N72/(H72+N72))</f>
        <v>0.00449775112443778</v>
      </c>
      <c r="P72" s="9" t="s">
        <v>558</v>
      </c>
    </row>
    <row r="73" customFormat="false" ht="15" hidden="false" customHeight="true" outlineLevel="0" collapsed="false">
      <c r="A73" s="8" t="s">
        <v>646</v>
      </c>
      <c r="B73" s="8" t="s">
        <v>165</v>
      </c>
      <c r="C73" s="8" t="s">
        <v>647</v>
      </c>
      <c r="D73" s="8" t="s">
        <v>117</v>
      </c>
      <c r="E73" s="8" t="s">
        <v>217</v>
      </c>
      <c r="F73" s="8"/>
      <c r="G73" s="8" t="s">
        <v>107</v>
      </c>
      <c r="H73" s="18" t="n">
        <v>12799</v>
      </c>
      <c r="I73" s="16" t="n">
        <v>0.266</v>
      </c>
      <c r="J73" s="16" t="n">
        <v>0.007</v>
      </c>
      <c r="K73" s="20" t="n">
        <f aca="false">ROUND(H73*J73,0)</f>
        <v>90</v>
      </c>
      <c r="L73" s="18" t="n">
        <v>203</v>
      </c>
      <c r="M73" s="22" t="n">
        <f aca="false">IF(H73=0,0,L73/H73)</f>
        <v>0.0158606141104774</v>
      </c>
      <c r="N73" s="18" t="n">
        <v>86</v>
      </c>
      <c r="O73" s="21" t="n">
        <f aca="false">IF(H73+N73=0,0,N73/(H73+N73))</f>
        <v>0.006674427629026</v>
      </c>
      <c r="P73" s="9" t="s">
        <v>558</v>
      </c>
    </row>
    <row r="74" customFormat="false" ht="15" hidden="false" customHeight="true" outlineLevel="0" collapsed="false">
      <c r="A74" s="8" t="s">
        <v>648</v>
      </c>
      <c r="B74" s="8" t="s">
        <v>165</v>
      </c>
      <c r="C74" s="8" t="s">
        <v>164</v>
      </c>
      <c r="D74" s="8" t="s">
        <v>117</v>
      </c>
      <c r="E74" s="8" t="s">
        <v>215</v>
      </c>
      <c r="F74" s="8" t="s">
        <v>162</v>
      </c>
      <c r="G74" s="8" t="s">
        <v>163</v>
      </c>
      <c r="H74" s="18" t="n">
        <v>1420</v>
      </c>
      <c r="I74" s="16" t="n">
        <v>0.268</v>
      </c>
      <c r="J74" s="16" t="n">
        <v>0.019</v>
      </c>
      <c r="K74" s="20" t="n">
        <f aca="false">ROUND(H74*J74,0)</f>
        <v>27</v>
      </c>
      <c r="L74" s="18" t="n">
        <v>8</v>
      </c>
      <c r="M74" s="22" t="n">
        <f aca="false">IF(H74=0,0,L74/H74)</f>
        <v>0.00563380281690141</v>
      </c>
      <c r="N74" s="18" t="n">
        <v>11</v>
      </c>
      <c r="O74" s="21" t="n">
        <f aca="false">IF(H74+N74=0,0,N74/(H74+N74))</f>
        <v>0.0076869322152341</v>
      </c>
      <c r="P74" s="9" t="s">
        <v>558</v>
      </c>
    </row>
    <row r="75" customFormat="false" ht="15" hidden="false" customHeight="true" outlineLevel="0" collapsed="false">
      <c r="A75" s="8" t="s">
        <v>649</v>
      </c>
      <c r="B75" s="8" t="s">
        <v>650</v>
      </c>
      <c r="C75" s="8" t="s">
        <v>561</v>
      </c>
      <c r="D75" s="8" t="s">
        <v>207</v>
      </c>
      <c r="E75" s="8" t="s">
        <v>216</v>
      </c>
      <c r="F75" s="8"/>
      <c r="G75" s="8" t="s">
        <v>107</v>
      </c>
      <c r="H75" s="18" t="n">
        <v>126</v>
      </c>
      <c r="I75" s="16" t="n">
        <v>0.722</v>
      </c>
      <c r="J75" s="16" t="n">
        <v>0.063</v>
      </c>
      <c r="K75" s="20" t="n">
        <f aca="false">ROUND(H75*J75,0)</f>
        <v>8</v>
      </c>
      <c r="L75" s="18" t="n">
        <v>1</v>
      </c>
      <c r="M75" s="22" t="n">
        <f aca="false">IF(H75=0,0,L75/H75)</f>
        <v>0.00793650793650794</v>
      </c>
      <c r="N75" s="18" t="n">
        <v>1</v>
      </c>
      <c r="O75" s="21" t="n">
        <f aca="false">IF(H75+N75=0,0,N75/(H75+N75))</f>
        <v>0.0078740157480315</v>
      </c>
      <c r="P75" s="9" t="s">
        <v>558</v>
      </c>
    </row>
    <row r="76" customFormat="false" ht="15" hidden="false" customHeight="true" outlineLevel="0" collapsed="false">
      <c r="A76" s="8" t="s">
        <v>651</v>
      </c>
      <c r="B76" s="8" t="s">
        <v>650</v>
      </c>
      <c r="C76" s="8" t="s">
        <v>652</v>
      </c>
      <c r="D76" s="8" t="s">
        <v>117</v>
      </c>
      <c r="E76" s="8" t="s">
        <v>216</v>
      </c>
      <c r="F76" s="8"/>
      <c r="G76" s="8" t="s">
        <v>149</v>
      </c>
      <c r="H76" s="18" t="n">
        <v>1254</v>
      </c>
      <c r="I76" s="16" t="n">
        <v>0.33</v>
      </c>
      <c r="J76" s="16" t="n">
        <v>0.017</v>
      </c>
      <c r="K76" s="20" t="n">
        <f aca="false">ROUND(H76*J76,0)</f>
        <v>21</v>
      </c>
      <c r="L76" s="18" t="n">
        <v>16</v>
      </c>
      <c r="M76" s="22" t="n">
        <f aca="false">IF(H76=0,0,L76/H76)</f>
        <v>0.0127591706539075</v>
      </c>
      <c r="N76" s="18" t="n">
        <v>7</v>
      </c>
      <c r="O76" s="21" t="n">
        <f aca="false">IF(H76+N76=0,0,N76/(H76+N76))</f>
        <v>0.00555114988104679</v>
      </c>
      <c r="P76" s="9" t="s">
        <v>558</v>
      </c>
    </row>
    <row r="77" customFormat="false" ht="15" hidden="false" customHeight="true" outlineLevel="0" collapsed="false">
      <c r="A77" s="8" t="s">
        <v>653</v>
      </c>
      <c r="B77" s="8" t="s">
        <v>654</v>
      </c>
      <c r="C77" s="8" t="s">
        <v>583</v>
      </c>
      <c r="D77" s="8" t="s">
        <v>207</v>
      </c>
      <c r="E77" s="8" t="s">
        <v>216</v>
      </c>
      <c r="F77" s="8"/>
      <c r="G77" s="8" t="s">
        <v>259</v>
      </c>
      <c r="H77" s="18" t="n">
        <v>2814</v>
      </c>
      <c r="I77" s="16" t="n">
        <v>0.284</v>
      </c>
      <c r="J77" s="16" t="n">
        <v>0.002</v>
      </c>
      <c r="K77" s="20" t="n">
        <f aca="false">ROUND(H77*J77,0)</f>
        <v>6</v>
      </c>
      <c r="L77" s="18" t="n">
        <v>21</v>
      </c>
      <c r="M77" s="22" t="n">
        <f aca="false">IF(H77=0,0,L77/H77)</f>
        <v>0.00746268656716418</v>
      </c>
      <c r="N77" s="18" t="n">
        <v>21</v>
      </c>
      <c r="O77" s="21" t="n">
        <f aca="false">IF(H77+N77=0,0,N77/(H77+N77))</f>
        <v>0.00740740740740741</v>
      </c>
      <c r="P77" s="9" t="s">
        <v>558</v>
      </c>
    </row>
    <row r="78" customFormat="false" ht="15" hidden="false" customHeight="true" outlineLevel="0" collapsed="false">
      <c r="A78" s="8" t="s">
        <v>655</v>
      </c>
      <c r="B78" s="8" t="s">
        <v>654</v>
      </c>
      <c r="C78" s="8" t="s">
        <v>656</v>
      </c>
      <c r="D78" s="8" t="s">
        <v>207</v>
      </c>
      <c r="E78" s="8" t="s">
        <v>216</v>
      </c>
      <c r="F78" s="8"/>
      <c r="G78" s="8" t="s">
        <v>250</v>
      </c>
      <c r="H78" s="18" t="n">
        <v>42</v>
      </c>
      <c r="I78" s="16" t="n">
        <v>0.405</v>
      </c>
      <c r="J78" s="16" t="n">
        <v>0.095</v>
      </c>
      <c r="K78" s="20" t="n">
        <f aca="false">ROUND(H78*J78,0)</f>
        <v>4</v>
      </c>
      <c r="L78" s="18" t="n">
        <v>0</v>
      </c>
      <c r="M78" s="22" t="n">
        <f aca="false">IF(H78=0,0,L78/H78)</f>
        <v>0</v>
      </c>
      <c r="N78" s="18" t="n">
        <v>0</v>
      </c>
      <c r="O78" s="21" t="n">
        <f aca="false">IF(H78+N78=0,0,N78/(H78+N78))</f>
        <v>0</v>
      </c>
      <c r="P78" s="9" t="s">
        <v>558</v>
      </c>
    </row>
    <row r="79" customFormat="false" ht="15" hidden="false" customHeight="true" outlineLevel="0" collapsed="false">
      <c r="A79" s="8" t="s">
        <v>657</v>
      </c>
      <c r="B79" s="8" t="s">
        <v>654</v>
      </c>
      <c r="C79" s="8" t="s">
        <v>574</v>
      </c>
      <c r="D79" s="8" t="s">
        <v>207</v>
      </c>
      <c r="E79" s="8" t="s">
        <v>216</v>
      </c>
      <c r="F79" s="8"/>
      <c r="G79" s="8" t="s">
        <v>250</v>
      </c>
      <c r="H79" s="18" t="n">
        <v>101</v>
      </c>
      <c r="I79" s="16" t="n">
        <v>0.337</v>
      </c>
      <c r="J79" s="16" t="n">
        <v>0.139</v>
      </c>
      <c r="K79" s="20" t="n">
        <f aca="false">ROUND(H79*J79,0)</f>
        <v>14</v>
      </c>
      <c r="L79" s="18" t="n">
        <v>1</v>
      </c>
      <c r="M79" s="22" t="n">
        <f aca="false">IF(H79=0,0,L79/H79)</f>
        <v>0.0099009900990099</v>
      </c>
      <c r="N79" s="18" t="n">
        <v>0</v>
      </c>
      <c r="O79" s="21" t="n">
        <f aca="false">IF(H79+N79=0,0,N79/(H79+N79))</f>
        <v>0</v>
      </c>
      <c r="P79" s="9" t="s">
        <v>558</v>
      </c>
    </row>
    <row r="80" customFormat="false" ht="15" hidden="false" customHeight="true" outlineLevel="0" collapsed="false">
      <c r="A80" s="8" t="s">
        <v>658</v>
      </c>
      <c r="B80" s="8" t="s">
        <v>654</v>
      </c>
      <c r="C80" s="8" t="s">
        <v>659</v>
      </c>
      <c r="D80" s="8" t="s">
        <v>207</v>
      </c>
      <c r="E80" s="8" t="s">
        <v>216</v>
      </c>
      <c r="F80" s="8"/>
      <c r="G80" s="8" t="s">
        <v>149</v>
      </c>
      <c r="H80" s="18" t="n">
        <v>4273</v>
      </c>
      <c r="I80" s="16" t="n">
        <v>0.308</v>
      </c>
      <c r="J80" s="16" t="n">
        <v>0.03</v>
      </c>
      <c r="K80" s="20" t="n">
        <f aca="false">ROUND(H80*J80,0)</f>
        <v>128</v>
      </c>
      <c r="L80" s="18" t="n">
        <v>72</v>
      </c>
      <c r="M80" s="22" t="n">
        <f aca="false">IF(H80=0,0,L80/H80)</f>
        <v>0.0168499882986192</v>
      </c>
      <c r="N80" s="18" t="n">
        <v>87</v>
      </c>
      <c r="O80" s="21" t="n">
        <f aca="false">IF(H80+N80=0,0,N80/(H80+N80))</f>
        <v>0.019954128440367</v>
      </c>
      <c r="P80" s="9" t="s">
        <v>558</v>
      </c>
    </row>
    <row r="81" customFormat="false" ht="15" hidden="false" customHeight="true" outlineLevel="0" collapsed="false">
      <c r="A81" s="8" t="s">
        <v>658</v>
      </c>
      <c r="B81" s="8" t="s">
        <v>654</v>
      </c>
      <c r="C81" s="8" t="s">
        <v>659</v>
      </c>
      <c r="D81" s="8" t="s">
        <v>207</v>
      </c>
      <c r="E81" s="8" t="s">
        <v>216</v>
      </c>
      <c r="F81" s="8"/>
      <c r="G81" s="8" t="s">
        <v>149</v>
      </c>
      <c r="H81" s="18" t="n">
        <v>4273</v>
      </c>
      <c r="I81" s="16" t="n">
        <v>0.308</v>
      </c>
      <c r="J81" s="16" t="n">
        <v>0.03</v>
      </c>
      <c r="K81" s="20" t="n">
        <f aca="false">ROUND(H81*J81,0)</f>
        <v>128</v>
      </c>
      <c r="L81" s="18" t="n">
        <v>72</v>
      </c>
      <c r="M81" s="22" t="n">
        <f aca="false">IF(H81=0,0,L81/H81)</f>
        <v>0.0168499882986192</v>
      </c>
      <c r="N81" s="18" t="n">
        <v>87</v>
      </c>
      <c r="O81" s="21" t="n">
        <f aca="false">IF(H81+N81=0,0,N81/(H81+N81))</f>
        <v>0.019954128440367</v>
      </c>
      <c r="P81" s="9" t="s">
        <v>590</v>
      </c>
    </row>
    <row r="82" customFormat="false" ht="15" hidden="false" customHeight="true" outlineLevel="0" collapsed="false">
      <c r="A82" s="8" t="s">
        <v>660</v>
      </c>
      <c r="B82" s="8" t="s">
        <v>193</v>
      </c>
      <c r="C82" s="8" t="s">
        <v>126</v>
      </c>
      <c r="D82" s="8" t="s">
        <v>117</v>
      </c>
      <c r="E82" s="8" t="s">
        <v>215</v>
      </c>
      <c r="F82" s="8" t="s">
        <v>124</v>
      </c>
      <c r="G82" s="8" t="s">
        <v>125</v>
      </c>
      <c r="H82" s="18" t="n">
        <v>4795</v>
      </c>
      <c r="I82" s="16" t="n">
        <v>0.269</v>
      </c>
      <c r="J82" s="16" t="n">
        <v>0.032</v>
      </c>
      <c r="K82" s="20" t="n">
        <f aca="false">ROUND(H82*J82,0)</f>
        <v>153</v>
      </c>
      <c r="L82" s="18" t="n">
        <v>34</v>
      </c>
      <c r="M82" s="22" t="n">
        <f aca="false">IF(H82=0,0,L82/H82)</f>
        <v>0.00709071949947862</v>
      </c>
      <c r="N82" s="18" t="n">
        <v>52</v>
      </c>
      <c r="O82" s="21" t="n">
        <f aca="false">IF(H82+N82=0,0,N82/(H82+N82))</f>
        <v>0.0107282855374458</v>
      </c>
      <c r="P82" s="9" t="s">
        <v>558</v>
      </c>
    </row>
    <row r="83" customFormat="false" ht="15" hidden="false" customHeight="true" outlineLevel="0" collapsed="false">
      <c r="A83" s="8" t="s">
        <v>661</v>
      </c>
      <c r="B83" s="8" t="s">
        <v>193</v>
      </c>
      <c r="C83" s="8" t="s">
        <v>191</v>
      </c>
      <c r="D83" s="8" t="s">
        <v>117</v>
      </c>
      <c r="E83" s="8" t="s">
        <v>215</v>
      </c>
      <c r="F83" s="8" t="s">
        <v>189</v>
      </c>
      <c r="G83" s="8" t="s">
        <v>190</v>
      </c>
      <c r="H83" s="18" t="n">
        <v>219</v>
      </c>
      <c r="I83" s="16" t="n">
        <v>0.443</v>
      </c>
      <c r="J83" s="16" t="n">
        <v>0.018</v>
      </c>
      <c r="K83" s="20" t="n">
        <f aca="false">ROUND(H83*J83,0)</f>
        <v>4</v>
      </c>
      <c r="L83" s="18" t="n">
        <v>0</v>
      </c>
      <c r="M83" s="22" t="n">
        <f aca="false">IF(H83=0,0,L83/H83)</f>
        <v>0</v>
      </c>
      <c r="N83" s="18" t="n">
        <v>2</v>
      </c>
      <c r="O83" s="21" t="n">
        <f aca="false">IF(H83+N83=0,0,N83/(H83+N83))</f>
        <v>0.00904977375565611</v>
      </c>
      <c r="P83" s="9" t="s">
        <v>558</v>
      </c>
    </row>
    <row r="84" customFormat="false" ht="15" hidden="false" customHeight="true" outlineLevel="0" collapsed="false">
      <c r="A84" s="8" t="s">
        <v>662</v>
      </c>
      <c r="B84" s="8" t="s">
        <v>193</v>
      </c>
      <c r="C84" s="8" t="s">
        <v>622</v>
      </c>
      <c r="D84" s="8" t="s">
        <v>117</v>
      </c>
      <c r="E84" s="8" t="s">
        <v>216</v>
      </c>
      <c r="F84" s="8"/>
      <c r="G84" s="8" t="s">
        <v>257</v>
      </c>
      <c r="H84" s="18" t="n">
        <v>936</v>
      </c>
      <c r="I84" s="16" t="n">
        <v>0.339</v>
      </c>
      <c r="J84" s="16" t="n">
        <v>0.029</v>
      </c>
      <c r="K84" s="20" t="n">
        <f aca="false">ROUND(H84*J84,0)</f>
        <v>27</v>
      </c>
      <c r="L84" s="18" t="n">
        <v>2</v>
      </c>
      <c r="M84" s="22" t="n">
        <f aca="false">IF(H84=0,0,L84/H84)</f>
        <v>0.00213675213675214</v>
      </c>
      <c r="N84" s="18" t="n">
        <v>3</v>
      </c>
      <c r="O84" s="21" t="n">
        <f aca="false">IF(H84+N84=0,0,N84/(H84+N84))</f>
        <v>0.00319488817891374</v>
      </c>
      <c r="P84" s="9" t="s">
        <v>558</v>
      </c>
    </row>
    <row r="85" customFormat="false" ht="15" hidden="false" customHeight="true" outlineLevel="0" collapsed="false">
      <c r="A85" s="8" t="s">
        <v>663</v>
      </c>
      <c r="B85" s="8" t="s">
        <v>664</v>
      </c>
      <c r="C85" s="8" t="s">
        <v>108</v>
      </c>
      <c r="D85" s="8" t="s">
        <v>109</v>
      </c>
      <c r="E85" s="8" t="s">
        <v>215</v>
      </c>
      <c r="F85" s="8" t="s">
        <v>105</v>
      </c>
      <c r="G85" s="8" t="s">
        <v>107</v>
      </c>
      <c r="H85" s="18" t="n">
        <v>3241</v>
      </c>
      <c r="I85" s="16" t="n">
        <v>0.142</v>
      </c>
      <c r="J85" s="16" t="n">
        <v>0.019</v>
      </c>
      <c r="K85" s="20" t="n">
        <f aca="false">ROUND(H85*J85,0)</f>
        <v>62</v>
      </c>
      <c r="L85" s="18" t="n">
        <v>25</v>
      </c>
      <c r="M85" s="22" t="n">
        <f aca="false">IF(H85=0,0,L85/H85)</f>
        <v>0.00771366862079605</v>
      </c>
      <c r="N85" s="18" t="n">
        <v>21</v>
      </c>
      <c r="O85" s="21" t="n">
        <f aca="false">IF(H85+N85=0,0,N85/(H85+N85))</f>
        <v>0.00643776824034335</v>
      </c>
      <c r="P85" s="9" t="s">
        <v>558</v>
      </c>
    </row>
    <row r="86" customFormat="false" ht="15" hidden="false" customHeight="true" outlineLevel="0" collapsed="false">
      <c r="A86" s="8" t="s">
        <v>665</v>
      </c>
      <c r="B86" s="8" t="s">
        <v>664</v>
      </c>
      <c r="C86" s="8" t="s">
        <v>647</v>
      </c>
      <c r="D86" s="8" t="s">
        <v>117</v>
      </c>
      <c r="E86" s="8" t="s">
        <v>217</v>
      </c>
      <c r="F86" s="8"/>
      <c r="G86" s="8" t="s">
        <v>107</v>
      </c>
      <c r="H86" s="18" t="n">
        <v>13111</v>
      </c>
      <c r="I86" s="16" t="n">
        <v>0.324</v>
      </c>
      <c r="J86" s="16" t="n">
        <v>0.013</v>
      </c>
      <c r="K86" s="20" t="n">
        <f aca="false">ROUND(H86*J86,0)</f>
        <v>170</v>
      </c>
      <c r="L86" s="18" t="n">
        <v>252</v>
      </c>
      <c r="M86" s="22" t="n">
        <f aca="false">IF(H86=0,0,L86/H86)</f>
        <v>0.0192205018686599</v>
      </c>
      <c r="N86" s="18" t="n">
        <v>826</v>
      </c>
      <c r="O86" s="21" t="n">
        <f aca="false">IF(H86+N86=0,0,N86/(H86+N86))</f>
        <v>0.0592667001506781</v>
      </c>
      <c r="P86" s="9" t="s">
        <v>558</v>
      </c>
    </row>
    <row r="87" customFormat="false" ht="15" hidden="false" customHeight="true" outlineLevel="0" collapsed="false">
      <c r="A87" s="8" t="s">
        <v>663</v>
      </c>
      <c r="B87" s="8" t="s">
        <v>664</v>
      </c>
      <c r="C87" s="8" t="s">
        <v>108</v>
      </c>
      <c r="D87" s="8" t="s">
        <v>109</v>
      </c>
      <c r="E87" s="8" t="s">
        <v>215</v>
      </c>
      <c r="F87" s="8" t="s">
        <v>105</v>
      </c>
      <c r="G87" s="8" t="s">
        <v>107</v>
      </c>
      <c r="H87" s="18" t="n">
        <v>6975</v>
      </c>
      <c r="I87" s="16" t="n">
        <v>0.165</v>
      </c>
      <c r="J87" s="16" t="n">
        <v>0.019</v>
      </c>
      <c r="K87" s="20" t="n">
        <f aca="false">ROUND(H87*J87,0)</f>
        <v>133</v>
      </c>
      <c r="L87" s="18" t="n">
        <v>38</v>
      </c>
      <c r="M87" s="22" t="n">
        <f aca="false">IF(H87=0,0,L87/H87)</f>
        <v>0.00544802867383513</v>
      </c>
      <c r="N87" s="18" t="n">
        <v>23</v>
      </c>
      <c r="O87" s="21" t="n">
        <f aca="false">IF(H87+N87=0,0,N87/(H87+N87))</f>
        <v>0.00328665332952272</v>
      </c>
      <c r="P87" s="9" t="s">
        <v>558</v>
      </c>
    </row>
    <row r="88" customFormat="false" ht="15" hidden="false" customHeight="true" outlineLevel="0" collapsed="false">
      <c r="A88" s="8" t="s">
        <v>666</v>
      </c>
      <c r="B88" s="8" t="s">
        <v>667</v>
      </c>
      <c r="C88" s="8" t="s">
        <v>647</v>
      </c>
      <c r="D88" s="8" t="s">
        <v>117</v>
      </c>
      <c r="E88" s="8" t="s">
        <v>217</v>
      </c>
      <c r="F88" s="8"/>
      <c r="G88" s="8" t="s">
        <v>107</v>
      </c>
      <c r="H88" s="18" t="n">
        <v>3260</v>
      </c>
      <c r="I88" s="16" t="n">
        <v>0.316</v>
      </c>
      <c r="J88" s="16" t="n">
        <v>0.006</v>
      </c>
      <c r="K88" s="20" t="n">
        <f aca="false">ROUND(H88*J88,0)</f>
        <v>20</v>
      </c>
      <c r="L88" s="18" t="n">
        <v>37</v>
      </c>
      <c r="M88" s="22" t="n">
        <f aca="false">IF(H88=0,0,L88/H88)</f>
        <v>0.0113496932515337</v>
      </c>
      <c r="N88" s="18" t="n">
        <v>27</v>
      </c>
      <c r="O88" s="21" t="n">
        <f aca="false">IF(H88+N88=0,0,N88/(H88+N88))</f>
        <v>0.00821417706114998</v>
      </c>
      <c r="P88" s="9" t="s">
        <v>558</v>
      </c>
    </row>
    <row r="89" customFormat="false" ht="15" hidden="false" customHeight="true" outlineLevel="0" collapsed="false">
      <c r="A89" s="8" t="s">
        <v>668</v>
      </c>
      <c r="B89" s="8" t="s">
        <v>669</v>
      </c>
      <c r="C89" s="8" t="s">
        <v>561</v>
      </c>
      <c r="D89" s="8" t="s">
        <v>207</v>
      </c>
      <c r="E89" s="8" t="s">
        <v>216</v>
      </c>
      <c r="F89" s="8"/>
      <c r="G89" s="8" t="s">
        <v>107</v>
      </c>
      <c r="H89" s="18" t="n">
        <v>127</v>
      </c>
      <c r="I89" s="16" t="n">
        <v>0.512</v>
      </c>
      <c r="J89" s="16" t="n">
        <v>0.039</v>
      </c>
      <c r="K89" s="20" t="n">
        <f aca="false">ROUND(H89*J89,0)</f>
        <v>5</v>
      </c>
      <c r="L89" s="18" t="n">
        <v>1</v>
      </c>
      <c r="M89" s="22" t="n">
        <f aca="false">IF(H89=0,0,L89/H89)</f>
        <v>0.0078740157480315</v>
      </c>
      <c r="N89" s="18" t="n">
        <v>0</v>
      </c>
      <c r="O89" s="21" t="n">
        <f aca="false">IF(H89+N89=0,0,N89/(H89+N89))</f>
        <v>0</v>
      </c>
      <c r="P89" s="9" t="s">
        <v>558</v>
      </c>
    </row>
    <row r="90" customFormat="false" ht="15" hidden="false" customHeight="true" outlineLevel="0" collapsed="false">
      <c r="A90" s="8" t="s">
        <v>670</v>
      </c>
      <c r="B90" s="8" t="s">
        <v>669</v>
      </c>
      <c r="C90" s="8" t="s">
        <v>583</v>
      </c>
      <c r="D90" s="8" t="s">
        <v>207</v>
      </c>
      <c r="E90" s="8" t="s">
        <v>216</v>
      </c>
      <c r="F90" s="8"/>
      <c r="G90" s="8" t="s">
        <v>254</v>
      </c>
      <c r="H90" s="18" t="n">
        <v>485</v>
      </c>
      <c r="I90" s="16" t="n">
        <v>0.26</v>
      </c>
      <c r="J90" s="16" t="n">
        <v>0.031</v>
      </c>
      <c r="K90" s="20" t="n">
        <f aca="false">ROUND(H90*J90,0)</f>
        <v>15</v>
      </c>
      <c r="L90" s="18" t="n">
        <v>5</v>
      </c>
      <c r="M90" s="22" t="n">
        <f aca="false">IF(H90=0,0,L90/H90)</f>
        <v>0.0103092783505155</v>
      </c>
      <c r="N90" s="18" t="n">
        <v>5</v>
      </c>
      <c r="O90" s="21" t="n">
        <f aca="false">IF(H90+N90=0,0,N90/(H90+N90))</f>
        <v>0.0102040816326531</v>
      </c>
      <c r="P90" s="9" t="s">
        <v>558</v>
      </c>
    </row>
    <row r="91" customFormat="false" ht="15" hidden="false" customHeight="true" outlineLevel="0" collapsed="false">
      <c r="A91" s="8" t="s">
        <v>671</v>
      </c>
      <c r="B91" s="8" t="s">
        <v>672</v>
      </c>
      <c r="C91" s="8" t="s">
        <v>673</v>
      </c>
      <c r="D91" s="8" t="s">
        <v>207</v>
      </c>
      <c r="E91" s="8" t="s">
        <v>216</v>
      </c>
      <c r="F91" s="8"/>
      <c r="G91" s="8" t="s">
        <v>125</v>
      </c>
      <c r="H91" s="18" t="n">
        <v>1138</v>
      </c>
      <c r="I91" s="16" t="n">
        <v>0.293</v>
      </c>
      <c r="J91" s="16" t="n">
        <v>0.03</v>
      </c>
      <c r="K91" s="20" t="n">
        <f aca="false">ROUND(H91*J91,0)</f>
        <v>34</v>
      </c>
      <c r="L91" s="18" t="n">
        <v>12</v>
      </c>
      <c r="M91" s="22" t="n">
        <f aca="false">IF(H91=0,0,L91/H91)</f>
        <v>0.0105448154657294</v>
      </c>
      <c r="N91" s="18" t="n">
        <v>4</v>
      </c>
      <c r="O91" s="21" t="n">
        <f aca="false">IF(H91+N91=0,0,N91/(H91+N91))</f>
        <v>0.00350262697022767</v>
      </c>
      <c r="P91" s="9" t="s">
        <v>558</v>
      </c>
    </row>
    <row r="92" customFormat="false" ht="15" hidden="false" customHeight="true" outlineLevel="0" collapsed="false">
      <c r="A92" s="8" t="s">
        <v>674</v>
      </c>
      <c r="B92" s="8" t="s">
        <v>672</v>
      </c>
      <c r="C92" s="8" t="s">
        <v>622</v>
      </c>
      <c r="D92" s="8" t="s">
        <v>117</v>
      </c>
      <c r="E92" s="8" t="s">
        <v>216</v>
      </c>
      <c r="F92" s="8"/>
      <c r="G92" s="8" t="s">
        <v>257</v>
      </c>
      <c r="H92" s="18" t="n">
        <v>957</v>
      </c>
      <c r="I92" s="16" t="n">
        <v>0.323</v>
      </c>
      <c r="J92" s="16" t="n">
        <v>0.041</v>
      </c>
      <c r="K92" s="20" t="n">
        <f aca="false">ROUND(H92*J92,0)</f>
        <v>39</v>
      </c>
      <c r="L92" s="18" t="n">
        <v>1</v>
      </c>
      <c r="M92" s="22" t="n">
        <f aca="false">IF(H92=0,0,L92/H92)</f>
        <v>0.00104493207941484</v>
      </c>
      <c r="N92" s="18" t="n">
        <v>6</v>
      </c>
      <c r="O92" s="21" t="n">
        <f aca="false">IF(H92+N92=0,0,N92/(H92+N92))</f>
        <v>0.00623052959501558</v>
      </c>
      <c r="P92" s="9" t="s">
        <v>558</v>
      </c>
    </row>
    <row r="93" customFormat="false" ht="15" hidden="false" customHeight="true" outlineLevel="0" collapsed="false">
      <c r="A93" s="8" t="s">
        <v>675</v>
      </c>
      <c r="B93" s="8" t="s">
        <v>672</v>
      </c>
      <c r="C93" s="8" t="s">
        <v>136</v>
      </c>
      <c r="D93" s="8" t="s">
        <v>136</v>
      </c>
      <c r="E93" s="8" t="s">
        <v>215</v>
      </c>
      <c r="F93" s="8" t="s">
        <v>134</v>
      </c>
      <c r="G93" s="8" t="s">
        <v>135</v>
      </c>
      <c r="H93" s="18" t="n">
        <v>2723</v>
      </c>
      <c r="I93" s="16" t="n">
        <v>0.312</v>
      </c>
      <c r="J93" s="16" t="n">
        <v>0.025</v>
      </c>
      <c r="K93" s="20" t="n">
        <f aca="false">ROUND(H93*J93,0)</f>
        <v>68</v>
      </c>
      <c r="L93" s="18" t="n">
        <v>10</v>
      </c>
      <c r="M93" s="22" t="n">
        <f aca="false">IF(H93=0,0,L93/H93)</f>
        <v>0.00367242012486228</v>
      </c>
      <c r="N93" s="18" t="n">
        <v>18</v>
      </c>
      <c r="O93" s="21" t="n">
        <f aca="false">IF(H93+N93=0,0,N93/(H93+N93))</f>
        <v>0.00656694636993798</v>
      </c>
      <c r="P93" s="9" t="s">
        <v>558</v>
      </c>
    </row>
    <row r="94" customFormat="false" ht="15" hidden="false" customHeight="true" outlineLevel="0" collapsed="false">
      <c r="A94" s="8" t="s">
        <v>676</v>
      </c>
      <c r="B94" s="8" t="s">
        <v>672</v>
      </c>
      <c r="C94" s="8" t="s">
        <v>145</v>
      </c>
      <c r="D94" s="8" t="s">
        <v>145</v>
      </c>
      <c r="E94" s="8" t="s">
        <v>215</v>
      </c>
      <c r="F94" s="8" t="s">
        <v>143</v>
      </c>
      <c r="G94" s="8" t="s">
        <v>144</v>
      </c>
      <c r="H94" s="18" t="n">
        <v>978</v>
      </c>
      <c r="I94" s="16" t="n">
        <v>0.507</v>
      </c>
      <c r="J94" s="16" t="n">
        <v>0.204</v>
      </c>
      <c r="K94" s="20" t="n">
        <f aca="false">ROUND(H94*J94,0)</f>
        <v>200</v>
      </c>
      <c r="L94" s="18" t="n">
        <v>0</v>
      </c>
      <c r="M94" s="22" t="n">
        <f aca="false">IF(H94=0,0,L94/H94)</f>
        <v>0</v>
      </c>
      <c r="N94" s="18" t="n">
        <v>2</v>
      </c>
      <c r="O94" s="21" t="n">
        <f aca="false">IF(H94+N94=0,0,N94/(H94+N94))</f>
        <v>0.00204081632653061</v>
      </c>
      <c r="P94" s="9" t="s">
        <v>558</v>
      </c>
    </row>
    <row r="95" customFormat="false" ht="15" hidden="false" customHeight="true" outlineLevel="0" collapsed="false">
      <c r="A95" s="8" t="s">
        <v>677</v>
      </c>
      <c r="B95" s="8" t="s">
        <v>174</v>
      </c>
      <c r="C95" s="8" t="s">
        <v>172</v>
      </c>
      <c r="D95" s="8" t="s">
        <v>173</v>
      </c>
      <c r="E95" s="8" t="s">
        <v>215</v>
      </c>
      <c r="F95" s="8" t="s">
        <v>170</v>
      </c>
      <c r="G95" s="8" t="s">
        <v>171</v>
      </c>
      <c r="H95" s="18" t="n">
        <v>805</v>
      </c>
      <c r="I95" s="16" t="n">
        <v>0.277</v>
      </c>
      <c r="J95" s="16" t="n">
        <v>0.007</v>
      </c>
      <c r="K95" s="20" t="n">
        <f aca="false">ROUND(H95*J95,0)</f>
        <v>6</v>
      </c>
      <c r="L95" s="18" t="n">
        <v>8</v>
      </c>
      <c r="M95" s="22" t="n">
        <f aca="false">IF(H95=0,0,L95/H95)</f>
        <v>0.00993788819875776</v>
      </c>
      <c r="N95" s="18" t="n">
        <v>33</v>
      </c>
      <c r="O95" s="21" t="n">
        <f aca="false">IF(H95+N95=0,0,N95/(H95+N95))</f>
        <v>0.0393794749403341</v>
      </c>
      <c r="P95" s="9" t="s">
        <v>558</v>
      </c>
    </row>
    <row r="96" customFormat="false" ht="15" hidden="false" customHeight="true" outlineLevel="0" collapsed="false">
      <c r="A96" s="8" t="s">
        <v>678</v>
      </c>
      <c r="B96" s="8" t="s">
        <v>174</v>
      </c>
      <c r="C96" s="8" t="s">
        <v>647</v>
      </c>
      <c r="D96" s="8" t="s">
        <v>117</v>
      </c>
      <c r="E96" s="8" t="s">
        <v>217</v>
      </c>
      <c r="F96" s="8"/>
      <c r="G96" s="8" t="s">
        <v>107</v>
      </c>
      <c r="H96" s="18" t="n">
        <v>3313</v>
      </c>
      <c r="I96" s="16" t="n">
        <v>0.273</v>
      </c>
      <c r="J96" s="16" t="n">
        <v>0.009</v>
      </c>
      <c r="K96" s="20" t="n">
        <f aca="false">ROUND(H96*J96,0)</f>
        <v>30</v>
      </c>
      <c r="L96" s="18" t="n">
        <v>37</v>
      </c>
      <c r="M96" s="22" t="n">
        <f aca="false">IF(H96=0,0,L96/H96)</f>
        <v>0.0111681255659523</v>
      </c>
      <c r="N96" s="18" t="n">
        <v>27</v>
      </c>
      <c r="O96" s="21" t="n">
        <f aca="false">IF(H96+N96=0,0,N96/(H96+N96))</f>
        <v>0.00808383233532934</v>
      </c>
      <c r="P96" s="9" t="s">
        <v>558</v>
      </c>
    </row>
    <row r="97" customFormat="false" ht="15" hidden="false" customHeight="true" outlineLevel="0" collapsed="false">
      <c r="A97" s="8" t="s">
        <v>679</v>
      </c>
      <c r="B97" s="8" t="s">
        <v>680</v>
      </c>
      <c r="C97" s="8" t="s">
        <v>681</v>
      </c>
      <c r="D97" s="8" t="s">
        <v>117</v>
      </c>
      <c r="E97" s="8" t="s">
        <v>217</v>
      </c>
      <c r="F97" s="8"/>
      <c r="G97" s="8" t="s">
        <v>254</v>
      </c>
      <c r="H97" s="18" t="n">
        <v>18358</v>
      </c>
      <c r="I97" s="16" t="n">
        <v>0.268</v>
      </c>
      <c r="J97" s="16" t="n">
        <v>0.043</v>
      </c>
      <c r="K97" s="20" t="n">
        <f aca="false">ROUND(H97*J97,0)</f>
        <v>789</v>
      </c>
      <c r="L97" s="18" t="n">
        <v>417</v>
      </c>
      <c r="M97" s="22" t="n">
        <f aca="false">IF(H97=0,0,L97/H97)</f>
        <v>0.0227148926898355</v>
      </c>
      <c r="N97" s="18" t="n">
        <v>834</v>
      </c>
      <c r="O97" s="21" t="n">
        <f aca="false">IF(H97+N97=0,0,N97/(H97+N97))</f>
        <v>0.0434556065027095</v>
      </c>
      <c r="P97" s="9" t="s">
        <v>558</v>
      </c>
    </row>
    <row r="98" customFormat="false" ht="15" hidden="false" customHeight="true" outlineLevel="0" collapsed="false">
      <c r="A98" s="8" t="s">
        <v>682</v>
      </c>
      <c r="B98" s="8" t="s">
        <v>683</v>
      </c>
      <c r="C98" s="8" t="s">
        <v>673</v>
      </c>
      <c r="D98" s="8" t="s">
        <v>207</v>
      </c>
      <c r="E98" s="8" t="s">
        <v>216</v>
      </c>
      <c r="F98" s="8"/>
      <c r="G98" s="8" t="s">
        <v>125</v>
      </c>
      <c r="H98" s="18" t="n">
        <v>1168</v>
      </c>
      <c r="I98" s="16" t="n">
        <v>0.209</v>
      </c>
      <c r="J98" s="16" t="n">
        <v>0.015</v>
      </c>
      <c r="K98" s="20" t="n">
        <f aca="false">ROUND(H98*J98,0)</f>
        <v>18</v>
      </c>
      <c r="L98" s="18" t="n">
        <v>17</v>
      </c>
      <c r="M98" s="22" t="n">
        <f aca="false">IF(H98=0,0,L98/H98)</f>
        <v>0.0145547945205479</v>
      </c>
      <c r="N98" s="18" t="n">
        <v>25</v>
      </c>
      <c r="O98" s="21" t="n">
        <f aca="false">IF(H98+N98=0,0,N98/(H98+N98))</f>
        <v>0.0209555741827326</v>
      </c>
      <c r="P98" s="9" t="s">
        <v>558</v>
      </c>
    </row>
    <row r="99" customFormat="false" ht="15" hidden="false" customHeight="true" outlineLevel="0" collapsed="false">
      <c r="A99" s="8" t="s">
        <v>684</v>
      </c>
      <c r="B99" s="8" t="s">
        <v>683</v>
      </c>
      <c r="C99" s="8" t="s">
        <v>656</v>
      </c>
      <c r="D99" s="8" t="s">
        <v>207</v>
      </c>
      <c r="E99" s="8" t="s">
        <v>216</v>
      </c>
      <c r="F99" s="8"/>
      <c r="G99" s="8" t="s">
        <v>250</v>
      </c>
      <c r="H99" s="18" t="n">
        <v>54</v>
      </c>
      <c r="I99" s="16" t="n">
        <v>0.481</v>
      </c>
      <c r="J99" s="16" t="n">
        <v>0.167</v>
      </c>
      <c r="K99" s="20" t="n">
        <f aca="false">ROUND(H99*J99,0)</f>
        <v>9</v>
      </c>
      <c r="L99" s="18" t="n">
        <v>0</v>
      </c>
      <c r="M99" s="22" t="n">
        <f aca="false">IF(H99=0,0,L99/H99)</f>
        <v>0</v>
      </c>
      <c r="N99" s="18" t="n">
        <v>1</v>
      </c>
      <c r="O99" s="21" t="n">
        <f aca="false">IF(H99+N99=0,0,N99/(H99+N99))</f>
        <v>0.0181818181818182</v>
      </c>
      <c r="P99" s="9" t="s">
        <v>558</v>
      </c>
    </row>
    <row r="100" customFormat="false" ht="15" hidden="false" customHeight="true" outlineLevel="0" collapsed="false">
      <c r="A100" s="8" t="s">
        <v>685</v>
      </c>
      <c r="B100" s="8" t="s">
        <v>683</v>
      </c>
      <c r="C100" s="8" t="s">
        <v>574</v>
      </c>
      <c r="D100" s="8" t="s">
        <v>207</v>
      </c>
      <c r="E100" s="8" t="s">
        <v>216</v>
      </c>
      <c r="F100" s="8"/>
      <c r="G100" s="8" t="s">
        <v>250</v>
      </c>
      <c r="H100" s="18" t="n">
        <v>147</v>
      </c>
      <c r="I100" s="16" t="n">
        <v>0.605</v>
      </c>
      <c r="J100" s="16" t="n">
        <v>0.354</v>
      </c>
      <c r="K100" s="20" t="n">
        <f aca="false">ROUND(H100*J100,0)</f>
        <v>52</v>
      </c>
      <c r="L100" s="18" t="n">
        <v>0</v>
      </c>
      <c r="M100" s="22" t="n">
        <f aca="false">IF(H100=0,0,L100/H100)</f>
        <v>0</v>
      </c>
      <c r="N100" s="18" t="n">
        <v>2</v>
      </c>
      <c r="O100" s="21" t="n">
        <f aca="false">IF(H100+N100=0,0,N100/(H100+N100))</f>
        <v>0.0134228187919463</v>
      </c>
      <c r="P100" s="9" t="s">
        <v>558</v>
      </c>
    </row>
    <row r="101" customFormat="false" ht="15" hidden="false" customHeight="true" outlineLevel="0" collapsed="false">
      <c r="A101" s="8" t="s">
        <v>686</v>
      </c>
      <c r="B101" s="8" t="s">
        <v>683</v>
      </c>
      <c r="C101" s="8" t="s">
        <v>136</v>
      </c>
      <c r="D101" s="8" t="s">
        <v>136</v>
      </c>
      <c r="E101" s="8" t="s">
        <v>218</v>
      </c>
      <c r="F101" s="8"/>
      <c r="G101" s="8" t="s">
        <v>135</v>
      </c>
      <c r="H101" s="18" t="n">
        <v>78</v>
      </c>
      <c r="I101" s="16" t="n">
        <v>0.462</v>
      </c>
      <c r="J101" s="16" t="n">
        <v>0.231</v>
      </c>
      <c r="K101" s="20" t="n">
        <f aca="false">ROUND(H101*J101,0)</f>
        <v>18</v>
      </c>
      <c r="L101" s="18" t="n">
        <v>1</v>
      </c>
      <c r="M101" s="22" t="n">
        <f aca="false">IF(H101=0,0,L101/H101)</f>
        <v>0.0128205128205128</v>
      </c>
      <c r="N101" s="18" t="n">
        <v>0</v>
      </c>
      <c r="O101" s="21" t="n">
        <f aca="false">IF(H101+N101=0,0,N101/(H101+N101))</f>
        <v>0</v>
      </c>
      <c r="P101" s="9" t="s">
        <v>558</v>
      </c>
    </row>
    <row r="102" customFormat="false" ht="15" hidden="false" customHeight="true" outlineLevel="0" collapsed="false">
      <c r="A102" s="8" t="s">
        <v>687</v>
      </c>
      <c r="B102" s="8" t="s">
        <v>177</v>
      </c>
      <c r="C102" s="8" t="s">
        <v>140</v>
      </c>
      <c r="D102" s="8" t="s">
        <v>141</v>
      </c>
      <c r="E102" s="8" t="s">
        <v>215</v>
      </c>
      <c r="F102" s="8" t="s">
        <v>176</v>
      </c>
      <c r="G102" s="8" t="s">
        <v>139</v>
      </c>
      <c r="H102" s="18" t="n">
        <v>612</v>
      </c>
      <c r="I102" s="16" t="n">
        <v>0.232</v>
      </c>
      <c r="J102" s="16" t="n">
        <v>0.005</v>
      </c>
      <c r="K102" s="20" t="n">
        <f aca="false">ROUND(H102*J102,0)</f>
        <v>3</v>
      </c>
      <c r="L102" s="18" t="n">
        <v>3</v>
      </c>
      <c r="M102" s="22" t="n">
        <f aca="false">IF(H102=0,0,L102/H102)</f>
        <v>0.00490196078431373</v>
      </c>
      <c r="N102" s="18" t="n">
        <v>10</v>
      </c>
      <c r="O102" s="21" t="n">
        <f aca="false">IF(H102+N102=0,0,N102/(H102+N102))</f>
        <v>0.0160771704180064</v>
      </c>
      <c r="P102" s="9" t="s">
        <v>558</v>
      </c>
    </row>
    <row r="103" customFormat="false" ht="15" hidden="false" customHeight="true" outlineLevel="0" collapsed="false">
      <c r="A103" s="8" t="s">
        <v>688</v>
      </c>
      <c r="B103" s="8" t="s">
        <v>689</v>
      </c>
      <c r="C103" s="8" t="s">
        <v>647</v>
      </c>
      <c r="D103" s="8" t="s">
        <v>117</v>
      </c>
      <c r="E103" s="8" t="s">
        <v>217</v>
      </c>
      <c r="F103" s="8"/>
      <c r="G103" s="8" t="s">
        <v>107</v>
      </c>
      <c r="H103" s="18" t="n">
        <v>3390</v>
      </c>
      <c r="I103" s="16" t="n">
        <v>0.31</v>
      </c>
      <c r="J103" s="16" t="n">
        <v>0.015</v>
      </c>
      <c r="K103" s="20" t="n">
        <f aca="false">ROUND(H103*J103,0)</f>
        <v>51</v>
      </c>
      <c r="L103" s="18" t="n">
        <v>48</v>
      </c>
      <c r="M103" s="22" t="n">
        <f aca="false">IF(H103=0,0,L103/H103)</f>
        <v>0.0141592920353982</v>
      </c>
      <c r="N103" s="18" t="n">
        <v>34</v>
      </c>
      <c r="O103" s="21" t="n">
        <f aca="false">IF(H103+N103=0,0,N103/(H103+N103))</f>
        <v>0.00992990654205607</v>
      </c>
      <c r="P103" s="9" t="s">
        <v>558</v>
      </c>
    </row>
    <row r="104" customFormat="false" ht="15" hidden="false" customHeight="true" outlineLevel="0" collapsed="false">
      <c r="A104" s="8" t="s">
        <v>690</v>
      </c>
      <c r="B104" s="8" t="s">
        <v>691</v>
      </c>
      <c r="C104" s="8" t="s">
        <v>116</v>
      </c>
      <c r="D104" s="8" t="s">
        <v>117</v>
      </c>
      <c r="E104" s="8" t="s">
        <v>215</v>
      </c>
      <c r="F104" s="8" t="s">
        <v>113</v>
      </c>
      <c r="G104" s="8" t="s">
        <v>115</v>
      </c>
      <c r="H104" s="18" t="n">
        <v>5989</v>
      </c>
      <c r="I104" s="16" t="n">
        <v>0.253</v>
      </c>
      <c r="J104" s="16" t="n">
        <v>0.016</v>
      </c>
      <c r="K104" s="20" t="n">
        <f aca="false">ROUND(H104*J104,0)</f>
        <v>96</v>
      </c>
      <c r="L104" s="18" t="n">
        <v>65</v>
      </c>
      <c r="M104" s="22" t="n">
        <f aca="false">IF(H104=0,0,L104/H104)</f>
        <v>0.0108532309233595</v>
      </c>
      <c r="N104" s="18" t="n">
        <v>54</v>
      </c>
      <c r="O104" s="21" t="n">
        <f aca="false">IF(H104+N104=0,0,N104/(H104+N104))</f>
        <v>0.00893595896078107</v>
      </c>
      <c r="P104" s="9" t="s">
        <v>558</v>
      </c>
    </row>
  </sheetData>
  <autoFilter ref="A4:P1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692</v>
      </c>
    </row>
    <row r="3" customFormat="false" ht="15" hidden="false" customHeight="true" outlineLevel="0" collapsed="false">
      <c r="A3" s="39" t="s">
        <v>693</v>
      </c>
      <c r="B3" s="40"/>
    </row>
    <row r="4" customFormat="false" ht="15" hidden="false" customHeight="true" outlineLevel="0" collapsed="false">
      <c r="A4" s="41" t="s">
        <v>694</v>
      </c>
      <c r="B4" s="42" t="s">
        <v>695</v>
      </c>
    </row>
    <row r="5" customFormat="false" ht="15" hidden="false" customHeight="true" outlineLevel="0" collapsed="false">
      <c r="A5" s="41" t="s">
        <v>696</v>
      </c>
      <c r="B5" s="42" t="s">
        <v>697</v>
      </c>
    </row>
    <row r="6" customFormat="false" ht="15" hidden="false" customHeight="true" outlineLevel="0" collapsed="false">
      <c r="A6" s="41" t="s">
        <v>698</v>
      </c>
      <c r="B6" s="42" t="s">
        <v>699</v>
      </c>
    </row>
    <row r="7" customFormat="false" ht="15" hidden="false" customHeight="true" outlineLevel="0" collapsed="false">
      <c r="A7" s="41" t="s">
        <v>700</v>
      </c>
      <c r="B7" s="42" t="s">
        <v>701</v>
      </c>
    </row>
    <row r="9" customFormat="false" ht="15" hidden="false" customHeight="true" outlineLevel="0" collapsed="false">
      <c r="A9" s="39" t="s">
        <v>702</v>
      </c>
      <c r="B9" s="40"/>
    </row>
    <row r="10" customFormat="false" ht="23.25" hidden="false" customHeight="true" outlineLevel="0" collapsed="false">
      <c r="A10" s="41" t="s">
        <v>703</v>
      </c>
      <c r="B10" s="42" t="s">
        <v>704</v>
      </c>
    </row>
    <row r="11" customFormat="false" ht="15" hidden="false" customHeight="true" outlineLevel="0" collapsed="false">
      <c r="A11" s="41" t="s">
        <v>705</v>
      </c>
      <c r="B11" s="42" t="s">
        <v>706</v>
      </c>
    </row>
    <row r="12" customFormat="false" ht="15" hidden="false" customHeight="true" outlineLevel="0" collapsed="false">
      <c r="A12" s="41" t="s">
        <v>707</v>
      </c>
      <c r="B12" s="42" t="s">
        <v>708</v>
      </c>
    </row>
    <row r="13" customFormat="false" ht="15" hidden="false" customHeight="true" outlineLevel="0" collapsed="false">
      <c r="A13" s="41" t="s">
        <v>709</v>
      </c>
      <c r="B13" s="42" t="s">
        <v>710</v>
      </c>
    </row>
    <row r="15" customFormat="false" ht="15" hidden="false" customHeight="true" outlineLevel="0" collapsed="false">
      <c r="A15" s="39" t="s">
        <v>711</v>
      </c>
      <c r="B15" s="40"/>
    </row>
    <row r="16" customFormat="false" ht="15" hidden="false" customHeight="true" outlineLevel="0" collapsed="false">
      <c r="A16" s="41" t="s">
        <v>712</v>
      </c>
      <c r="B16" s="42" t="s">
        <v>713</v>
      </c>
    </row>
    <row r="17" customFormat="false" ht="15" hidden="false" customHeight="true" outlineLevel="0" collapsed="false">
      <c r="A17" s="41" t="s">
        <v>714</v>
      </c>
      <c r="B17" s="42" t="s">
        <v>715</v>
      </c>
    </row>
    <row r="18" customFormat="false" ht="15" hidden="false" customHeight="true" outlineLevel="0" collapsed="false">
      <c r="A18" s="41" t="s">
        <v>716</v>
      </c>
      <c r="B18" s="42" t="s">
        <v>717</v>
      </c>
    </row>
    <row r="19" customFormat="false" ht="15" hidden="false" customHeight="true" outlineLevel="0" collapsed="false">
      <c r="A19" s="41" t="s">
        <v>718</v>
      </c>
      <c r="B19" s="42" t="s">
        <v>719</v>
      </c>
    </row>
    <row r="20" customFormat="false" ht="15" hidden="false" customHeight="true" outlineLevel="0" collapsed="false">
      <c r="A20" s="41" t="s">
        <v>720</v>
      </c>
      <c r="B20" s="42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2026-10-08T09:26:15Z</dcterms:created>
  <dc:creator>openpyxl</dc:creator>
  <dc:description/>
  <dc:language>en-US</dc:language>
  <cp:lastModifiedBy/>
  <dcterms:modified xsi:type="dcterms:W3CDTF">2026-10-08T09:43:30Z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