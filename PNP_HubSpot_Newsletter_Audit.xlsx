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ewsletters" sheetId="2" state="visible" r:id="rId4"/>
    <sheet name="Locations" sheetId="3" state="visible" r:id="rId5"/>
    <sheet name="Contacts" sheetId="4" state="visible" r:id="rId6"/>
    <sheet name="Subscription Types" sheetId="5" state="visible" r:id="rId7"/>
    <sheet name="Workflows" sheetId="6" state="visible" r:id="rId8"/>
    <sheet name="Teams" sheetId="7" state="visible" r:id="rId9"/>
    <sheet name="Emails Aug-Sep" sheetId="8" state="visible" r:id="rId10"/>
    <sheet name="Sources" sheetId="9" state="visible" r:id="rId11"/>
  </sheets>
  <definedNames>
    <definedName function="false" hidden="true" localSheetId="7" name="_xlnm._FilterDatabase" vbProcedure="false">'Emails Aug-Sep'!$A$4:$N$104</definedName>
    <definedName function="false" hidden="true" localSheetId="5" name="_xlnm._FilterDatabase" vbProcedure="false">Workflows!$A$4:$E$313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<sst xmlns="http://schemas.openxmlformats.org/spreadsheetml/2006/main" count="2177" uniqueCount="996">
  <si>
    <t xml:space="preserve">HubSpot Newsletter Audit – Summary data</t>
  </si>
  <si>
    <t xml:space="preserve">Source: HubSpot Analyze export and Health tab, pulled 8 Oct 2026.</t>
  </si>
  <si>
    <t xml:space="preserve">All marketing emails, 1 Oct 2025 – 30 Sep 2026 (vs previous 365 days)</t>
  </si>
  <si>
    <t xml:space="preserve">Metric</t>
  </si>
  <si>
    <t xml:space="preserve">Value</t>
  </si>
  <si>
    <t xml:space="preserve">Change vs previous 365 days</t>
  </si>
  <si>
    <t xml:space="preserve">Emails sent</t>
  </si>
  <si>
    <t xml:space="preserve">Unique emails</t>
  </si>
  <si>
    <t xml:space="preserve">–</t>
  </si>
  <si>
    <t xml:space="preserve">Delivered</t>
  </si>
  <si>
    <t xml:space="preserve">Delivery rate</t>
  </si>
  <si>
    <t xml:space="preserve">Open rate</t>
  </si>
  <si>
    <t xml:space="preserve">Click rate</t>
  </si>
  <si>
    <t xml:space="preserve">Click-through rate (clicks ÷ opens)</t>
  </si>
  <si>
    <t xml:space="preserve">Reply rate</t>
  </si>
  <si>
    <t xml:space="preserve">Hard bounce rate</t>
  </si>
  <si>
    <t xml:space="preserve">Unsubscribe rate</t>
  </si>
  <si>
    <t xml:space="preserve">Spam report rate</t>
  </si>
  <si>
    <t xml:space="preserve">Email health, last 30 days (5 Sep – 5 Oct 2026)</t>
  </si>
  <si>
    <t xml:space="preserve">PnP</t>
  </si>
  <si>
    <t xml:space="preserve">HubSpot benchmark</t>
  </si>
  <si>
    <t xml:space="preserve">HubSpot rating</t>
  </si>
  <si>
    <t xml:space="preserve">Email health score</t>
  </si>
  <si>
    <t xml:space="preserve">3 / 10</t>
  </si>
  <si>
    <t xml:space="preserve">Needs work</t>
  </si>
  <si>
    <t xml:space="preserve">Opens</t>
  </si>
  <si>
    <t xml:space="preserve">Very good</t>
  </si>
  <si>
    <t xml:space="preserve">Click-throughs</t>
  </si>
  <si>
    <t xml:space="preserve">Okay</t>
  </si>
  <si>
    <t xml:space="preserve">Hard bounces</t>
  </si>
  <si>
    <t xml:space="preserve">Poor</t>
  </si>
  <si>
    <t xml:space="preserve">Unsubscribes</t>
  </si>
  <si>
    <t xml:space="preserve">Spam reports</t>
  </si>
  <si>
    <t xml:space="preserve">Email health by month (HubSpot Health tab)</t>
  </si>
  <si>
    <t xml:space="preserve">Month</t>
  </si>
  <si>
    <t xml:space="preserve">Health score (/10)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</si>
  <si>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</si>
  <si>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</si>
  <si>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</si>
  <si>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</si>
  <si>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</si>
  <si>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</si>
  <si>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</si>
  <si>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</si>
  <si>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</si>
  <si>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</si>
  <si>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</si>
  <si>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</si>
  <si>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Red = above HubSpot benchmark (hard bounces 0.25%, unsubscribes 0.35%).</t>
  </si>
  <si>
    <t xml:space="preserve">Device type (1 Oct 2025 – 30 Sep 2026)</t>
  </si>
  <si>
    <t xml:space="preserve">Device</t>
  </si>
  <si>
    <t xml:space="preserve">Clicks</t>
  </si>
  <si>
    <t xml:space="preserve">Desktop</t>
  </si>
  <si>
    <t xml:space="preserve">Mobile</t>
  </si>
  <si>
    <t xml:space="preserve">Other</t>
  </si>
  <si>
    <t xml:space="preserve">Unsubscribe reasons</t>
  </si>
  <si>
    <t xml:space="preserve">No data</t>
  </si>
  <si>
    <t xml:space="preserve">Recurring newsletters, 6 Aug – 30 Sep 2026</t>
  </si>
  <si>
    <t xml:space="preserve">Calculated from the 'Emails Aug-Sep' tab (duplicates excluded).</t>
  </si>
  <si>
    <t xml:space="preserve">Newsletter</t>
  </si>
  <si>
    <t xml:space="preserve">From name</t>
  </si>
  <si>
    <t xml:space="preserve">Subscription type</t>
  </si>
  <si>
    <t xml:space="preserve">Send dates</t>
  </si>
  <si>
    <t xml:space="preserve">Sends</t>
  </si>
  <si>
    <t xml:space="preserve">Avg. delivered</t>
  </si>
  <si>
    <t xml:space="preserve">Unsub rate</t>
  </si>
  <si>
    <t xml:space="preserve">Bounce rate</t>
  </si>
  <si>
    <t xml:space="preserve">Fintech &amp; AI Fund Insights</t>
  </si>
  <si>
    <t xml:space="preserve">Brooke Ballinger</t>
  </si>
  <si>
    <t xml:space="preserve">09-23</t>
  </si>
  <si>
    <t xml:space="preserve">Italy Newsletter</t>
  </si>
  <si>
    <t xml:space="preserve">Tommaso Maschera</t>
  </si>
  <si>
    <t xml:space="preserve">Plug and Play Marketing Communications</t>
  </si>
  <si>
    <t xml:space="preserve">08-06, 09-17</t>
  </si>
  <si>
    <t xml:space="preserve">UK Newsletter</t>
  </si>
  <si>
    <t xml:space="preserve">Kieran Borrett</t>
  </si>
  <si>
    <t xml:space="preserve">09-02, 09-30</t>
  </si>
  <si>
    <t xml:space="preserve">Global Newsletter (GNL)</t>
  </si>
  <si>
    <t xml:space="preserve">Jacky from Plug and Play</t>
  </si>
  <si>
    <t xml:space="preserve">Plug and Play Global Newsletter</t>
  </si>
  <si>
    <t xml:space="preserve">08-25, 08-25, 09-29</t>
  </si>
  <si>
    <t xml:space="preserve">Texas Newsletter</t>
  </si>
  <si>
    <t xml:space="preserve">Francis from Plug and Play</t>
  </si>
  <si>
    <t xml:space="preserve">08-26, 09-29</t>
  </si>
  <si>
    <t xml:space="preserve">Startup Autobahn Monthly</t>
  </si>
  <si>
    <t xml:space="preserve">STARTUP AUTOBAHN powered by Plug and Play</t>
  </si>
  <si>
    <t xml:space="preserve">Startup Autobahn Communications</t>
  </si>
  <si>
    <t xml:space="preserve">09-07</t>
  </si>
  <si>
    <t xml:space="preserve">Central Asia &amp; Caucasus Latest News</t>
  </si>
  <si>
    <t xml:space="preserve">Sofi from Plug and Play Central Asia and Caucasus</t>
  </si>
  <si>
    <t xml:space="preserve">09-04</t>
  </si>
  <si>
    <t xml:space="preserve">APAC Newsletter</t>
  </si>
  <si>
    <t xml:space="preserve">Plug and Play APAC</t>
  </si>
  <si>
    <t xml:space="preserve">08-19, 09-23</t>
  </si>
  <si>
    <t xml:space="preserve">Seattle Community Newsletter</t>
  </si>
  <si>
    <t xml:space="preserve">Emmanuel Chan</t>
  </si>
  <si>
    <t xml:space="preserve">09-01</t>
  </si>
  <si>
    <t xml:space="preserve">Indiana Medtech + Lifetech Newsletter</t>
  </si>
  <si>
    <t xml:space="preserve">Plug and Play Indiana</t>
  </si>
  <si>
    <t xml:space="preserve">09-18</t>
  </si>
  <si>
    <t xml:space="preserve">Türkiye Newsletter</t>
  </si>
  <si>
    <t xml:space="preserve">Zeynep from Plug and Play</t>
  </si>
  <si>
    <t xml:space="preserve">08-31</t>
  </si>
  <si>
    <t xml:space="preserve">Japan Newsletter</t>
  </si>
  <si>
    <t xml:space="preserve">Plug and Play Japan</t>
  </si>
  <si>
    <t xml:space="preserve">08-19, 09-02, 09-16, 09-30</t>
  </si>
  <si>
    <t xml:space="preserve">Foundation Newsletter</t>
  </si>
  <si>
    <t xml:space="preserve">Dominique Reese</t>
  </si>
  <si>
    <t xml:space="preserve">Plug and Play Foundation</t>
  </si>
  <si>
    <t xml:space="preserve">08-18</t>
  </si>
  <si>
    <t xml:space="preserve">Internal Newsletter</t>
  </si>
  <si>
    <t xml:space="preserve">Sanam Amidi</t>
  </si>
  <si>
    <t xml:space="preserve">Internal Plug and Play Communications</t>
  </si>
  <si>
    <t xml:space="preserve">08-31, 09-30</t>
  </si>
  <si>
    <t xml:space="preserve">Startup Autobahn Alumni Newsletter</t>
  </si>
  <si>
    <t xml:space="preserve">08-12</t>
  </si>
  <si>
    <t xml:space="preserve">Cyprus Latest News</t>
  </si>
  <si>
    <t xml:space="preserve">Victoria from Plug and Play Cyprus</t>
  </si>
  <si>
    <t xml:space="preserve">AgTech &amp; Animal Health Alumni/Mentor Newsletter</t>
  </si>
  <si>
    <t xml:space="preserve">Anne Gunden</t>
  </si>
  <si>
    <t xml:space="preserve">08-26</t>
  </si>
  <si>
    <t xml:space="preserve">Brand &amp; Retail (BRAM) Newsletter</t>
  </si>
  <si>
    <t xml:space="preserve">Plug and Play Brand and Retail</t>
  </si>
  <si>
    <t xml:space="preserve">Plug and Play Brand and Retail team, Plug and Play Information &amp; Services</t>
  </si>
  <si>
    <t xml:space="preserve">09-11, 09-11, 09-29</t>
  </si>
  <si>
    <t xml:space="preserve">Supply Chain (SLAM) Innovation Brief</t>
  </si>
  <si>
    <t xml:space="preserve">Plug and Play Supply Chain</t>
  </si>
  <si>
    <t xml:space="preserve">Plug and Play Information &amp; Services</t>
  </si>
  <si>
    <t xml:space="preserve">09-08</t>
  </si>
  <si>
    <t xml:space="preserve">UK Mobilise Monthly Update</t>
  </si>
  <si>
    <t xml:space="preserve">Adam McGuinness</t>
  </si>
  <si>
    <t xml:space="preserve">Plug and Play Events</t>
  </si>
  <si>
    <t xml:space="preserve">09-03</t>
  </si>
  <si>
    <t xml:space="preserve">Mentor Newsletters (Minnesota Sustainability &amp; NMP)</t>
  </si>
  <si>
    <t xml:space="preserve">Tabitha Mills</t>
  </si>
  <si>
    <t xml:space="preserve">09-03, 09-03</t>
  </si>
  <si>
    <t xml:space="preserve">Shamrock Foods Monthly Signal</t>
  </si>
  <si>
    <t xml:space="preserve">09-14</t>
  </si>
  <si>
    <t xml:space="preserve">Red = unsubscribe rate above HubSpot benchmark (0.35%). Send dates are MM-DD, 2026.</t>
  </si>
  <si>
    <t xml:space="preserve">All emails by number of recipients, 6 Aug – 30 Sep 2026</t>
  </si>
  <si>
    <t xml:space="preserve">Delivered per email</t>
  </si>
  <si>
    <t xml:space="preserve">Emails</t>
  </si>
  <si>
    <t xml:space="preserve">Fewer than 300</t>
  </si>
  <si>
    <t xml:space="preserve">300 – 4,999</t>
  </si>
  <si>
    <t xml:space="preserve">5,000 or more</t>
  </si>
  <si>
    <t xml:space="preserve">Total</t>
  </si>
  <si>
    <t xml:space="preserve">3 emails with the most bounces, 6 Aug – 30 Sep 2026</t>
  </si>
  <si>
    <t xml:space="preserve">Email</t>
  </si>
  <si>
    <t xml:space="preserve">Send date</t>
  </si>
  <si>
    <t xml:space="preserve">Bounces</t>
  </si>
  <si>
    <t xml:space="preserve">Share of all unsubscribes</t>
  </si>
  <si>
    <t xml:space="preserve">Share of all bounces</t>
  </si>
  <si>
    <t xml:space="preserve">JTP | JAP_Sansan List_Consent Mail_20260909</t>
  </si>
  <si>
    <t xml:space="preserve">2026-09-18</t>
  </si>
  <si>
    <t xml:space="preserve">Plug and Play's 2026 Corporate Partnership Survey - Third Batch</t>
  </si>
  <si>
    <t xml:space="preserve">2026-08-25</t>
  </si>
  <si>
    <t xml:space="preserve">FR_ALIBABA COCREATE STARUP EMAIL FINAL</t>
  </si>
  <si>
    <t xml:space="preserve">2026-08-17</t>
  </si>
  <si>
    <t xml:space="preserve">These 3 emails combined</t>
  </si>
  <si>
    <t xml:space="preserve">Location newsletters and subscription types</t>
  </si>
  <si>
    <t xml:space="preserve">Sources: Emails Aug-Sep tab; Settings › Marketing › Email › Subscriptions; HubSpot teams list (8 Oct 2026).</t>
  </si>
  <si>
    <t xml:space="preserve">Location</t>
  </si>
  <si>
    <t xml:space="preserve">Subscription type used</t>
  </si>
  <si>
    <t xml:space="preserve">Location's own subscription type</t>
  </si>
  <si>
    <t xml:space="preserve">Status of own type</t>
  </si>
  <si>
    <t xml:space="preserve">HubSpot team (users)</t>
  </si>
  <si>
    <t xml:space="preserve">UK</t>
  </si>
  <si>
    <t xml:space="preserve">Plug and Play UK Communications</t>
  </si>
  <si>
    <t xml:space="preserve">Archived</t>
  </si>
  <si>
    <t xml:space="preserve">London (3)</t>
  </si>
  <si>
    <t xml:space="preserve">Italy</t>
  </si>
  <si>
    <t xml:space="preserve">Plug and Play Italy (2 types)</t>
  </si>
  <si>
    <t xml:space="preserve">Italy (3), ITALY BD (2)</t>
  </si>
  <si>
    <t xml:space="preserve">Texas</t>
  </si>
  <si>
    <t xml:space="preserve">Plug and Play Texas</t>
  </si>
  <si>
    <t xml:space="preserve">Seattle</t>
  </si>
  <si>
    <t xml:space="preserve">Plug and Play Seattle</t>
  </si>
  <si>
    <t xml:space="preserve">Indiana</t>
  </si>
  <si>
    <t xml:space="preserve">Türkiye</t>
  </si>
  <si>
    <t xml:space="preserve">Plug and Play Istanbul Communications</t>
  </si>
  <si>
    <t xml:space="preserve">Istanbul (1)</t>
  </si>
  <si>
    <t xml:space="preserve">Central Asia &amp; Caucasus</t>
  </si>
  <si>
    <t xml:space="preserve">Plug and Play Central Asia &amp; Caucasus</t>
  </si>
  <si>
    <t xml:space="preserve">Kazakhstan (1)</t>
  </si>
  <si>
    <t xml:space="preserve">Cyprus</t>
  </si>
  <si>
    <t xml:space="preserve">None</t>
  </si>
  <si>
    <t xml:space="preserve">Japan</t>
  </si>
  <si>
    <t xml:space="preserve">Active</t>
  </si>
  <si>
    <t xml:space="preserve">Japan (32)</t>
  </si>
  <si>
    <t xml:space="preserve">APAC</t>
  </si>
  <si>
    <t xml:space="preserve">APAC (5)</t>
  </si>
  <si>
    <t xml:space="preserve">Contacts</t>
  </si>
  <si>
    <t xml:space="preserve">Source: HubSpot contact counts and Settings › Account &amp; Billing › Usage, 8 Oct 2026.</t>
  </si>
  <si>
    <t xml:space="preserve">Measure</t>
  </si>
  <si>
    <t xml:space="preserve">% of marketing contacts</t>
  </si>
  <si>
    <t xml:space="preserve">All contacts</t>
  </si>
  <si>
    <t xml:space="preserve">Marketing contacts (Marketing contact status = Marketing contact)</t>
  </si>
  <si>
    <t xml:space="preserve">Marketing contact tier</t>
  </si>
  <si>
    <t xml:space="preserve">Marketing contacts with no marketing email open or click in last 12 months (never opened/clicked included)</t>
  </si>
  <si>
    <t xml:space="preserve">Marketing contacts who never opened a marketing email</t>
  </si>
  <si>
    <t xml:space="preserve">Marketing contacts with known open/click dates, both older than 12 months</t>
  </si>
  <si>
    <t xml:space="preserve">Contacts who clicked a marketing email in last 12 months</t>
  </si>
  <si>
    <t xml:space="preserve">Contacts who clicked a marketing email in last 6 months</t>
  </si>
  <si>
    <t xml:space="preserve">Contacts with a bounce recorded (marketing emails bounced or hard bounce reason known)</t>
  </si>
  <si>
    <t xml:space="preserve">Contacts unsubscribed from all email</t>
  </si>
  <si>
    <t xml:space="preserve">Contacts scheduled to become non-marketing before 31 Oct 2026</t>
  </si>
  <si>
    <t xml:space="preserve">Marketing contacts who opened or clicked in last 12 months</t>
  </si>
  <si>
    <t xml:space="preserve">Marketing contacts left before the tier limit (and % of tier used)</t>
  </si>
  <si>
    <t xml:space="preserve">Next marketing contact update: 31 Oct 2026. Last billing date: 19 Sep 2026.</t>
  </si>
  <si>
    <t xml:space="preserve">Subscription types (95: 14 active, 81 archived)</t>
  </si>
  <si>
    <t xml:space="preserve">Source: Settings › Marketing › Email › Subscriptions, 8 Oct 2026. All on the default business unit.</t>
  </si>
  <si>
    <t xml:space="preserve">Name</t>
  </si>
  <si>
    <t xml:space="preserve">Description</t>
  </si>
  <si>
    <t xml:space="preserve">Status</t>
  </si>
  <si>
    <t xml:space="preserve">This newsletter is where we'll track what's actually happening across our fund, including partnerships going live, portfolio wins, and the shifts we're watching in fintech and AI.</t>
  </si>
  <si>
    <t xml:space="preserve">Internal updates and announcements for Plug and Play teams</t>
  </si>
  <si>
    <t xml:space="preserve">One to One</t>
  </si>
  <si>
    <t xml:space="preserve">One to One emails</t>
  </si>
  <si>
    <t xml:space="preserve">The latest news, event updates, and more about Plug and Play APAC in your inbox</t>
  </si>
  <si>
    <t xml:space="preserve">Plug and Play Brand and Retail team</t>
  </si>
  <si>
    <t xml:space="preserve">News, insights and events from Plug and Play Brand and Retail</t>
  </si>
  <si>
    <t xml:space="preserve">The latest event updates from Plug and Play in your inbox</t>
  </si>
  <si>
    <t xml:space="preserve">Latest updates and news from the Plug and Play Foundation</t>
  </si>
  <si>
    <t xml:space="preserve">The latest news, event updates, and more about Plug and Play in your inbox</t>
  </si>
  <si>
    <t xml:space="preserve">Information about programs and services from Plug and Play</t>
  </si>
  <si>
    <t xml:space="preserve">The latest news, event updates, and more about Plug and Play Japan in your inbox</t>
  </si>
  <si>
    <t xml:space="preserve">Plug and Play Los Angeles</t>
  </si>
  <si>
    <t xml:space="preserve">Los Angeles</t>
  </si>
  <si>
    <t xml:space="preserve">About our programs, events, news, investments, and industry content</t>
  </si>
  <si>
    <t xml:space="preserve">Plug and Play Travel and Hospitality Silicon Valley</t>
  </si>
  <si>
    <t xml:space="preserve">News, insights and events from Plug and Play Travel and Hospitality</t>
  </si>
  <si>
    <t xml:space="preserve">The latest news, event updates, and more about Startup Autobahn in your inbox</t>
  </si>
  <si>
    <t xml:space="preserve">Aerospace &amp; Defence Newsletter</t>
  </si>
  <si>
    <t xml:space="preserve">Industry focused information</t>
  </si>
  <si>
    <t xml:space="preserve">Agtech and Animal Health Newsletter</t>
  </si>
  <si>
    <t xml:space="preserve">Updates from our programs!</t>
  </si>
  <si>
    <t xml:space="preserve">Alumni Startups</t>
  </si>
  <si>
    <t xml:space="preserve">BRAM Alumni</t>
  </si>
  <si>
    <t xml:space="preserve">BRAM</t>
  </si>
  <si>
    <t xml:space="preserve">Brand &amp; Retail Mentor Newsletter</t>
  </si>
  <si>
    <t xml:space="preserve">CIRCUL-A-THON</t>
  </si>
  <si>
    <t xml:space="preserve">CIRCUL-A-THON communication</t>
  </si>
  <si>
    <t xml:space="preserve">Customer Service Communication</t>
  </si>
  <si>
    <t xml:space="preserve">Receive feedback requests and customer service information.</t>
  </si>
  <si>
    <t xml:space="preserve">Deeptech Newsletter</t>
  </si>
  <si>
    <t xml:space="preserve">Energy Mentor Newsletter</t>
  </si>
  <si>
    <t xml:space="preserve">Updates on batch companies and upcoming events!</t>
  </si>
  <si>
    <t xml:space="preserve">Enterprise &amp; AI Newsletter</t>
  </si>
  <si>
    <t xml:space="preserve">Events</t>
  </si>
  <si>
    <t xml:space="preserve">Updates and announcements of Plug and Play's events!</t>
  </si>
  <si>
    <t xml:space="preserve">Financial Services Newsletter</t>
  </si>
  <si>
    <t xml:space="preserve">GIGA Communications</t>
  </si>
  <si>
    <t xml:space="preserve">Communication to startups from the Giga Accelerator programme</t>
  </si>
  <si>
    <t xml:space="preserve">Health Newsletter</t>
  </si>
  <si>
    <t xml:space="preserve">Industry Newsletters</t>
  </si>
  <si>
    <t xml:space="preserve">The latest on the most innovative industries in your inbox</t>
  </si>
  <si>
    <r>
      <rPr>
        <sz val="10"/>
        <color rgb="FF000000"/>
        <rFont val="Arial"/>
        <family val="0"/>
        <charset val="1"/>
      </rPr>
      <t xml:space="preserve">JTP | JAP_</t>
    </r>
    <r>
      <rPr>
        <sz val="10"/>
        <color rgb="FF000000"/>
        <rFont val="WenQuanYi Zen Hei"/>
        <family val="2"/>
      </rPr>
      <t xml:space="preserve">導入事例 </t>
    </r>
    <r>
      <rPr>
        <sz val="10"/>
        <color rgb="FF000000"/>
        <rFont val="Arial"/>
        <family val="0"/>
        <charset val="1"/>
      </rPr>
      <t xml:space="preserve">Subscription (English - United States)</t>
    </r>
  </si>
  <si>
    <t xml:space="preserve">Receive timely updates with the latest blog posts.</t>
  </si>
  <si>
    <t xml:space="preserve">LA Innovates</t>
  </si>
  <si>
    <t xml:space="preserve">Master Email List - Indian Tech Network</t>
  </si>
  <si>
    <t xml:space="preserve">Mi Subscription Type _ DEMO</t>
  </si>
  <si>
    <t xml:space="preserve">Esto es una demo de Andrea</t>
  </si>
  <si>
    <t xml:space="preserve">Motor Valley Accelerator Communications</t>
  </si>
  <si>
    <t xml:space="preserve">The latest news, event updates, and more about Motor Valley Accelerator in your inbox</t>
  </si>
  <si>
    <t xml:space="preserve">Plug and Play - CaixaBank Newsletter</t>
  </si>
  <si>
    <t xml:space="preserve">Caixa monthly: Fintech news and updates, portfolio startups and dealflow generation</t>
  </si>
  <si>
    <t xml:space="preserve">Plug and Play Africa</t>
  </si>
  <si>
    <t xml:space="preserve">News, updates and announcements from Plug and Play Africa</t>
  </si>
  <si>
    <t xml:space="preserve">Plug and Play Africa Communications</t>
  </si>
  <si>
    <t xml:space="preserve">The latest news, event updates, and more about Plug and Play Africa in your inbox</t>
  </si>
  <si>
    <t xml:space="preserve">Plug and Play Alberta Health Program</t>
  </si>
  <si>
    <t xml:space="preserve">Program-related communications for batch companies</t>
  </si>
  <si>
    <t xml:space="preserve">Plug and Play Alberta Sector Agnostic</t>
  </si>
  <si>
    <t xml:space="preserve">Alberta Sector Agnostic Update</t>
  </si>
  <si>
    <t xml:space="preserve">Plug and Play Arizona</t>
  </si>
  <si>
    <t xml:space="preserve">Full list of Arizona contacts that are invited to events</t>
  </si>
  <si>
    <t xml:space="preserve">Plug and Play Austria</t>
  </si>
  <si>
    <t xml:space="preserve">Updates on the lates news and events from Plug and Play Vienna</t>
  </si>
  <si>
    <t xml:space="preserve">Plug and Play Brazil Communications</t>
  </si>
  <si>
    <t xml:space="preserve">Receba Nossa notícias todos os meses!</t>
  </si>
  <si>
    <t xml:space="preserve">Plug and Play Canada Communications</t>
  </si>
  <si>
    <t xml:space="preserve">The latest news, event updates, and more about Plug and Play Canada in your inbox</t>
  </si>
  <si>
    <t xml:space="preserve">Plug and Play Cedar Park</t>
  </si>
  <si>
    <t xml:space="preserve">Insights from the Plug and Play Cedar Park-Austin Hub</t>
  </si>
  <si>
    <t xml:space="preserve">Latest news, programs, events, and opportunities in the region!</t>
  </si>
  <si>
    <t xml:space="preserve">Plug and Play Fintech Spain</t>
  </si>
  <si>
    <t xml:space="preserve">Fintech News and Events</t>
  </si>
  <si>
    <t xml:space="preserve">Plug and Play Florida</t>
  </si>
  <si>
    <t xml:space="preserve">Florida Communications</t>
  </si>
  <si>
    <t xml:space="preserve">Plug and Play Foodtech SV</t>
  </si>
  <si>
    <t xml:space="preserve">Plug and Play France</t>
  </si>
  <si>
    <t xml:space="preserve">The latest news, event updates, and more about Plug and Play France in your inbox</t>
  </si>
  <si>
    <t xml:space="preserve">Plug and Play Frankfurt</t>
  </si>
  <si>
    <t xml:space="preserve">The latest news, event updates, and more about Plug and Play Frankfurt in your inbox</t>
  </si>
  <si>
    <t xml:space="preserve">Plug and Play GOAL</t>
  </si>
  <si>
    <t xml:space="preserve">Plug and Play GOAL (Global Overseas Acceleration &amp; Learning)</t>
  </si>
  <si>
    <t xml:space="preserve">Newsletter for Plug and Play GOAL Community</t>
  </si>
  <si>
    <t xml:space="preserve">Plug and Play Hamburg</t>
  </si>
  <si>
    <t xml:space="preserve">Updates, news and announcements from Plug and Play Hamburg</t>
  </si>
  <si>
    <t xml:space="preserve">Plug and Play Hamburg Communications</t>
  </si>
  <si>
    <t xml:space="preserve">The latest news, event updates, and more about Plug and Play Hamburg in your inbox</t>
  </si>
  <si>
    <t xml:space="preserve">The latest news, event updates, and more about Plug and Play Indiana in your inbox</t>
  </si>
  <si>
    <t xml:space="preserve">Email | Plug and Play Istanbul Communications The latest news, event updates, and more about Plug and Play Istanbul in your inbox</t>
  </si>
  <si>
    <t xml:space="preserve">Plug and Play IT</t>
  </si>
  <si>
    <t xml:space="preserve">Information technology</t>
  </si>
  <si>
    <t xml:space="preserve">Plug and Play Italy</t>
  </si>
  <si>
    <t xml:space="preserve">News, updates and announcements from Plug and Play Italy</t>
  </si>
  <si>
    <t xml:space="preserve">Plug and Play Italy (2nd)</t>
  </si>
  <si>
    <t xml:space="preserve">The latest news, event updates, and more about Plug and Play Italy in your inbox</t>
  </si>
  <si>
    <t xml:space="preserve">Plug and Play LA Japan Event 9/24</t>
  </si>
  <si>
    <t xml:space="preserve">JETRO Cohort 2025</t>
  </si>
  <si>
    <t xml:space="preserve">Plug and Play Lifetech</t>
  </si>
  <si>
    <t xml:space="preserve">A newsletter focused on news, events, and updates for our Lifetech program</t>
  </si>
  <si>
    <t xml:space="preserve">Plug and Play Lithuania</t>
  </si>
  <si>
    <t xml:space="preserve">Communications &amp; Events</t>
  </si>
  <si>
    <t xml:space="preserve">Plug and Play Maritime Communications</t>
  </si>
  <si>
    <t xml:space="preserve">The latest news, event updates, and more about Plug and Play Maritime in your inbox</t>
  </si>
  <si>
    <t xml:space="preserve">Plug and Play Middle East Communications</t>
  </si>
  <si>
    <t xml:space="preserve">The latest news, event updates, and more about Plug and Play Middle East in your inbox</t>
  </si>
  <si>
    <t xml:space="preserve">Plug and Play Mobility</t>
  </si>
  <si>
    <t xml:space="preserve">Accelerator Program | Batch Startups | Weekly Emails</t>
  </si>
  <si>
    <t xml:space="preserve">Plug and Play Morocco</t>
  </si>
  <si>
    <t xml:space="preserve">Latest news, events &amp; opps</t>
  </si>
  <si>
    <t xml:space="preserve">Plug and Play Munich</t>
  </si>
  <si>
    <t xml:space="preserve">The latest news, event updates, and more about Plug and Play Munich in your inbox</t>
  </si>
  <si>
    <t xml:space="preserve">Plug and Play Munich Communications</t>
  </si>
  <si>
    <t xml:space="preserve">Plug and Play NeoCity</t>
  </si>
  <si>
    <t xml:space="preserve">Semiconductors</t>
  </si>
  <si>
    <t xml:space="preserve">Plug and Play New Jersey</t>
  </si>
  <si>
    <t xml:space="preserve">Information, events, updates</t>
  </si>
  <si>
    <t xml:space="preserve">Communications, news and updates from PNPTC Seattle</t>
  </si>
  <si>
    <t xml:space="preserve">Plug and Play Spain</t>
  </si>
  <si>
    <t xml:space="preserve">Email | Plug and Play Spain Communications The latest news, event updates, and more about Plug and Play Spain in your inbox</t>
  </si>
  <si>
    <t xml:space="preserve">Supply Chain and Advanced Manufacturing communications and updates</t>
  </si>
  <si>
    <t xml:space="preserve">Plug and Play Switzerland Communications</t>
  </si>
  <si>
    <t xml:space="preserve">The latest news, event updates, and more about Plug and Play Switzerland in your inbox</t>
  </si>
  <si>
    <t xml:space="preserve">Insights and Updates from Plug and Play Texas</t>
  </si>
  <si>
    <t xml:space="preserve">Plug and Play Topeka</t>
  </si>
  <si>
    <t xml:space="preserve">Alumni Mentor Newsletter</t>
  </si>
  <si>
    <t xml:space="preserve">Plug and Play UAE</t>
  </si>
  <si>
    <t xml:space="preserve">News, updates and announcements from Plug and Play UAE</t>
  </si>
  <si>
    <t xml:space="preserve">The latest news, event updates, and more about Plug and Play UK in your inbox</t>
  </si>
  <si>
    <t xml:space="preserve">Plug and Play Vienna Communications</t>
  </si>
  <si>
    <t xml:space="preserve">The latest news, event updates, and more about Plug and Play Vienna in your inbox</t>
  </si>
  <si>
    <t xml:space="preserve">Plug and Play Warsaw</t>
  </si>
  <si>
    <t xml:space="preserve">Newsletter for those interested in keeping in touch with Plug and Play Warsaw's events, innovative medtech startups, and more.</t>
  </si>
  <si>
    <t xml:space="preserve">PNP University Sessions</t>
  </si>
  <si>
    <t xml:space="preserve">We invite founders from a specific university every week to pitch their startup in front of 100+ VCs and corp. partners.</t>
  </si>
  <si>
    <t xml:space="preserve">Retail &amp; Media Newsletter</t>
  </si>
  <si>
    <t xml:space="preserve">Information about Brand &amp; Retail and Media &amp; Ad</t>
  </si>
  <si>
    <t xml:space="preserve">Semiconductors Newsletter</t>
  </si>
  <si>
    <t xml:space="preserve">ShelterTech sub-Saharan Africa Accelerator</t>
  </si>
  <si>
    <t xml:space="preserve">The latest news, updates and more from Habitat For Humanity and Plug and Play's ShelterTech Accelerator in sub-Saharan Africa</t>
  </si>
  <si>
    <t xml:space="preserve">Smart Cities Newsletter</t>
  </si>
  <si>
    <t xml:space="preserve">Sportstech Newsletter</t>
  </si>
  <si>
    <t xml:space="preserve">Startup Creasphere Communications</t>
  </si>
  <si>
    <t xml:space="preserve">The latest news, event updates, and more about Startup Creasphere in your inbox</t>
  </si>
  <si>
    <t xml:space="preserve">Supply Chain and Maritime Newsletter</t>
  </si>
  <si>
    <t xml:space="preserve">Sustainability Newsletter</t>
  </si>
  <si>
    <t xml:space="preserve">SV Energy Alumni</t>
  </si>
  <si>
    <t xml:space="preserve">- Energy program alumni</t>
  </si>
  <si>
    <t xml:space="preserve">SV Japanese Corporate Partnerships</t>
  </si>
  <si>
    <t xml:space="preserve">Newsletter for SV Japanese Corporate Partners</t>
  </si>
  <si>
    <t xml:space="preserve">TakeOff Communications</t>
  </si>
  <si>
    <t xml:space="preserve">The latest news, event updates, and more about Take Off Accelerator in your inbox</t>
  </si>
  <si>
    <t xml:space="preserve">Takeoff Expo</t>
  </si>
  <si>
    <t xml:space="preserve">Invitation &amp; more - Takeoff Expo</t>
  </si>
  <si>
    <t xml:space="preserve">Travel Newsletter</t>
  </si>
  <si>
    <t xml:space="preserve">University Pitch Session Americas</t>
  </si>
  <si>
    <t xml:space="preserve">30 startups from different universities pitch every Wednesday</t>
  </si>
  <si>
    <t xml:space="preserve">Subscription settings</t>
  </si>
  <si>
    <t xml:space="preserve">Unsubscribe feedback survey</t>
  </si>
  <si>
    <t xml:space="preserve">OFF</t>
  </si>
  <si>
    <t xml:space="preserve">Resubscription email</t>
  </si>
  <si>
    <t xml:space="preserve">Don't send to unengaged contacts</t>
  </si>
  <si>
    <t xml:space="preserve">ON</t>
  </si>
  <si>
    <t xml:space="preserve">Compliance BCC</t>
  </si>
  <si>
    <t xml:space="preserve">Active subscription types (count)</t>
  </si>
  <si>
    <t xml:space="preserve">Archived subscription types (count)</t>
  </si>
  <si>
    <t xml:space="preserve">Workflows with a 'Send email' action (309)</t>
  </si>
  <si>
    <t xml:space="preserve">Source: Automation › Workflows, 8 Oct 2026.</t>
  </si>
  <si>
    <t xml:space="preserve">Workflow</t>
  </si>
  <si>
    <t xml:space="preserve">Currently enrolled</t>
  </si>
  <si>
    <t xml:space="preserve">Last updated</t>
  </si>
  <si>
    <t xml:space="preserve">ON and last updated before 2024</t>
  </si>
  <si>
    <t xml:space="preserve">LNS - RFI - 2025</t>
  </si>
  <si>
    <t xml:space="preserve">On</t>
  </si>
  <si>
    <t xml:space="preserve">2026-09-03</t>
  </si>
  <si>
    <t xml:space="preserve">IA - CDW - EAI - Report - The Ultimate AI Playbook</t>
  </si>
  <si>
    <t xml:space="preserve">2026-03-09</t>
  </si>
  <si>
    <t xml:space="preserve">GNL reactivation campaign</t>
  </si>
  <si>
    <t xml:space="preserve">2026-04-09</t>
  </si>
  <si>
    <t xml:space="preserve">IA - CDW - EGY - Report - Energizing AI: A Deep Dive Into the Data Center Energy Value Chain</t>
  </si>
  <si>
    <t xml:space="preserve">2026-09-23</t>
  </si>
  <si>
    <t xml:space="preserve">IA - CDW - AI Survey Report</t>
  </si>
  <si>
    <t xml:space="preserve">2026-09-22</t>
  </si>
  <si>
    <t xml:space="preserve">Send a follow-up email after form submission</t>
  </si>
  <si>
    <t xml:space="preserve">2026-09-09</t>
  </si>
  <si>
    <t xml:space="preserve">JAP \| JTP_Japan Summit Inquiry</t>
  </si>
  <si>
    <t xml:space="preserve">2026-07-29</t>
  </si>
  <si>
    <t xml:space="preserve">IA - CDW - EGY - Report - Secure Systems: Building Resilient Energy Infrastructure</t>
  </si>
  <si>
    <t xml:space="preserve">2026-07-09</t>
  </si>
  <si>
    <t xml:space="preserve">IA - CDW - Innovation Assessment Report</t>
  </si>
  <si>
    <t xml:space="preserve">2026-07-06</t>
  </si>
  <si>
    <t xml:space="preserve">IA - CDW - EAI - Report - The AI-Enabled Waste Recovery Opportunity</t>
  </si>
  <si>
    <t xml:space="preserve">2026-07-02</t>
  </si>
  <si>
    <t xml:space="preserve">JAP \| JTP_Resource Download Thanks Mail_Trend Report</t>
  </si>
  <si>
    <t xml:space="preserve">2026-06-16</t>
  </si>
  <si>
    <t xml:space="preserve">JAP \| JTP_Resource Download Thanks Mail_Company Report</t>
  </si>
  <si>
    <t xml:space="preserve">JAP \| JTP_Resource Download Thanks Mail_Case Study</t>
  </si>
  <si>
    <t xml:space="preserve">JAP_Contact Form (Salesforce \| Corporate)</t>
  </si>
  <si>
    <t xml:space="preserve">IA - CDW - SMC - Report - The Intelligence Layer Teaser</t>
  </si>
  <si>
    <t xml:space="preserve">2026-06-11</t>
  </si>
  <si>
    <t xml:space="preserve">TyE - CFA - EGT - GIZ Venture Ready</t>
  </si>
  <si>
    <t xml:space="preserve">2026-04-30</t>
  </si>
  <si>
    <t xml:space="preserve">TyE - CFA - EGT - Cairo Program 2026</t>
  </si>
  <si>
    <t xml:space="preserve">IA - CDW - LITH - Report - Startup Lithuania \| Batches 1–5 Report</t>
  </si>
  <si>
    <t xml:space="preserve">2026-04-16</t>
  </si>
  <si>
    <t xml:space="preserve">IA - CDW - FIN - Report - French AI Startups to Watch in 2026 According to 16 VCs</t>
  </si>
  <si>
    <t xml:space="preserve">2026-04-03</t>
  </si>
  <si>
    <t xml:space="preserve">JAP_VR_F&amp;B2022</t>
  </si>
  <si>
    <t xml:space="preserve">2026-02-27</t>
  </si>
  <si>
    <t xml:space="preserve">JAP_VR_Energy2022</t>
  </si>
  <si>
    <t xml:space="preserve">JAP_VR_Fintech2022</t>
  </si>
  <si>
    <t xml:space="preserve">JAP_VR_Insurtech2022</t>
  </si>
  <si>
    <t xml:space="preserve">JAP_VR_Carbon neutrality</t>
  </si>
  <si>
    <t xml:space="preserve">JAP_Open Innovation</t>
  </si>
  <si>
    <t xml:space="preserve">JAP_VR_Health2022</t>
  </si>
  <si>
    <t xml:space="preserve">JAP_Unicorn Report 2022</t>
  </si>
  <si>
    <t xml:space="preserve">JAP_VR_Mobility2023</t>
  </si>
  <si>
    <t xml:space="preserve">JAP_CompanyReport2022</t>
  </si>
  <si>
    <t xml:space="preserve">JAP_VR_Space</t>
  </si>
  <si>
    <t xml:space="preserve">JAP_VR_F&amp;B_23</t>
  </si>
  <si>
    <t xml:space="preserve">JAP_VTE_Circular Economy</t>
  </si>
  <si>
    <t xml:space="preserve">JAP_VR_Fintech_23</t>
  </si>
  <si>
    <t xml:space="preserve">JAP_Insurtech2024</t>
  </si>
  <si>
    <t xml:space="preserve">JAP_CompanyReport2023</t>
  </si>
  <si>
    <t xml:space="preserve">JAP_CaseStudy_GlobalCaseStudy</t>
  </si>
  <si>
    <t xml:space="preserve">JAP_CaseStudy_Suzuki-Self</t>
  </si>
  <si>
    <t xml:space="preserve">JAP_CaseStudy_JRTokai-Resonai</t>
  </si>
  <si>
    <t xml:space="preserve">JAP_CaseStudy_JPower-ACES</t>
  </si>
  <si>
    <t xml:space="preserve">JAP_CaseStudy_Kintetsu-PLEN</t>
  </si>
  <si>
    <t xml:space="preserve">JAP_CaseStudy_PLEN-Rimtech</t>
  </si>
  <si>
    <t xml:space="preserve">JAP_CaseStudy_Suzuki-CommerceAI</t>
  </si>
  <si>
    <t xml:space="preserve">JAP_CaseStudy_Kyocera-LO3Energy</t>
  </si>
  <si>
    <t xml:space="preserve">JAP_CaseStudy_Flora-Toyobo</t>
  </si>
  <si>
    <t xml:space="preserve">JAP_CaseStudy_nehan-JR</t>
  </si>
  <si>
    <t xml:space="preserve">JAP_CaseStudy_Varinos-famione-dentsu</t>
  </si>
  <si>
    <t xml:space="preserve">JAP_CaseStudy_Solarduck-Tokyu</t>
  </si>
  <si>
    <t xml:space="preserve">JAP_CaseStudy_SMBC</t>
  </si>
  <si>
    <t xml:space="preserve">JAP_eBook_StartupSchool_Series1</t>
  </si>
  <si>
    <t xml:space="preserve">JAP_eBook_Femtech</t>
  </si>
  <si>
    <t xml:space="preserve">JTP \| JAP_Case Study_Global Case Study 2024-2025</t>
  </si>
  <si>
    <t xml:space="preserve">JAP_Fintech Payment Report 2024_eBook</t>
  </si>
  <si>
    <t xml:space="preserve">JAP_Company Performance Report 2024_eBook</t>
  </si>
  <si>
    <t xml:space="preserve">JAP_Carveout_eBook</t>
  </si>
  <si>
    <t xml:space="preserve">JAP_Mobility_Consortium_eBook</t>
  </si>
  <si>
    <t xml:space="preserve">JAP_C&amp;I Energy Supply Infrastructure Report</t>
  </si>
  <si>
    <t xml:space="preserve">JAP_Fintech Megatrends_eBook</t>
  </si>
  <si>
    <t xml:space="preserve">IA - CDW - JPN - Report - Japan's Fintech Future — 2026 Market Trends</t>
  </si>
  <si>
    <t xml:space="preserve">2026-02-26</t>
  </si>
  <si>
    <t xml:space="preserve">JAP_VT Trend Report 2026_Ventures</t>
  </si>
  <si>
    <t xml:space="preserve">2026-02-19</t>
  </si>
  <si>
    <t xml:space="preserve">IA - CDW - 20 Year Anniversary Book</t>
  </si>
  <si>
    <t xml:space="preserve">2026-01-29</t>
  </si>
  <si>
    <t xml:space="preserve">JAP_Insurtech2024 (En)</t>
  </si>
  <si>
    <t xml:space="preserve">2026-01-23</t>
  </si>
  <si>
    <t xml:space="preserve">JAP_CaseStudy_Plug and Play Japan_All</t>
  </si>
  <si>
    <t xml:space="preserve">JAP_eBook_Materials for Sustainable Future</t>
  </si>
  <si>
    <t xml:space="preserve">JAP_Ebook_Insurtech Ebook</t>
  </si>
  <si>
    <t xml:space="preserve">JAP_Company Report 2021_JA</t>
  </si>
  <si>
    <t xml:space="preserve">JAP_Company Report 2021</t>
  </si>
  <si>
    <t xml:space="preserve">JAP_Ebook_Smart Cities Ebook</t>
  </si>
  <si>
    <t xml:space="preserve">IA - CDW - CPR - Company Performance Report 2025</t>
  </si>
  <si>
    <t xml:space="preserve">2026-01-22</t>
  </si>
  <si>
    <t xml:space="preserve">IA - CDW - AI - Video - The Ultimate Enterprise AI Trend Report</t>
  </si>
  <si>
    <t xml:space="preserve">2025-12-11</t>
  </si>
  <si>
    <t xml:space="preserve">IA - CDW - SPC - Report - Humanoid Robotics Teaser Reoprt</t>
  </si>
  <si>
    <t xml:space="preserve">2025-12-03</t>
  </si>
  <si>
    <t xml:space="preserve">IA - CDW - HLT - Report - Our Health Program \| 2025 Overview</t>
  </si>
  <si>
    <t xml:space="preserve">2025-12-02</t>
  </si>
  <si>
    <t xml:space="preserve">JTP_Thank You - Speak to our experts</t>
  </si>
  <si>
    <t xml:space="preserve">2025-11-27</t>
  </si>
  <si>
    <t xml:space="preserve">IA - CDW - Supply Chain Annual Report 2025</t>
  </si>
  <si>
    <t xml:space="preserve">2025-11-18</t>
  </si>
  <si>
    <t xml:space="preserve">IA - CDW - EGY Spain Grid</t>
  </si>
  <si>
    <t xml:space="preserve">2025-10-28</t>
  </si>
  <si>
    <t xml:space="preserve">IA - CDW - SUS -  Ebook - Building Monitoring &amp; Decarbonization in Buildings</t>
  </si>
  <si>
    <t xml:space="preserve">2025-10-23</t>
  </si>
  <si>
    <t xml:space="preserve">JAP_Plug and Play Japan Innovation Services</t>
  </si>
  <si>
    <t xml:space="preserve">2025-10-09</t>
  </si>
  <si>
    <t xml:space="preserve">IA - CDW - EAI -  Ebook - How Embedded AI Robotics is Transforming Industries &amp; Daily Life</t>
  </si>
  <si>
    <t xml:space="preserve">2025-10-02</t>
  </si>
  <si>
    <t xml:space="preserve">Quiz Archetype 2_The Traditionalist</t>
  </si>
  <si>
    <t xml:space="preserve">Quiz Archetype 1_Stuck in Status Quo</t>
  </si>
  <si>
    <t xml:space="preserve">JAP_Summit_eventbrite Form</t>
  </si>
  <si>
    <t xml:space="preserve">2025-09-11</t>
  </si>
  <si>
    <t xml:space="preserve">IA - CDW - MOB - Case Study - The ZF &amp; Synop Success Story</t>
  </si>
  <si>
    <t xml:space="preserve">2025-08-21</t>
  </si>
  <si>
    <t xml:space="preserve">IA - CDW - HTH - Ebook - Sustainable Solutions for a Healthier Healthcare System</t>
  </si>
  <si>
    <t xml:space="preserve">2025-08-20</t>
  </si>
  <si>
    <t xml:space="preserve">IA - CDW - IOT - Report - The Quantum Leap: Transforming Industries With Emerging Tech</t>
  </si>
  <si>
    <t xml:space="preserve">2025-08-15</t>
  </si>
  <si>
    <t xml:space="preserve">Quiz Archetype 4_The Disruptor</t>
  </si>
  <si>
    <t xml:space="preserve">2025-08-12</t>
  </si>
  <si>
    <t xml:space="preserve">Quiz Archetype 3_The Experimenter</t>
  </si>
  <si>
    <t xml:space="preserve">IA - CDW - TVL - Ebook - The State of Travel &amp; Hospitality Innovation</t>
  </si>
  <si>
    <t xml:space="preserve">2025-07-29</t>
  </si>
  <si>
    <t xml:space="preserve">IA - CDW - FIN - Report - MegaTrends in Financial Services 2025</t>
  </si>
  <si>
    <t xml:space="preserve">2025-07-10</t>
  </si>
  <si>
    <t xml:space="preserve">IA - CDW - TVL - Case Study - Lima Airport (Fraport) x FacilityBot</t>
  </si>
  <si>
    <t xml:space="preserve">2025-07-03</t>
  </si>
  <si>
    <t xml:space="preserve">IA - CDW - SLAM - Ebook - Exploring Advanced Materials &amp; Automation in Manufacturing</t>
  </si>
  <si>
    <t xml:space="preserve">2025-06-25</t>
  </si>
  <si>
    <t xml:space="preserve">IA - CDW - Ebook - Startup Funding Playbook</t>
  </si>
  <si>
    <t xml:space="preserve">2025-06-24</t>
  </si>
  <si>
    <t xml:space="preserve">IA - CDW - Ebook - Texas Story</t>
  </si>
  <si>
    <t xml:space="preserve">2025-06-10</t>
  </si>
  <si>
    <t xml:space="preserve">IA - CDW - Ebook - Our Story So Far...</t>
  </si>
  <si>
    <t xml:space="preserve">IA - CDW - SPC - Ebook - Solutions for Supply Chain Management \| 2025 Collections</t>
  </si>
  <si>
    <t xml:space="preserve">2025-06-06</t>
  </si>
  <si>
    <t xml:space="preserve">IA - CDW - SPC - Case Study - The Success Story of Mitsubishi Electric x Kamet AI</t>
  </si>
  <si>
    <t xml:space="preserve">JAP_Contact From_Startups</t>
  </si>
  <si>
    <t xml:space="preserve">2025-05-20</t>
  </si>
  <si>
    <t xml:space="preserve">IA - CDW - TVL - Case Study - The Success Story of iGA Istanbul Airport x DELIVERS.AI</t>
  </si>
  <si>
    <t xml:space="preserve">2025-05-07</t>
  </si>
  <si>
    <t xml:space="preserve">IA - CDW - TVL - Case Study - The Success Story of Fraport AG x Prewave</t>
  </si>
  <si>
    <t xml:space="preserve">2025-04-27</t>
  </si>
  <si>
    <t xml:space="preserve">JAP_SUTEAM 2025</t>
  </si>
  <si>
    <t xml:space="preserve">IA - CDW - INS - Case Study - The Success Story of Aflac Ventures x Lazarus AI</t>
  </si>
  <si>
    <t xml:space="preserve">IA - CDW - SLAM - Collection 3 Startups List (April 2025)</t>
  </si>
  <si>
    <t xml:space="preserve">IA - CDW - INS - Video - Transforming Insurance at Selection Day</t>
  </si>
  <si>
    <t xml:space="preserve">IA - CDW - INS - Video - Natural Catastrophe Session</t>
  </si>
  <si>
    <t xml:space="preserve">IA - CDW - TVL - Case Study - The Success Story of Vienna Airport x Cartken</t>
  </si>
  <si>
    <t xml:space="preserve">IA - CDW - BRT - Report - The Future of Commerce</t>
  </si>
  <si>
    <t xml:space="preserve">IA - CDW - CPR - Company Performance Report 2024</t>
  </si>
  <si>
    <t xml:space="preserve">IA - CDW - CAS - Ebook - A Launchpad for Success: Inside the CASSINI Business Accelerator's Achievements</t>
  </si>
  <si>
    <t xml:space="preserve">IA - CDW - SLAM - Collection 1 Startups List (January 2025)</t>
  </si>
  <si>
    <t xml:space="preserve">IA - CDW -TVL - Ebook - Robotics in Aviation</t>
  </si>
  <si>
    <t xml:space="preserve">IA - CDW - FIN - Report - The Future of Banking</t>
  </si>
  <si>
    <t xml:space="preserve">IA - CDW - Innovation Academy</t>
  </si>
  <si>
    <t xml:space="preserve">IA - CDW -INS - Ebook - The State of AI in the Insurance Industry</t>
  </si>
  <si>
    <t xml:space="preserve">IA - CDW - GEN - Report - Investment Portfolio</t>
  </si>
  <si>
    <t xml:space="preserve">IA - CDW - SUS - Ebook - Revealing the Water and Energy Consumption of Data Centers</t>
  </si>
  <si>
    <t xml:space="preserve">IA - CDW - TAK - Ebook - From Concept to Capital: How Takeoff Accelerator Boosts Startups</t>
  </si>
  <si>
    <t xml:space="preserve">IA - CDW - SLAM - Ebook - Supply Chain Logistics &amp; Advanced Manufacturing Report</t>
  </si>
  <si>
    <t xml:space="preserve">IA - CDW - TVL - Report - Gen AI in Travel</t>
  </si>
  <si>
    <t xml:space="preserve">IA - CDW - INS - Ebook - AI for Insurance Trends</t>
  </si>
  <si>
    <t xml:space="preserve">IA - CDW - UNIV - Ebook - Innovation for Universities</t>
  </si>
  <si>
    <t xml:space="preserve">IA - CDW - FIN - Payment Ecosystem Report 2024</t>
  </si>
  <si>
    <t xml:space="preserve">IA - CDW - Report - 15-Year Anniversary Book</t>
  </si>
  <si>
    <t xml:space="preserve">JAP_JAP_Batch Application (WS25)</t>
  </si>
  <si>
    <t xml:space="preserve">IA - CDW - GOT - Nordics Startup Report 2024</t>
  </si>
  <si>
    <t xml:space="preserve">IA - CDW - MOB - The Success Story of Koito and Cepton</t>
  </si>
  <si>
    <t xml:space="preserve">IA - CDW - MOB - The Success Story of BASF, Motherson, and Porsche</t>
  </si>
  <si>
    <t xml:space="preserve">IA - CDW - FIN - The Success Story of Banco BRB and Cashbanx</t>
  </si>
  <si>
    <t xml:space="preserve">IA - CDW - The Success Story of Grupo Bolivar and TytoCare</t>
  </si>
  <si>
    <t xml:space="preserve">IA - CDW - DPT - The Success Story of Fujitsu and MoBagel</t>
  </si>
  <si>
    <t xml:space="preserve">IA - CDW - ITA - MVA - Driving Innovation in Mobility: The Motor Valley Accelerator Success Story</t>
  </si>
  <si>
    <t xml:space="preserve">IA - CDW - TVL - The Success Story of Aeroporti Di Roma and Ottonomy</t>
  </si>
  <si>
    <t xml:space="preserve">IA - CDW - BRZ - Ebook - Fintech Innovation in Latin America</t>
  </si>
  <si>
    <t xml:space="preserve">Registration Confirmation: Investing in Tomorrow \| Advancing Technology &amp; Society</t>
  </si>
  <si>
    <t xml:space="preserve">IA - CDW - MAR - The Success Story of IINO and Greywing</t>
  </si>
  <si>
    <t xml:space="preserve">IA - CDW - GEN - Ebook - Unleashing the Future: AI Innovation Reshaping Industries Today</t>
  </si>
  <si>
    <t xml:space="preserve">IA - CDW - SUS - Ebook - Climate Fintech</t>
  </si>
  <si>
    <t xml:space="preserve">IA - CDW - FIN - Ebook - Embedded Finance</t>
  </si>
  <si>
    <t xml:space="preserve">IA - CDW - The Success Story of Banco BRB and Plug and Play</t>
  </si>
  <si>
    <t xml:space="preserve">IA - CDW - HYD - Ebook - Hydrogen Report</t>
  </si>
  <si>
    <t xml:space="preserve">IA - CDW - Fintech Megatrends 2024 report</t>
  </si>
  <si>
    <t xml:space="preserve">IA - CDW - DPT - Case Study - The Success Story of Ooredoo and Quantive</t>
  </si>
  <si>
    <t xml:space="preserve">IA - CDW - JAP - Ebook - Achieving Circular Economy through Open Innovation in Japan</t>
  </si>
  <si>
    <t xml:space="preserve">IA - CDW - FIN - Ebook - Wealth &amp; Asset Management Tech</t>
  </si>
  <si>
    <t xml:space="preserve">IA - CDW - KSA - Report - KSA 2023 Venture Investment Report</t>
  </si>
  <si>
    <t xml:space="preserve">JAP_JAP_Batch Application (24 Summer) WIP</t>
  </si>
  <si>
    <t xml:space="preserve">IA - CDW - TVL - Case Study - The Success Story of Fraport AG and Arivo</t>
  </si>
  <si>
    <t xml:space="preserve">IA - CDW - GEN - Ebook - Exploring Saudi Arabia's Thriving VC Ecosystem: A 5-Year Analysis</t>
  </si>
  <si>
    <t xml:space="preserve">IA - CDW - EGY - Ebook - C&amp;I Energy Supply Infrastructure Report</t>
  </si>
  <si>
    <t xml:space="preserve">JAP_SUTEAM 2024</t>
  </si>
  <si>
    <t xml:space="preserve">IA - CDW - FIN - Case Study - The Success Story of SMBC Group and Allganize</t>
  </si>
  <si>
    <t xml:space="preserve">IA - CDW - GEN - Ebook - Essential Guide Of Corporate innovation</t>
  </si>
  <si>
    <t xml:space="preserve">IA - CDW - GEN - Ebook - How to Scale Global Teams for Success Through Innovation Leadership</t>
  </si>
  <si>
    <t xml:space="preserve">IA - CDW - TVL - Case Study - The Success Story of Vienna Airport and Sitemark</t>
  </si>
  <si>
    <t xml:space="preserve">IA - CDW - REC - Ebook - New Materials and Construction Technologies</t>
  </si>
  <si>
    <t xml:space="preserve">IA - CDW - HAM - Case Study - The Success Story of Hamburg Invest and Plug and Play</t>
  </si>
  <si>
    <t xml:space="preserve">IA - CDW - SUS - Ebook - Sustainable Mining: Ensuring the Responsible Use of Raw Material</t>
  </si>
  <si>
    <t xml:space="preserve">IA - CDW - MOB - Case Study - The Success Story of ZF and Intenseye</t>
  </si>
  <si>
    <t xml:space="preserve">IA - CDW - INS - Ebook - The Generative AI Revolution in Insurance</t>
  </si>
  <si>
    <t xml:space="preserve">IA - CDW - INS - Ebook - Japan Insurtech Report 2023</t>
  </si>
  <si>
    <t xml:space="preserve">IA - CDW - MOB - Case Study - The Success Story of ZF and Dristhi</t>
  </si>
  <si>
    <t xml:space="preserve">JAP_Contact From_WS24 Startups_Batch Application</t>
  </si>
  <si>
    <t xml:space="preserve">IA - CDW - SMC - Ebook - Smart Cities Using Mobility Solutions for Urban Life</t>
  </si>
  <si>
    <t xml:space="preserve">IA - CDW - EGY - Case Study - The Success Story Of SolarDuck and Tokyu Land Corporation</t>
  </si>
  <si>
    <t xml:space="preserve">IA - CDW - Ebook - 10 Startups to Help You Build Your Own: A Quick Guide</t>
  </si>
  <si>
    <t xml:space="preserve">IA - CDW - SUS - Case Study - The Success Story of COWI and nuron</t>
  </si>
  <si>
    <t xml:space="preserve">IA - CDW - DTT - Case Study - The Success Story Of Sanyo Trading and #Tide Ocean Material</t>
  </si>
  <si>
    <t xml:space="preserve">IA - CDW - SPC - Case Study - The Success Story of COWI and CONXAI</t>
  </si>
  <si>
    <t xml:space="preserve">IA - CDW - MOB - Case Study - The Success Story of Mitsubishi Electric and Cartken</t>
  </si>
  <si>
    <t xml:space="preserve">IA - CDW - TVL - Case Study - The Success Story of Fraport AG and Blickfeld</t>
  </si>
  <si>
    <t xml:space="preserve">IA - CDW - MAR - Case Study - The Success Story of Port of Antwerp-Bruges and Awake.AI</t>
  </si>
  <si>
    <t xml:space="preserve">IA - CDW - MOB - Case Study - The Success Story of Suzuki and Soar Robotics</t>
  </si>
  <si>
    <t xml:space="preserve">IA - CDW - INS - Case Study - The Success Story of American National and Attensi</t>
  </si>
  <si>
    <t xml:space="preserve">2024-11-20</t>
  </si>
  <si>
    <t xml:space="preserve">JAP_Contact From_Other</t>
  </si>
  <si>
    <t xml:space="preserve">2024-11-19</t>
  </si>
  <si>
    <t xml:space="preserve">2024-09-04</t>
  </si>
  <si>
    <t xml:space="preserve">JAP_CaseStudy_Fujikura-SleepShepherd</t>
  </si>
  <si>
    <t xml:space="preserve">IA - CDW - JPN - EGY - Ebook - Japan Energy Report 2022</t>
  </si>
  <si>
    <t xml:space="preserve">JAP_eBook_COVID-19</t>
  </si>
  <si>
    <t xml:space="preserve">CFA MVA 2024 - Email notification to applicants</t>
  </si>
  <si>
    <t xml:space="preserve">2024-05-15</t>
  </si>
  <si>
    <t xml:space="preserve">2024-03-01</t>
  </si>
  <si>
    <t xml:space="preserve">2024-01-25</t>
  </si>
  <si>
    <t xml:space="preserve">IA - CDW - TVL -Ebook - Deep Diving into Travel Behavior with Data, Analytics, and AI</t>
  </si>
  <si>
    <t xml:space="preserve">2024-01-23</t>
  </si>
  <si>
    <t xml:space="preserve">2024-01-15</t>
  </si>
  <si>
    <t xml:space="preserve">MOB_Case Study_SEKISUI &amp; META</t>
  </si>
  <si>
    <t xml:space="preserve">2024-01-11</t>
  </si>
  <si>
    <t xml:space="preserve">IOT_Case Study_Neener &amp; Telcom</t>
  </si>
  <si>
    <t xml:space="preserve">BRT_Ebook_Emerging Beauty Trends</t>
  </si>
  <si>
    <t xml:space="preserve">IA - CDW - SMC - Ebook - Driving Energy Efficiency in Smart Cities</t>
  </si>
  <si>
    <t xml:space="preserve">2023-11-27</t>
  </si>
  <si>
    <t xml:space="preserve">EXPO2024 Newsletter Signup (Automated Reply &amp; Added to Newsletter Campaign List)</t>
  </si>
  <si>
    <t xml:space="preserve">2023-11-17</t>
  </si>
  <si>
    <t xml:space="preserve">IA - CDW - MOB - Case Study - The Success Story of Stellantis and Miles</t>
  </si>
  <si>
    <t xml:space="preserve">2023-10-11</t>
  </si>
  <si>
    <t xml:space="preserve">IA - CDW - JPN -Ebook - Japan Insurtech Report 2022</t>
  </si>
  <si>
    <t xml:space="preserve">IA - CDW - AGT - Case Study - The Success Story of Soiltech Wireless &amp; Grand Farm</t>
  </si>
  <si>
    <t xml:space="preserve">IA - CDW - CHN - Ebook - The Innovation Ecosystem in China</t>
  </si>
  <si>
    <t xml:space="preserve">IA - CDW - SMC - Case Study - The Success Story of Kajima and Kaarta</t>
  </si>
  <si>
    <t xml:space="preserve">IA - CDW - INS - Ebook - Proptech and Its Applications in Insurance</t>
  </si>
  <si>
    <t xml:space="preserve">IA - CDW - SPC - Case Study - The Success Story of DB Schenker and Avatour</t>
  </si>
  <si>
    <t xml:space="preserve">LG Chem \| send auto reply</t>
  </si>
  <si>
    <t xml:space="preserve">2023-08-21</t>
  </si>
  <si>
    <t xml:space="preserve">JAP_Contact From_Corporates</t>
  </si>
  <si>
    <t xml:space="preserve">2023-08-09</t>
  </si>
  <si>
    <t xml:space="preserve">SPC_Case Study_DSV &amp; Tive</t>
  </si>
  <si>
    <t xml:space="preserve">2023-07-26</t>
  </si>
  <si>
    <t xml:space="preserve">TVL_Ebook_Rebooting Travel after COVID-19</t>
  </si>
  <si>
    <t xml:space="preserve">2023-06-29</t>
  </si>
  <si>
    <t xml:space="preserve">PNP_World After COVID_Ebook Download</t>
  </si>
  <si>
    <t xml:space="preserve">PNP_Case Study_Baloise &amp; Automation Hero</t>
  </si>
  <si>
    <t xml:space="preserve">MOB_Case Study_Schaeffler &amp; Atheer</t>
  </si>
  <si>
    <t xml:space="preserve">MOB_Case Study_Suzuki &amp; CommerceAI</t>
  </si>
  <si>
    <t xml:space="preserve">EGY_Case Study_Simply Energy &amp; Sapient</t>
  </si>
  <si>
    <t xml:space="preserve">FIN_Case Study_Raiffeisen Bank &amp; Plug and Play</t>
  </si>
  <si>
    <t xml:space="preserve">SMC_Case Study_Vienna Airport &amp; Bespoke</t>
  </si>
  <si>
    <t xml:space="preserve">2023-02-06</t>
  </si>
  <si>
    <t xml:space="preserve">JAP_Contact From_SF23 Startups_Batch Applicatio</t>
  </si>
  <si>
    <t xml:space="preserve">2022-12-27</t>
  </si>
  <si>
    <t xml:space="preserve">JAP_Contact From_WS23 Startups_Batch Application</t>
  </si>
  <si>
    <t xml:space="preserve">JAP_Contact From_SC Batch 4 Startups_Batch Application</t>
  </si>
  <si>
    <t xml:space="preserve">JAP_Contact From_AEPW Startups_Batch Application</t>
  </si>
  <si>
    <t xml:space="preserve">MVA_Startup Application Ext Alert + Internal Data</t>
  </si>
  <si>
    <t xml:space="preserve">FOO_Ebook_Foodtech in Europe</t>
  </si>
  <si>
    <t xml:space="preserve">TVL_Ebook_Tackling Climate Change</t>
  </si>
  <si>
    <t xml:space="preserve">JAP_Contact From_Startups_Batch Application</t>
  </si>
  <si>
    <t xml:space="preserve">IOT_Case Study_Ooredoo &amp; Cerebri AI</t>
  </si>
  <si>
    <t xml:space="preserve">FIN_Case Study_Aareal &amp; Plug and Play</t>
  </si>
  <si>
    <t xml:space="preserve">SMC_Ebook_Rethinking Smart Cities after COVID-19</t>
  </si>
  <si>
    <t xml:space="preserve">IOT_Case Study_Rheem &amp; Atollogy</t>
  </si>
  <si>
    <t xml:space="preserve">SMC_Case Study_Thaioil &amp; EcoWorth</t>
  </si>
  <si>
    <t xml:space="preserve">JAP_Contact From_Media</t>
  </si>
  <si>
    <t xml:space="preserve">MOB_Case Study_BASF Motherson and Porsche</t>
  </si>
  <si>
    <t xml:space="preserve">RFI - Web - General RFI form : sequential email workflow</t>
  </si>
  <si>
    <t xml:space="preserve">2022-06-13</t>
  </si>
  <si>
    <t xml:space="preserve">V0_Mentors Applications_BRA Batch#2_FINAL: sequential email workflow</t>
  </si>
  <si>
    <t xml:space="preserve">Internal workflow</t>
  </si>
  <si>
    <t xml:space="preserve">2022-06-08</t>
  </si>
  <si>
    <t xml:space="preserve">MENA_Ebook_Going Global</t>
  </si>
  <si>
    <t xml:space="preserve">2022-04-30</t>
  </si>
  <si>
    <t xml:space="preserve">HAM_Expo 3_Recording_Form: sequential email workflow</t>
  </si>
  <si>
    <t xml:space="preserve">2021-11-26</t>
  </si>
  <si>
    <t xml:space="preserve">Brazil newsletter sign-up form (August 26, 2020 6:47:55 PM) : sequential email workflow</t>
  </si>
  <si>
    <t xml:space="preserve">2021-03-11</t>
  </si>
  <si>
    <t xml:space="preserve">MOB_Case Study_Koito &amp; Relativity</t>
  </si>
  <si>
    <t xml:space="preserve">2021-02-22</t>
  </si>
  <si>
    <t xml:space="preserve">SMC_Ebook_Reopening Manufacturing Facilities</t>
  </si>
  <si>
    <t xml:space="preserve">2021-02-17</t>
  </si>
  <si>
    <t xml:space="preserve">FOO_Ebook_Agtech_Trends_2020</t>
  </si>
  <si>
    <t xml:space="preserve">HTH_Ebook_Future of Health</t>
  </si>
  <si>
    <t xml:space="preserve">SMC_Ebook_Making Cities Smarter</t>
  </si>
  <si>
    <t xml:space="preserve">INS_Report_New Risks &amp; Products</t>
  </si>
  <si>
    <t xml:space="preserve">BNR_Ebook_Technologies shaping Retail</t>
  </si>
  <si>
    <t xml:space="preserve">IoT_Case Study_Caban System &amp; Ooredoo</t>
  </si>
  <si>
    <t xml:space="preserve">MOB_Case Study_Koito &amp; Cepton</t>
  </si>
  <si>
    <t xml:space="preserve">IoT_Case Study_Tatsuta &amp; ACI</t>
  </si>
  <si>
    <t xml:space="preserve">BNR_Case Study_NEC, WalkOut &amp; Wheel.me</t>
  </si>
  <si>
    <t xml:space="preserve">HTH_Ebook_Top Health Startups fighting COVID-19</t>
  </si>
  <si>
    <t xml:space="preserve">FIN_Report_Fintech Tech Trend Report</t>
  </si>
  <si>
    <t xml:space="preserve">IoT_Case Study_Kyocera &amp; LO3</t>
  </si>
  <si>
    <t xml:space="preserve">2021-02-16</t>
  </si>
  <si>
    <t xml:space="preserve">INS_Case Study_EMC &amp; Matterport</t>
  </si>
  <si>
    <t xml:space="preserve">TVL_Ebook_The Future of Travel</t>
  </si>
  <si>
    <t xml:space="preserve">E20_Case Study_WTW and Syndio</t>
  </si>
  <si>
    <t xml:space="preserve">FIN_Ebook_Frankfurt Understanding Changing EU Regulations</t>
  </si>
  <si>
    <t xml:space="preserve">FIN_Case Study_Us Bank and Socure</t>
  </si>
  <si>
    <t xml:space="preserve">CHA_Ebook Guide Email Download</t>
  </si>
  <si>
    <t xml:space="preserve">FIN_Insights_Report_2020</t>
  </si>
  <si>
    <t xml:space="preserve">2020-10-05</t>
  </si>
  <si>
    <t xml:space="preserve">Off</t>
  </si>
  <si>
    <t xml:space="preserve">2026-09-04</t>
  </si>
  <si>
    <t xml:space="preserve">Pipeline is "Startup Camp EMEA - Pipeline", deal stage is "Schedule Pitch/Call"</t>
  </si>
  <si>
    <t xml:space="preserve">2026-08-27</t>
  </si>
  <si>
    <t xml:space="preserve">Pipeline is "Startup Camp EMEA - Pipeline", deal stage is "Pass after Pitch/Call"</t>
  </si>
  <si>
    <t xml:space="preserve">Pipeline is "Startup Camp EMEA - Pipeline", deal stage is "Pass Directly"</t>
  </si>
  <si>
    <t xml:space="preserve">Watchleads outreach automation</t>
  </si>
  <si>
    <t xml:space="preserve">2026-04-02</t>
  </si>
  <si>
    <r>
      <rPr>
        <sz val="10"/>
        <color rgb="FF000000"/>
        <rFont val="WenQuanYi Zen Hei"/>
        <family val="2"/>
      </rPr>
      <t xml:space="preserve">フォーム送信後にフォローアップ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メールを送信</t>
    </r>
  </si>
  <si>
    <t xml:space="preserve">2026-03-11</t>
  </si>
  <si>
    <t xml:space="preserve">260616 Italy Summit \| Pre-event comms</t>
  </si>
  <si>
    <t xml:space="preserve">2026-03-04</t>
  </si>
  <si>
    <t xml:space="preserve">2026-03-03</t>
  </si>
  <si>
    <t xml:space="preserve">JAP_EL_DX Beauty Industory</t>
  </si>
  <si>
    <t xml:space="preserve">JAP_Company Performance Report 2025</t>
  </si>
  <si>
    <t xml:space="preserve">2026-02-17</t>
  </si>
  <si>
    <t xml:space="preserve">JP_Gov_Proposal</t>
  </si>
  <si>
    <t xml:space="preserve">2026-02-13</t>
  </si>
  <si>
    <t xml:space="preserve">251209 Sweden Expo</t>
  </si>
  <si>
    <t xml:space="preserve">2026-02-12</t>
  </si>
  <si>
    <t xml:space="preserve">2025-09-08</t>
  </si>
  <si>
    <t xml:space="preserve">IA - CDW - TVL - Ebook - The State of Travel &amp; Hospitality Innovation (cloned)</t>
  </si>
  <si>
    <t xml:space="preserve">2025-07-31</t>
  </si>
  <si>
    <t xml:space="preserve">LNS - RFI - Emails</t>
  </si>
  <si>
    <t xml:space="preserve">2025-05-05</t>
  </si>
  <si>
    <t xml:space="preserve">JAP_Template_eBook</t>
  </si>
  <si>
    <t xml:space="preserve">2025-05-02</t>
  </si>
  <si>
    <t xml:space="preserve">JAP_Contact From_Corporates (cloned)</t>
  </si>
  <si>
    <t xml:space="preserve">REC_Case Study_Kajima &amp; Holobuilder</t>
  </si>
  <si>
    <t xml:space="preserve">PNP_Content_Template Workflow</t>
  </si>
  <si>
    <t xml:space="preserve">INS_Case Study_VKB &amp; FairFleet</t>
  </si>
  <si>
    <t xml:space="preserve">2023-12-19</t>
  </si>
  <si>
    <t xml:space="preserve">INS_TrendReport_Agriculture_Insurance</t>
  </si>
  <si>
    <t xml:space="preserve">INS_Case Study_Nexar &amp; Nationwide</t>
  </si>
  <si>
    <t xml:space="preserve">INS_TrendReport_Chronic Disease_March_2019</t>
  </si>
  <si>
    <t xml:space="preserve">INS_TrendReport_Insurtech China_July_2019</t>
  </si>
  <si>
    <t xml:space="preserve">INS_TrendReport_Insurtech Japan_June_2019</t>
  </si>
  <si>
    <t xml:space="preserve">INS_Case Study_NRI_Sureify</t>
  </si>
  <si>
    <t xml:space="preserve">IoT_Case Study_Daikin and eLichens</t>
  </si>
  <si>
    <t xml:space="preserve">SMC_Ebook_Cost-Saving Technologies for Manufacturing</t>
  </si>
  <si>
    <t xml:space="preserve">SMC_Ebook_Smart Cities Against Covid-19</t>
  </si>
  <si>
    <t xml:space="preserve">EGY_Ebook_Synthetic Data</t>
  </si>
  <si>
    <t xml:space="preserve">INS_TrendReport_Heading Towards a Sustainable Pension System_May 2020</t>
  </si>
  <si>
    <t xml:space="preserve">AGT_Case Study_Tridon (Agtech)</t>
  </si>
  <si>
    <t xml:space="preserve">PNP_Report_Portfolio_Highlight_Book</t>
  </si>
  <si>
    <t xml:space="preserve">INS_Ebook_Featured Startups Fighting Covid-19_June 2020</t>
  </si>
  <si>
    <t xml:space="preserve">INS_Report_Insurers: Staying relevant to your policyholders in 2020 (June 2020)</t>
  </si>
  <si>
    <t xml:space="preserve">FOO_Case Study_Lavazza</t>
  </si>
  <si>
    <t xml:space="preserve">SPC_Report_Top Founders Africa</t>
  </si>
  <si>
    <t xml:space="preserve">EGY_Ebook_Electric Vehicles</t>
  </si>
  <si>
    <t xml:space="preserve">TVL_Ebook_Travel after COVID-19</t>
  </si>
  <si>
    <t xml:space="preserve">E20_Case Study_Mars &amp; Diana AI</t>
  </si>
  <si>
    <t xml:space="preserve">SMC_Ebook_The Future of Building Materials</t>
  </si>
  <si>
    <t xml:space="preserve">SPC_Case Study_Georgia Pacific &amp; Specright</t>
  </si>
  <si>
    <t xml:space="preserve">EGY_Ebook_Hydrogen The Green Transition</t>
  </si>
  <si>
    <t xml:space="preserve">INS_Case Study_EMC &amp; Kespry</t>
  </si>
  <si>
    <t xml:space="preserve">INS_Report_Emerging startups to realize the vision of a Digital P&amp;C Insurer (Jan 2021)</t>
  </si>
  <si>
    <t xml:space="preserve">SUS_Case Study_Litterati_AEPW</t>
  </si>
  <si>
    <t xml:space="preserve">INS_Case Study_WTW &amp; Relativity</t>
  </si>
  <si>
    <t xml:space="preserve">SUS_Report_Portfolio Impact Report 2020</t>
  </si>
  <si>
    <t xml:space="preserve">2023-11-18</t>
  </si>
  <si>
    <t xml:space="preserve">2023-11-08</t>
  </si>
  <si>
    <t xml:space="preserve">INS_Report_The Cyber Insurance Handbook_Jan21_2020</t>
  </si>
  <si>
    <t xml:space="preserve">2023-09-20</t>
  </si>
  <si>
    <t xml:space="preserve">SUS_Report_2 year anniversary</t>
  </si>
  <si>
    <t xml:space="preserve">2023-06-19</t>
  </si>
  <si>
    <t xml:space="preserve">INS_Case Study_Generali and Pathmate</t>
  </si>
  <si>
    <t xml:space="preserve">2023-03-21</t>
  </si>
  <si>
    <t xml:space="preserve">2023-01-19</t>
  </si>
  <si>
    <t xml:space="preserve">NS_EB/CS/IR_NV</t>
  </si>
  <si>
    <t xml:space="preserve">2022-03-29</t>
  </si>
  <si>
    <t xml:space="preserve">LNS_Lead Nurturing_Lead to SQL</t>
  </si>
  <si>
    <t xml:space="preserve">2022-02-15</t>
  </si>
  <si>
    <t xml:space="preserve">ON with 'COVID' in the name</t>
  </si>
  <si>
    <t xml:space="preserve">HubSpot teams (62)</t>
  </si>
  <si>
    <t xml:space="preserve">Source: HubSpot teams list, 8 Oct 2026. None of the 1,042 emails sent 1 Oct 2025 – 30 Sep 2026 has a team assigned.</t>
  </si>
  <si>
    <t xml:space="preserve">Team</t>
  </si>
  <si>
    <t xml:space="preserve">Primary users</t>
  </si>
  <si>
    <t xml:space="preserve">Secondary users</t>
  </si>
  <si>
    <t xml:space="preserve">Parent team</t>
  </si>
  <si>
    <t xml:space="preserve">Abu Dhabi</t>
  </si>
  <si>
    <t xml:space="preserve">AgTech</t>
  </si>
  <si>
    <t xml:space="preserve">Alberta</t>
  </si>
  <si>
    <t xml:space="preserve">Amsterdam</t>
  </si>
  <si>
    <t xml:space="preserve">Arizona</t>
  </si>
  <si>
    <t xml:space="preserve">Supply Chain</t>
  </si>
  <si>
    <t xml:space="preserve">Barcelona</t>
  </si>
  <si>
    <t xml:space="preserve">Basel</t>
  </si>
  <si>
    <t xml:space="preserve">Borja's team - VLC</t>
  </si>
  <si>
    <t xml:space="preserve">Brazil</t>
  </si>
  <si>
    <t xml:space="preserve">Building Ops SV</t>
  </si>
  <si>
    <t xml:space="preserve">Cleveland Team</t>
  </si>
  <si>
    <t xml:space="preserve">Corporate Overall</t>
  </si>
  <si>
    <t xml:space="preserve">Egypt</t>
  </si>
  <si>
    <t xml:space="preserve">EMEA Fund</t>
  </si>
  <si>
    <t xml:space="preserve">Energy</t>
  </si>
  <si>
    <t xml:space="preserve">Fintech</t>
  </si>
  <si>
    <t xml:space="preserve">Food</t>
  </si>
  <si>
    <t xml:space="preserve">Frankfurt</t>
  </si>
  <si>
    <t xml:space="preserve">Hamburg</t>
  </si>
  <si>
    <t xml:space="preserve">Health</t>
  </si>
  <si>
    <t xml:space="preserve">HR</t>
  </si>
  <si>
    <t xml:space="preserve">Insurtech</t>
  </si>
  <si>
    <t xml:space="preserve">International</t>
  </si>
  <si>
    <t xml:space="preserve">Istanbul</t>
  </si>
  <si>
    <t xml:space="preserve">IT</t>
  </si>
  <si>
    <t xml:space="preserve">ITALY BD</t>
  </si>
  <si>
    <t xml:space="preserve">Kazakhstan</t>
  </si>
  <si>
    <t xml:space="preserve">LA</t>
  </si>
  <si>
    <t xml:space="preserve">LATAM</t>
  </si>
  <si>
    <t xml:space="preserve">London</t>
  </si>
  <si>
    <t xml:space="preserve">Maritime</t>
  </si>
  <si>
    <t xml:space="preserve">Marketing</t>
  </si>
  <si>
    <t xml:space="preserve">Materials</t>
  </si>
  <si>
    <t xml:space="preserve">Media</t>
  </si>
  <si>
    <t xml:space="preserve">Media &amp; Advertising</t>
  </si>
  <si>
    <t xml:space="preserve">Mobility/IoT</t>
  </si>
  <si>
    <t xml:space="preserve">munich</t>
  </si>
  <si>
    <t xml:space="preserve">Nordics</t>
  </si>
  <si>
    <t xml:space="preserve">Operations</t>
  </si>
  <si>
    <t xml:space="preserve">Paris</t>
  </si>
  <si>
    <t xml:space="preserve">Real Estate</t>
  </si>
  <si>
    <t xml:space="preserve">Retail</t>
  </si>
  <si>
    <t xml:space="preserve">Sanam's Test Team</t>
  </si>
  <si>
    <t xml:space="preserve">Saudi</t>
  </si>
  <si>
    <t xml:space="preserve">Savannah</t>
  </si>
  <si>
    <t xml:space="preserve">Silicon Valley</t>
  </si>
  <si>
    <t xml:space="preserve">Smart Cities</t>
  </si>
  <si>
    <t xml:space="preserve">South Africa</t>
  </si>
  <si>
    <t xml:space="preserve">Spain</t>
  </si>
  <si>
    <t xml:space="preserve">star</t>
  </si>
  <si>
    <t xml:space="preserve">Startup Autobahn</t>
  </si>
  <si>
    <t xml:space="preserve">Startup Camp EMEA</t>
  </si>
  <si>
    <t xml:space="preserve">Sustainability</t>
  </si>
  <si>
    <t xml:space="preserve">SV Japanese Partnerships</t>
  </si>
  <si>
    <t xml:space="preserve">Toronto</t>
  </si>
  <si>
    <t xml:space="preserve">Travel</t>
  </si>
  <si>
    <t xml:space="preserve">Travel EU/Vienna</t>
  </si>
  <si>
    <t xml:space="preserve">Ventures</t>
  </si>
  <si>
    <t xml:space="preserve">Sent emails, 6 Aug – 30 Sep 2026 (latest 100 records)</t>
  </si>
  <si>
    <t xml:space="preserve">Source: HubSpot › Marketing › Email › Manage, 8 Oct 2026. Rows marked Duplicate = Yes have identical stats to another row and are excluded from totals.</t>
  </si>
  <si>
    <t xml:space="preserve">Email name</t>
  </si>
  <si>
    <t xml:space="preserve">Clicks (calc.)</t>
  </si>
  <si>
    <t xml:space="preserve">Bounces (hard + soft)</t>
  </si>
  <si>
    <t xml:space="preserve">Duplicate</t>
  </si>
  <si>
    <t xml:space="preserve">2026 travel nov summit outreach (rest)</t>
  </si>
  <si>
    <t xml:space="preserve">2026-09-30</t>
  </si>
  <si>
    <t xml:space="preserve">Brandon Lee</t>
  </si>
  <si>
    <t xml:space="preserve">No</t>
  </si>
  <si>
    <t xml:space="preserve">September_Internal_Newsletter</t>
  </si>
  <si>
    <t xml:space="preserve">Physical AI</t>
  </si>
  <si>
    <t xml:space="preserve">Rick Hernandez</t>
  </si>
  <si>
    <t xml:space="preserve">UK September 2026 Newsletter</t>
  </si>
  <si>
    <t xml:space="preserve">JAP_Newsletter_Sept - 2026 - 30</t>
  </si>
  <si>
    <t xml:space="preserve">Tirana Expo Invitation (2) 2026</t>
  </si>
  <si>
    <t xml:space="preserve">Plug and Play Tirana</t>
  </si>
  <si>
    <t xml:space="preserve">October Events</t>
  </si>
  <si>
    <t xml:space="preserve">GNL_September 2026</t>
  </si>
  <si>
    <t xml:space="preserve">2026-09-29</t>
  </si>
  <si>
    <t xml:space="preserve">TEXAS September Newsletter</t>
  </si>
  <si>
    <t xml:space="preserve">BRAM Newsletter #2 - RetailClub Notes/ September 2026</t>
  </si>
  <si>
    <t xml:space="preserve">🚀 Plug and Play Cyprus_Expo News</t>
  </si>
  <si>
    <t xml:space="preserve">THF Launch_General (registered) (Sept 28)</t>
  </si>
  <si>
    <t xml:space="preserve">2026-09-28</t>
  </si>
  <si>
    <t xml:space="preserve">Plug and Play Finland</t>
  </si>
  <si>
    <t xml:space="preserve">Live Pitch Feedback Event: Mobility &amp; Advanced Hardware</t>
  </si>
  <si>
    <t xml:space="preserve">2026-09-25</t>
  </si>
  <si>
    <t xml:space="preserve">New email</t>
  </si>
  <si>
    <t xml:space="preserve">2026-09-24</t>
  </si>
  <si>
    <t xml:space="preserve">roza amrollah</t>
  </si>
  <si>
    <t xml:space="preserve">Summit for Tenants</t>
  </si>
  <si>
    <t xml:space="preserve">Fintech &amp; AI Insights - Edition 2 - September 23, 2026</t>
  </si>
  <si>
    <t xml:space="preserve">ME Innovation Day, Email 2</t>
  </si>
  <si>
    <t xml:space="preserve">Ava Milana</t>
  </si>
  <si>
    <t xml:space="preserve">Alignment 2026</t>
  </si>
  <si>
    <t xml:space="preserve">APAC_Newsletter_September_2026</t>
  </si>
  <si>
    <t xml:space="preserve">THF Launch_General (registered) (Sept 22)</t>
  </si>
  <si>
    <t xml:space="preserve">SMB Tech Connect</t>
  </si>
  <si>
    <t xml:space="preserve">Indiana Medtech + Lifetech Newsletter September 2026</t>
  </si>
  <si>
    <t xml:space="preserve">Yes</t>
  </si>
  <si>
    <t xml:space="preserve">2026 travel nov summit outreach</t>
  </si>
  <si>
    <t xml:space="preserve">Indiana Lifetech &amp; Medtech Alumni - Invitation to SV Summit November 2026</t>
  </si>
  <si>
    <t xml:space="preserve">2026-09-17</t>
  </si>
  <si>
    <t xml:space="preserve">Eileen Alberding</t>
  </si>
  <si>
    <t xml:space="preserve">Indiana Lifetech &amp; Medtech Mentors - Invitation to SV Summit November 2026 (Clone)</t>
  </si>
  <si>
    <t xml:space="preserve">ITA26_Newsletter September</t>
  </si>
  <si>
    <t xml:space="preserve">JAP_Newsletter - Sept - 2026 - 16</t>
  </si>
  <si>
    <t xml:space="preserve">2026-09-16</t>
  </si>
  <si>
    <t xml:space="preserve">KOCCA SG Biz Matching -1</t>
  </si>
  <si>
    <t xml:space="preserve">Tae Rin Ha</t>
  </si>
  <si>
    <t xml:space="preserve">THF_Selected (FORM - follow up)</t>
  </si>
  <si>
    <t xml:space="preserve">THF Launch_General (NOT registered) (Sept 15)</t>
  </si>
  <si>
    <t xml:space="preserve">2026-09-15</t>
  </si>
  <si>
    <t xml:space="preserve">THF Launch_General (registered) (Sept 15)</t>
  </si>
  <si>
    <t xml:space="preserve">THF_Selected (FORM)</t>
  </si>
  <si>
    <t xml:space="preserve">Reminder: Founders Lunch</t>
  </si>
  <si>
    <t xml:space="preserve">Shamrock Foods - Monthly Signal August 31 (v1)</t>
  </si>
  <si>
    <t xml:space="preserve">2026-09-14</t>
  </si>
  <si>
    <t xml:space="preserve">Selection Day &amp; Batch Kickoff Thank you email | General Mills</t>
  </si>
  <si>
    <t xml:space="preserve">Career, Rewired for the AI Age</t>
  </si>
  <si>
    <t xml:space="preserve">THF_Selected</t>
  </si>
  <si>
    <t xml:space="preserve">THF_Not Selected</t>
  </si>
  <si>
    <t xml:space="preserve">THF_Not Shortlisted</t>
  </si>
  <si>
    <t xml:space="preserve">CLONE Revised BRAM Newsletter #1 / September 2026 - Version A</t>
  </si>
  <si>
    <t xml:space="preserve">2026-09-11</t>
  </si>
  <si>
    <t xml:space="preserve">Revised BRAM Newsletter #1 / September 2026</t>
  </si>
  <si>
    <t xml:space="preserve">Pitch Deck Teardown</t>
  </si>
  <si>
    <t xml:space="preserve">2026-09-10</t>
  </si>
  <si>
    <t xml:space="preserve">Youth Social</t>
  </si>
  <si>
    <t xml:space="preserve">San Jose office Event</t>
  </si>
  <si>
    <t xml:space="preserve">2026-09-08</t>
  </si>
  <si>
    <t xml:space="preserve">Thank you - Medtech Expo attendees September 2026</t>
  </si>
  <si>
    <t xml:space="preserve">Plug and Play Warsaw - Medtech</t>
  </si>
  <si>
    <t xml:space="preserve">SLAM Innovation Brief 3 September 2026</t>
  </si>
  <si>
    <t xml:space="preserve">FR_ALIBABA COCREATE TIER 1 FINALISTS</t>
  </si>
  <si>
    <t xml:space="preserve">Philipp Hödl</t>
  </si>
  <si>
    <t xml:space="preserve">FR_ALIBABA COCREATE FINALISTS-GENERAL</t>
  </si>
  <si>
    <t xml:space="preserve">Your Monthly Dose of Tech Inspiration 🍁 Autumn is here!</t>
  </si>
  <si>
    <t xml:space="preserve">2026-09-07</t>
  </si>
  <si>
    <t xml:space="preserve">GoSentrix</t>
  </si>
  <si>
    <t xml:space="preserve">🚀 Plug and Play Cyprus_Latest News_09/26</t>
  </si>
  <si>
    <t xml:space="preserve">PNPCA_Latest News_ August_2026</t>
  </si>
  <si>
    <t xml:space="preserve">Minnesota Sustainability 2026 H2 Mentor Newsletter</t>
  </si>
  <si>
    <t xml:space="preserve">NMP 2026 H2 Mentor Newsletter</t>
  </si>
  <si>
    <t xml:space="preserve">UK - Mobilise Monthly Update (August)</t>
  </si>
  <si>
    <t xml:space="preserve">2026 Batch 22 Kickoff Newsletter</t>
  </si>
  <si>
    <t xml:space="preserve">2026-09-02</t>
  </si>
  <si>
    <t xml:space="preserve">Finovate Fall Blast (Final)</t>
  </si>
  <si>
    <t xml:space="preserve">YOU ARE INVITED: Innovation Connect</t>
  </si>
  <si>
    <t xml:space="preserve">FR_ALIBABA COCREATE UNI EMAIL FOLLOW UP</t>
  </si>
  <si>
    <t xml:space="preserve">Katya Rozhkova</t>
  </si>
  <si>
    <t xml:space="preserve">FR_ALIBABA COCREATE VC EMAIL FOLLOW UP</t>
  </si>
  <si>
    <t xml:space="preserve">UK August 2026 Newsletter</t>
  </si>
  <si>
    <t xml:space="preserve">JAP_Newsletter_Sept - 2026 - 2</t>
  </si>
  <si>
    <t xml:space="preserve">Seattle Community Newsletter (Aug 2026)</t>
  </si>
  <si>
    <t xml:space="preserve">2026-09-01</t>
  </si>
  <si>
    <t xml:space="preserve">Finovate Fall Blast</t>
  </si>
  <si>
    <t xml:space="preserve">August_Internal_Newsletter</t>
  </si>
  <si>
    <t xml:space="preserve">2026-08-31</t>
  </si>
  <si>
    <t xml:space="preserve">Plug and Play's 2026 Corporate Partnership Survey - Final Email</t>
  </si>
  <si>
    <t xml:space="preserve">Jacky Tsang</t>
  </si>
  <si>
    <t xml:space="preserve">Plug and Play Türkiye August 2026 Newsletter</t>
  </si>
  <si>
    <t xml:space="preserve">September Events (Clone)</t>
  </si>
  <si>
    <t xml:space="preserve">2026-08-28</t>
  </si>
  <si>
    <t xml:space="preserve">PNPCA_ISAA grant announcement</t>
  </si>
  <si>
    <t xml:space="preserve">Alfredo from Plug and Play</t>
  </si>
  <si>
    <t xml:space="preserve">ME Innovation Day, Email 1</t>
  </si>
  <si>
    <t xml:space="preserve">THF Launch_VIP (VC session) 2 invitation</t>
  </si>
  <si>
    <t xml:space="preserve">Christian Johansson</t>
  </si>
  <si>
    <t xml:space="preserve">THF Launch_Soft launch attendees - 2nd invite</t>
  </si>
  <si>
    <t xml:space="preserve">ICT Week 2026 invitations - Uzbekistan</t>
  </si>
  <si>
    <t xml:space="preserve">Alfredo Gómez</t>
  </si>
  <si>
    <t xml:space="preserve">TEXAS August Newsletter</t>
  </si>
  <si>
    <t xml:space="preserve">2026-08-26</t>
  </si>
  <si>
    <t xml:space="preserve">AgAH Alumni/Mentor 2026 Q3 Newsletter</t>
  </si>
  <si>
    <t xml:space="preserve">MedTech Warsaw Expo B5 Save the Date - Expo Only - Last Call 1 week</t>
  </si>
  <si>
    <t xml:space="preserve">GNL_August 2026</t>
  </si>
  <si>
    <t xml:space="preserve">Plug and Play's 2026 Corporate Partnership Survey - Email #4</t>
  </si>
  <si>
    <t xml:space="preserve">2026-08-24</t>
  </si>
  <si>
    <t xml:space="preserve">Toastmasters</t>
  </si>
  <si>
    <t xml:space="preserve">2026-08-20</t>
  </si>
  <si>
    <t xml:space="preserve">Paris Motor Show 2026</t>
  </si>
  <si>
    <t xml:space="preserve">Cedar Park 1 Week Out Email Aug 2026 Expo 8.19.26</t>
  </si>
  <si>
    <t xml:space="preserve">2026-08-19</t>
  </si>
  <si>
    <t xml:space="preserve">Kevin Farjallah</t>
  </si>
  <si>
    <t xml:space="preserve">MedTech Warsaw Expo B5 Save the Date - Expo Only (Speaker Announcement! 2 weeks</t>
  </si>
  <si>
    <t xml:space="preserve">APAC_Newsletter_August_2026</t>
  </si>
  <si>
    <t xml:space="preserve">JAP_Newsletter - Aug - 2026 - 19</t>
  </si>
  <si>
    <t xml:space="preserve">PNP Foundation Newsletter (July 2026)</t>
  </si>
  <si>
    <t xml:space="preserve">2026-08-18</t>
  </si>
  <si>
    <t xml:space="preserve">Plug and Play's 2026 Corporate Partnership Survey - Email #3</t>
  </si>
  <si>
    <t xml:space="preserve">Alba Brotons</t>
  </si>
  <si>
    <t xml:space="preserve">Plug and Play Cedar Park Aug 26 Expo 8.11.26 (Clone)</t>
  </si>
  <si>
    <t xml:space="preserve">2026-08-13</t>
  </si>
  <si>
    <t xml:space="preserve">THF Launch_VIP (VC session+lunch) invitation</t>
  </si>
  <si>
    <t xml:space="preserve">THF Launch_Soft launch attendees invitation 1</t>
  </si>
  <si>
    <t xml:space="preserve">APAC_Cambodia Community Series 3_ThankYou</t>
  </si>
  <si>
    <t xml:space="preserve">STARTUP AUTOBAHN Alumni Newsletter 🌻 August 2026</t>
  </si>
  <si>
    <t xml:space="preserve">2026-08-12</t>
  </si>
  <si>
    <t xml:space="preserve">Plug and Play's 2026 Corporate Partnership Survey - Email #2</t>
  </si>
  <si>
    <t xml:space="preserve">2026-08-11</t>
  </si>
  <si>
    <t xml:space="preserve">ITA26_Newsletter August</t>
  </si>
  <si>
    <t xml:space="preserve">2026-08-06</t>
  </si>
  <si>
    <t xml:space="preserve">Sources and definitions</t>
  </si>
  <si>
    <t xml:space="preserve">Data pulled</t>
  </si>
  <si>
    <t xml:space="preserve">8 Oct 2026, read-only, HubSpot portal 3340630. Nothing in HubSpot was changed.</t>
  </si>
  <si>
    <t xml:space="preserve">Analyze export</t>
  </si>
  <si>
    <t xml:space="preserve">Marketing › Email › Analyze, 1 Oct 2025 – 30 Sep 2026, compared with previous 365 days.</t>
  </si>
  <si>
    <t xml:space="preserve">Health tab</t>
  </si>
  <si>
    <t xml:space="preserve">Marketing › Email › Health. Last 30 days = 5 Sep – 5 Oct 2026. Benchmarks are HubSpot's.</t>
  </si>
  <si>
    <t xml:space="preserve">Latest 100 email records sent (6 Aug – 30 Sep 2026) out of 1,042 sent 1 Oct 2025 – 30 Sep 2026. 3 duplicate records excluded. Workflow (automated) emails not included.</t>
  </si>
  <si>
    <t xml:space="preserve">Unique clicks ÷ delivered.</t>
  </si>
  <si>
    <t xml:space="preserve">Unsubscribes ÷ delivered.</t>
  </si>
  <si>
    <t xml:space="preserve">Bounce rate (per email)</t>
  </si>
  <si>
    <t xml:space="preserve">All bounces (hard + soft) ÷ (delivered + bounces). Account-level bounce figures are hard bounces only.</t>
  </si>
  <si>
    <t xml:space="preserve">Recurring newsletters grouped by email name (e.g. 'UK August 2026 Newsletter' and 'UK September 2026 Newsletter' = UK Newsletter).</t>
  </si>
  <si>
    <t xml:space="preserve">Contact counts from HubSpot contact search; marketing contacts and tier from Settings › Account &amp; Billing › Usage.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</si>
</sst>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-#,##0;\-"/>
    <numFmt numFmtId="166" formatCode="\+0.0%;\-0.0%"/>
    <numFmt numFmtId="167" formatCode="0.00%;\-0.00%;\-"/>
    <numFmt numFmtId="168" formatCode="0"/>
    <numFmt numFmtId="169" formatCode="0.0%;\-0.0%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008000"/>
      </font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1028641</v>
      </c>
      <c r="C6" s="7" t="n">
        <v>-0.2193</v>
      </c>
    </row>
    <row r="7" customFormat="false" ht="15" hidden="false" customHeight="false" outlineLevel="0" collapsed="false">
      <c r="A7" s="5" t="s">
        <v>7</v>
      </c>
      <c r="B7" s="6" t="n">
        <v>1032</v>
      </c>
      <c r="C7" s="7" t="s">
        <v>8</v>
      </c>
    </row>
    <row r="8" customFormat="false" ht="15" hidden="false" customHeight="false" outlineLevel="0" collapsed="false">
      <c r="A8" s="5" t="s">
        <v>9</v>
      </c>
      <c r="B8" s="6" t="n">
        <v>1011458</v>
      </c>
      <c r="C8" s="7" t="s">
        <v>8</v>
      </c>
    </row>
    <row r="9" customFormat="false" ht="15" hidden="false" customHeight="false" outlineLevel="0" collapsed="false">
      <c r="A9" s="5" t="s">
        <v>10</v>
      </c>
      <c r="B9" s="8" t="n">
        <v>0.9833</v>
      </c>
      <c r="C9" s="7" t="n">
        <v>-0.0077</v>
      </c>
    </row>
    <row r="10" customFormat="false" ht="15" hidden="false" customHeight="false" outlineLevel="0" collapsed="false">
      <c r="A10" s="5" t="s">
        <v>11</v>
      </c>
      <c r="B10" s="8" t="n">
        <v>0.2688</v>
      </c>
      <c r="C10" s="7" t="n">
        <v>-0.1138</v>
      </c>
    </row>
    <row r="11" customFormat="false" ht="15" hidden="false" customHeight="false" outlineLevel="0" collapsed="false">
      <c r="A11" s="5" t="s">
        <v>12</v>
      </c>
      <c r="B11" s="8" t="n">
        <v>0.0326</v>
      </c>
      <c r="C11" s="7" t="n">
        <v>-0.0158</v>
      </c>
    </row>
    <row r="12" customFormat="false" ht="15" hidden="false" customHeight="false" outlineLevel="0" collapsed="false">
      <c r="A12" s="5" t="s">
        <v>13</v>
      </c>
      <c r="B12" s="8" t="n">
        <v>0.1213</v>
      </c>
      <c r="C12" s="7" t="n">
        <v>0.1106</v>
      </c>
    </row>
    <row r="13" customFormat="false" ht="15" hidden="false" customHeight="false" outlineLevel="0" collapsed="false">
      <c r="A13" s="5" t="s">
        <v>14</v>
      </c>
      <c r="B13" s="8" t="n">
        <v>0.0001</v>
      </c>
      <c r="C13" s="7" t="n">
        <v>-0.2829</v>
      </c>
    </row>
    <row r="14" customFormat="false" ht="15" hidden="false" customHeight="false" outlineLevel="0" collapsed="false">
      <c r="A14" s="5" t="s">
        <v>15</v>
      </c>
      <c r="B14" s="8" t="n">
        <v>0.0129</v>
      </c>
      <c r="C14" s="7" t="n">
        <v>0.9746</v>
      </c>
    </row>
    <row r="15" customFormat="false" ht="15" hidden="false" customHeight="false" outlineLevel="0" collapsed="false">
      <c r="A15" s="5" t="s">
        <v>16</v>
      </c>
      <c r="B15" s="8" t="n">
        <v>0.0081</v>
      </c>
      <c r="C15" s="7" t="n">
        <v>0.7244</v>
      </c>
    </row>
    <row r="16" customFormat="false" ht="15" hidden="false" customHeight="false" outlineLevel="0" collapsed="false">
      <c r="A16" s="5" t="s">
        <v>17</v>
      </c>
      <c r="B16" s="8" t="n">
        <v>0.0001</v>
      </c>
      <c r="C16" s="7" t="n">
        <v>0.7813</v>
      </c>
    </row>
    <row r="19" customFormat="false" ht="15" hidden="false" customHeight="false" outlineLevel="0" collapsed="false">
      <c r="A19" s="3" t="s">
        <v>18</v>
      </c>
    </row>
    <row r="20" customFormat="false" ht="30" hidden="false" customHeight="true" outlineLevel="0" collapsed="false">
      <c r="A20" s="4" t="s">
        <v>3</v>
      </c>
      <c r="B20" s="4" t="s">
        <v>19</v>
      </c>
      <c r="C20" s="4" t="s">
        <v>20</v>
      </c>
      <c r="D20" s="4" t="s">
        <v>21</v>
      </c>
    </row>
    <row r="21" customFormat="false" ht="15" hidden="false" customHeight="false" outlineLevel="0" collapsed="false">
      <c r="A21" s="5" t="s">
        <v>22</v>
      </c>
      <c r="B21" s="9" t="s">
        <v>23</v>
      </c>
      <c r="C21" s="10" t="s">
        <v>8</v>
      </c>
      <c r="D21" s="11" t="s">
        <v>24</v>
      </c>
    </row>
    <row r="22" customFormat="false" ht="15" hidden="false" customHeight="false" outlineLevel="0" collapsed="false">
      <c r="A22" s="5" t="s">
        <v>25</v>
      </c>
      <c r="B22" s="12" t="n">
        <v>0.25</v>
      </c>
      <c r="C22" s="12" t="n">
        <v>0.195</v>
      </c>
      <c r="D22" s="13" t="s">
        <v>26</v>
      </c>
    </row>
    <row r="23" customFormat="false" ht="15" hidden="false" customHeight="false" outlineLevel="0" collapsed="false">
      <c r="A23" s="5" t="s">
        <v>27</v>
      </c>
      <c r="B23" s="12" t="n">
        <v>0.075</v>
      </c>
      <c r="C23" s="12" t="n">
        <v>0.085</v>
      </c>
      <c r="D23" s="13" t="s">
        <v>28</v>
      </c>
    </row>
    <row r="24" customFormat="false" ht="15" hidden="false" customHeight="false" outlineLevel="0" collapsed="false">
      <c r="A24" s="5" t="s">
        <v>29</v>
      </c>
      <c r="B24" s="12" t="n">
        <v>0.0254</v>
      </c>
      <c r="C24" s="12" t="n">
        <v>0.0025</v>
      </c>
      <c r="D24" s="11" t="s">
        <v>30</v>
      </c>
    </row>
    <row r="25" customFormat="false" ht="15" hidden="false" customHeight="false" outlineLevel="0" collapsed="false">
      <c r="A25" s="5" t="s">
        <v>31</v>
      </c>
      <c r="B25" s="12" t="n">
        <v>0.0104</v>
      </c>
      <c r="C25" s="12" t="n">
        <v>0.0035</v>
      </c>
      <c r="D25" s="11" t="s">
        <v>30</v>
      </c>
    </row>
    <row r="26" customFormat="false" ht="15" hidden="false" customHeight="false" outlineLevel="0" collapsed="false">
      <c r="A26" s="5" t="s">
        <v>32</v>
      </c>
      <c r="B26" s="9" t="n">
        <v>5</v>
      </c>
      <c r="C26" s="10" t="s">
        <v>8</v>
      </c>
      <c r="D26" s="13" t="s">
        <v>8</v>
      </c>
    </row>
    <row r="27" customFormat="false" ht="15" hidden="false" customHeight="false" outlineLevel="0" collapsed="false">
      <c r="A27" s="5" t="s">
        <v>6</v>
      </c>
      <c r="B27" s="9" t="n">
        <v>158769</v>
      </c>
      <c r="C27" s="10" t="s">
        <v>8</v>
      </c>
      <c r="D27" s="13" t="s">
        <v>8</v>
      </c>
    </row>
    <row r="30" customFormat="false" ht="15" hidden="false" customHeight="false" outlineLevel="0" collapsed="false">
      <c r="A30" s="3" t="s">
        <v>33</v>
      </c>
    </row>
    <row r="31" customFormat="false" ht="30" hidden="false" customHeight="true" outlineLevel="0" collapsed="false">
      <c r="A31" s="4" t="s">
        <v>34</v>
      </c>
      <c r="B31" s="4" t="s">
        <v>35</v>
      </c>
      <c r="C31" s="4" t="s">
        <v>25</v>
      </c>
      <c r="D31" s="4" t="s">
        <v>27</v>
      </c>
      <c r="E31" s="4" t="s">
        <v>29</v>
      </c>
      <c r="F31" s="4" t="s">
        <v>31</v>
      </c>
      <c r="G31" s="4" t="s">
        <v>6</v>
      </c>
    </row>
    <row r="32" customFormat="false" ht="15" hidden="false" customHeight="false" outlineLevel="0" collapsed="false">
      <c r="A32" s="5" t="s">
        <v>36</v>
      </c>
      <c r="B32" s="14" t="n">
        <v>5</v>
      </c>
      <c r="C32" s="15" t="n">
        <v>0.299</v>
      </c>
      <c r="D32" s="15" t="n">
        <v>0.112</v>
      </c>
      <c r="E32" s="8" t="n">
        <v>0.0107</v>
      </c>
      <c r="F32" s="8" t="n">
        <v>0.0043</v>
      </c>
      <c r="G32" s="6" t="n">
        <v>112000</v>
      </c>
    </row>
    <row r="33" customFormat="false" ht="15" hidden="false" customHeight="false" outlineLevel="0" collapsed="false">
      <c r="A33" s="5" t="s">
        <v>37</v>
      </c>
      <c r="B33" s="14" t="n">
        <v>6</v>
      </c>
      <c r="C33" s="15" t="n">
        <v>0.347</v>
      </c>
      <c r="D33" s="15" t="n">
        <v>0.147</v>
      </c>
      <c r="E33" s="8" t="n">
        <v>0.0056</v>
      </c>
      <c r="F33" s="8" t="n">
        <v>0.0042</v>
      </c>
      <c r="G33" s="6" t="n">
        <v>55700</v>
      </c>
    </row>
    <row r="34" customFormat="false" ht="15" hidden="false" customHeight="false" outlineLevel="0" collapsed="false">
      <c r="A34" s="5" t="s">
        <v>38</v>
      </c>
      <c r="B34" s="14" t="n">
        <v>5</v>
      </c>
      <c r="C34" s="15" t="n">
        <v>0.279</v>
      </c>
      <c r="D34" s="15" t="n">
        <v>0.11</v>
      </c>
      <c r="E34" s="8" t="n">
        <v>0.0051</v>
      </c>
      <c r="F34" s="8" t="n">
        <v>0.0055</v>
      </c>
      <c r="G34" s="6" t="n">
        <v>56400</v>
      </c>
    </row>
    <row r="35" customFormat="false" ht="15" hidden="false" customHeight="false" outlineLevel="0" collapsed="false">
      <c r="A35" s="5" t="s">
        <v>39</v>
      </c>
      <c r="B35" s="14" t="n">
        <v>5</v>
      </c>
      <c r="C35" s="15" t="n">
        <v>0.268</v>
      </c>
      <c r="D35" s="15" t="n">
        <v>0.142</v>
      </c>
      <c r="E35" s="8" t="n">
        <v>0.0128</v>
      </c>
      <c r="F35" s="8" t="n">
        <v>0.0047</v>
      </c>
      <c r="G35" s="6" t="n">
        <v>58600</v>
      </c>
    </row>
    <row r="36" customFormat="false" ht="15" hidden="false" customHeight="false" outlineLevel="0" collapsed="false">
      <c r="A36" s="5" t="s">
        <v>40</v>
      </c>
      <c r="B36" s="14" t="n">
        <v>3</v>
      </c>
      <c r="C36" s="15" t="n">
        <v>0.292</v>
      </c>
      <c r="D36" s="15" t="n">
        <v>0.135</v>
      </c>
      <c r="E36" s="8" t="n">
        <v>0.0186</v>
      </c>
      <c r="F36" s="8" t="n">
        <v>0.007</v>
      </c>
      <c r="G36" s="6" t="n">
        <v>61100</v>
      </c>
    </row>
    <row r="37" customFormat="false" ht="15" hidden="false" customHeight="false" outlineLevel="0" collapsed="false">
      <c r="A37" s="5" t="s">
        <v>41</v>
      </c>
      <c r="B37" s="14" t="n">
        <v>4</v>
      </c>
      <c r="C37" s="15" t="n">
        <v>0.285</v>
      </c>
      <c r="D37" s="15" t="n">
        <v>0.151</v>
      </c>
      <c r="E37" s="8" t="n">
        <v>0.0095</v>
      </c>
      <c r="F37" s="8" t="n">
        <v>0.0077</v>
      </c>
      <c r="G37" s="6" t="n">
        <v>72400</v>
      </c>
    </row>
    <row r="38" customFormat="false" ht="15" hidden="false" customHeight="false" outlineLevel="0" collapsed="false">
      <c r="A38" s="5" t="s">
        <v>42</v>
      </c>
      <c r="B38" s="14" t="n">
        <v>3</v>
      </c>
      <c r="C38" s="15" t="n">
        <v>0.23</v>
      </c>
      <c r="D38" s="15" t="n">
        <v>0.128</v>
      </c>
      <c r="E38" s="8" t="n">
        <v>0.0129</v>
      </c>
      <c r="F38" s="8" t="n">
        <v>0.0066</v>
      </c>
      <c r="G38" s="6" t="n">
        <v>112200</v>
      </c>
    </row>
    <row r="39" customFormat="false" ht="15" hidden="false" customHeight="false" outlineLevel="0" collapsed="false">
      <c r="A39" s="5" t="s">
        <v>43</v>
      </c>
      <c r="B39" s="14" t="n">
        <v>6</v>
      </c>
      <c r="C39" s="15" t="n">
        <v>0.297</v>
      </c>
      <c r="D39" s="15" t="n">
        <v>0.146</v>
      </c>
      <c r="E39" s="8" t="n">
        <v>0.0039</v>
      </c>
      <c r="F39" s="8" t="n">
        <v>0.0057</v>
      </c>
      <c r="G39" s="6" t="n">
        <v>77000</v>
      </c>
    </row>
    <row r="40" customFormat="false" ht="15" hidden="false" customHeight="false" outlineLevel="0" collapsed="false">
      <c r="A40" s="5" t="s">
        <v>44</v>
      </c>
      <c r="B40" s="14" t="n">
        <v>4</v>
      </c>
      <c r="C40" s="15" t="n">
        <v>0.222</v>
      </c>
      <c r="D40" s="15" t="n">
        <v>0.124</v>
      </c>
      <c r="E40" s="8" t="n">
        <v>0.0076</v>
      </c>
      <c r="F40" s="8" t="n">
        <v>0.0055</v>
      </c>
      <c r="G40" s="6" t="n">
        <v>87700</v>
      </c>
    </row>
    <row r="41" customFormat="false" ht="15" hidden="false" customHeight="false" outlineLevel="0" collapsed="false">
      <c r="A41" s="5" t="s">
        <v>45</v>
      </c>
      <c r="B41" s="14" t="n">
        <v>4</v>
      </c>
      <c r="C41" s="15" t="n">
        <v>0.225</v>
      </c>
      <c r="D41" s="15" t="n">
        <v>0.138</v>
      </c>
      <c r="E41" s="8" t="n">
        <v>0.0077</v>
      </c>
      <c r="F41" s="8" t="n">
        <v>0.0055</v>
      </c>
      <c r="G41" s="6" t="n">
        <v>70700</v>
      </c>
    </row>
    <row r="42" customFormat="false" ht="15" hidden="false" customHeight="false" outlineLevel="0" collapsed="false">
      <c r="A42" s="5" t="s">
        <v>46</v>
      </c>
      <c r="B42" s="14" t="n">
        <v>3</v>
      </c>
      <c r="C42" s="15" t="n">
        <v>0.273</v>
      </c>
      <c r="D42" s="15" t="n">
        <v>0.091</v>
      </c>
      <c r="E42" s="8" t="n">
        <v>0.0177</v>
      </c>
      <c r="F42" s="8" t="n">
        <v>0.0116</v>
      </c>
      <c r="G42" s="6" t="n">
        <v>105200</v>
      </c>
    </row>
    <row r="43" customFormat="false" ht="15" hidden="false" customHeight="false" outlineLevel="0" collapsed="false">
      <c r="A43" s="5" t="s">
        <v>47</v>
      </c>
      <c r="B43" s="14" t="n">
        <v>3</v>
      </c>
      <c r="C43" s="15" t="n">
        <v>0.267</v>
      </c>
      <c r="D43" s="15" t="n">
        <v>0.068</v>
      </c>
      <c r="E43" s="8" t="n">
        <v>0.0317</v>
      </c>
      <c r="F43" s="8" t="n">
        <v>0.0115</v>
      </c>
      <c r="G43" s="6" t="n">
        <v>124000</v>
      </c>
    </row>
    <row r="44" customFormat="false" ht="15" hidden="false" customHeight="false" outlineLevel="0" collapsed="false">
      <c r="A44" s="2" t="s">
        <v>48</v>
      </c>
    </row>
    <row r="46" customFormat="false" ht="15" hidden="false" customHeight="false" outlineLevel="0" collapsed="false">
      <c r="A46" s="3" t="s">
        <v>49</v>
      </c>
    </row>
    <row r="47" customFormat="false" ht="30" hidden="false" customHeight="true" outlineLevel="0" collapsed="false">
      <c r="A47" s="4" t="s">
        <v>50</v>
      </c>
      <c r="B47" s="4" t="s">
        <v>25</v>
      </c>
      <c r="C47" s="4" t="s">
        <v>51</v>
      </c>
    </row>
    <row r="48" customFormat="false" ht="15" hidden="false" customHeight="false" outlineLevel="0" collapsed="false">
      <c r="A48" s="5" t="s">
        <v>52</v>
      </c>
      <c r="B48" s="6" t="n">
        <v>186370</v>
      </c>
      <c r="C48" s="6" t="n">
        <v>42918</v>
      </c>
    </row>
    <row r="49" customFormat="false" ht="15" hidden="false" customHeight="false" outlineLevel="0" collapsed="false">
      <c r="A49" s="5" t="s">
        <v>53</v>
      </c>
      <c r="B49" s="6" t="n">
        <v>83437</v>
      </c>
      <c r="C49" s="6" t="n">
        <v>13767</v>
      </c>
    </row>
    <row r="50" customFormat="false" ht="15" hidden="false" customHeight="false" outlineLevel="0" collapsed="false">
      <c r="A50" s="5" t="s">
        <v>54</v>
      </c>
      <c r="B50" s="6" t="n">
        <v>320849</v>
      </c>
      <c r="C50" s="6" t="n">
        <v>0</v>
      </c>
    </row>
    <row r="51" customFormat="false" ht="15" hidden="false" customHeight="false" outlineLevel="0" collapsed="false">
      <c r="A51" s="5" t="s">
        <v>55</v>
      </c>
      <c r="B51" s="13" t="s">
        <v>56</v>
      </c>
      <c r="C51" s="13"/>
    </row>
  </sheetData>
  <mergeCells count="1">
    <mergeCell ref="B51:C51"/>
  </mergeCells>
  <conditionalFormatting sqref="C14:C16">
    <cfRule type="cellIs" priority="2" operator="greaterThan" aboveAverage="0" equalAverage="0" bottom="0" percent="0" rank="0" text="" dxfId="0">
      <formula>0</formula>
    </cfRule>
  </conditionalFormatting>
  <conditionalFormatting sqref="E32:E43">
    <cfRule type="cellIs" priority="3" operator="greaterThan" aboveAverage="0" equalAverage="0" bottom="0" percent="0" rank="0" text="" dxfId="0">
      <formula>0.0025</formula>
    </cfRule>
  </conditionalFormatting>
  <conditionalFormatting sqref="F32:F43">
    <cfRule type="cellIs" priority="4" operator="greaterThan" aboveAverage="0" equalAverage="0" bottom="0" percent="0" rank="0" text="" dxfId="0">
      <formula>0.0035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0" hidden="false" customHeight="true" outlineLevel="0" collapsed="false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12</v>
      </c>
      <c r="H4" s="4" t="s">
        <v>65</v>
      </c>
      <c r="I4" s="4" t="s">
        <v>66</v>
      </c>
    </row>
    <row r="5" customFormat="false" ht="15" hidden="false" customHeight="false" outlineLevel="0" collapsed="false">
      <c r="A5" s="5" t="s">
        <v>67</v>
      </c>
      <c r="B5" s="16" t="s">
        <v>68</v>
      </c>
      <c r="C5" s="16" t="s">
        <v>67</v>
      </c>
      <c r="D5" s="16" t="s">
        <v>69</v>
      </c>
      <c r="E5" s="17" t="n">
        <f aca="false">COUNTIFS('Emails Aug-Sep'!$E$5:$E$104,A5,'Emails Aug-Sep'!$N$5:$N$104,"No")</f>
        <v>1</v>
      </c>
      <c r="F5" s="18" t="n">
        <f aca="false">IF(E5=0,0,SUMIFS('Emails Aug-Sep'!$F$5:$F$104,'Emails Aug-Sep'!$E$5:$E$104,A5,'Emails Aug-Sep'!$N$5:$N$104,"No")/E5)</f>
        <v>8611</v>
      </c>
      <c r="G5" s="19" t="n">
        <f aca="false">IF(E5=0,0,SUMIFS('Emails Aug-Sep'!$I$5:$I$104,'Emails Aug-Sep'!$E$5:$E$104,A5,'Emails Aug-Sep'!$N$5:$N$104,"No")/SUMIFS('Emails Aug-Sep'!$F$5:$F$104,'Emails Aug-Sep'!$E$5:$E$104,A5,'Emails Aug-Sep'!$N$5:$N$104,"No"))</f>
        <v>0.00696783184299152</v>
      </c>
      <c r="H5" s="20" t="n">
        <f aca="false">IF(E5=0,0,SUMIFS('Emails Aug-Sep'!$J$5:$J$104,'Emails Aug-Sep'!$E$5:$E$104,A5,'Emails Aug-Sep'!$N$5:$N$104,"No")/SUMIFS('Emails Aug-Sep'!$F$5:$F$104,'Emails Aug-Sep'!$E$5:$E$104,A5,'Emails Aug-Sep'!$N$5:$N$104,"No"))</f>
        <v>0.0141679247474161</v>
      </c>
      <c r="I5" s="19" t="n">
        <f aca="false">IF(E5=0,0,SUMIFS('Emails Aug-Sep'!$L$5:$L$104,'Emails Aug-Sep'!$E$5:$E$104,A5,'Emails Aug-Sep'!$N$5:$N$104,"No")/(SUMIFS('Emails Aug-Sep'!$F$5:$F$104,'Emails Aug-Sep'!$E$5:$E$104,A5,'Emails Aug-Sep'!$N$5:$N$104,"No")+SUMIFS('Emails Aug-Sep'!$L$5:$L$104,'Emails Aug-Sep'!$E$5:$E$104,A5,'Emails Aug-Sep'!$N$5:$N$104,"No")))</f>
        <v>0.0129527739569005</v>
      </c>
    </row>
    <row r="6" customFormat="false" ht="23.85" hidden="false" customHeight="false" outlineLevel="0" collapsed="false">
      <c r="A6" s="5" t="s">
        <v>70</v>
      </c>
      <c r="B6" s="16" t="s">
        <v>71</v>
      </c>
      <c r="C6" s="16" t="s">
        <v>72</v>
      </c>
      <c r="D6" s="16" t="s">
        <v>73</v>
      </c>
      <c r="E6" s="17" t="n">
        <f aca="false">COUNTIFS('Emails Aug-Sep'!$E$5:$E$104,A6,'Emails Aug-Sep'!$N$5:$N$104,"No")</f>
        <v>2</v>
      </c>
      <c r="F6" s="18" t="n">
        <f aca="false">IF(E6=0,0,SUMIFS('Emails Aug-Sep'!$F$5:$F$104,'Emails Aug-Sep'!$E$5:$E$104,A6,'Emails Aug-Sep'!$N$5:$N$104,"No")/E6)</f>
        <v>6624</v>
      </c>
      <c r="G6" s="19" t="n">
        <f aca="false">IF(E6=0,0,SUMIFS('Emails Aug-Sep'!$I$5:$I$104,'Emails Aug-Sep'!$E$5:$E$104,A6,'Emails Aug-Sep'!$N$5:$N$104,"No")/SUMIFS('Emails Aug-Sep'!$F$5:$F$104,'Emails Aug-Sep'!$E$5:$E$104,A6,'Emails Aug-Sep'!$N$5:$N$104,"No"))</f>
        <v>0.0127566425120773</v>
      </c>
      <c r="H6" s="20" t="n">
        <f aca="false">IF(E6=0,0,SUMIFS('Emails Aug-Sep'!$J$5:$J$104,'Emails Aug-Sep'!$E$5:$E$104,A6,'Emails Aug-Sep'!$N$5:$N$104,"No")/SUMIFS('Emails Aug-Sep'!$F$5:$F$104,'Emails Aug-Sep'!$E$5:$E$104,A6,'Emails Aug-Sep'!$N$5:$N$104,"No"))</f>
        <v>0.00958635265700483</v>
      </c>
      <c r="I6" s="19" t="n">
        <f aca="false">IF(E6=0,0,SUMIFS('Emails Aug-Sep'!$L$5:$L$104,'Emails Aug-Sep'!$E$5:$E$104,A6,'Emails Aug-Sep'!$N$5:$N$104,"No")/(SUMIFS('Emails Aug-Sep'!$F$5:$F$104,'Emails Aug-Sep'!$E$5:$E$104,A6,'Emails Aug-Sep'!$N$5:$N$104,"No")+SUMIFS('Emails Aug-Sep'!$L$5:$L$104,'Emails Aug-Sep'!$E$5:$E$104,A6,'Emails Aug-Sep'!$N$5:$N$104,"No")))</f>
        <v>0.0114908222653335</v>
      </c>
    </row>
    <row r="7" customFormat="false" ht="23.85" hidden="false" customHeight="false" outlineLevel="0" collapsed="false">
      <c r="A7" s="5" t="s">
        <v>74</v>
      </c>
      <c r="B7" s="16" t="s">
        <v>75</v>
      </c>
      <c r="C7" s="16" t="s">
        <v>72</v>
      </c>
      <c r="D7" s="16" t="s">
        <v>76</v>
      </c>
      <c r="E7" s="17" t="n">
        <f aca="false">COUNTIFS('Emails Aug-Sep'!$E$5:$E$104,A7,'Emails Aug-Sep'!$N$5:$N$104,"No")</f>
        <v>2</v>
      </c>
      <c r="F7" s="18" t="n">
        <f aca="false">IF(E7=0,0,SUMIFS('Emails Aug-Sep'!$F$5:$F$104,'Emails Aug-Sep'!$E$5:$E$104,A7,'Emails Aug-Sep'!$N$5:$N$104,"No")/E7)</f>
        <v>6474.5</v>
      </c>
      <c r="G7" s="19" t="n">
        <f aca="false">IF(E7=0,0,SUMIFS('Emails Aug-Sep'!$I$5:$I$104,'Emails Aug-Sep'!$E$5:$E$104,A7,'Emails Aug-Sep'!$N$5:$N$104,"No")/SUMIFS('Emails Aug-Sep'!$F$5:$F$104,'Emails Aug-Sep'!$E$5:$E$104,A7,'Emails Aug-Sep'!$N$5:$N$104,"No"))</f>
        <v>0.010502741524442</v>
      </c>
      <c r="H7" s="20" t="n">
        <f aca="false">IF(E7=0,0,SUMIFS('Emails Aug-Sep'!$J$5:$J$104,'Emails Aug-Sep'!$E$5:$E$104,A7,'Emails Aug-Sep'!$N$5:$N$104,"No")/SUMIFS('Emails Aug-Sep'!$F$5:$F$104,'Emails Aug-Sep'!$E$5:$E$104,A7,'Emails Aug-Sep'!$N$5:$N$104,"No"))</f>
        <v>0.00980770715885397</v>
      </c>
      <c r="I7" s="19" t="n">
        <f aca="false">IF(E7=0,0,SUMIFS('Emails Aug-Sep'!$L$5:$L$104,'Emails Aug-Sep'!$E$5:$E$104,A7,'Emails Aug-Sep'!$N$5:$N$104,"No")/(SUMIFS('Emails Aug-Sep'!$F$5:$F$104,'Emails Aug-Sep'!$E$5:$E$104,A7,'Emails Aug-Sep'!$N$5:$N$104,"No")+SUMIFS('Emails Aug-Sep'!$L$5:$L$104,'Emails Aug-Sep'!$E$5:$E$104,A7,'Emails Aug-Sep'!$N$5:$N$104,"No")))</f>
        <v>0.00705467372134039</v>
      </c>
    </row>
    <row r="8" customFormat="false" ht="15" hidden="false" customHeight="false" outlineLevel="0" collapsed="false">
      <c r="A8" s="5" t="s">
        <v>77</v>
      </c>
      <c r="B8" s="16" t="s">
        <v>78</v>
      </c>
      <c r="C8" s="16" t="s">
        <v>79</v>
      </c>
      <c r="D8" s="16" t="s">
        <v>80</v>
      </c>
      <c r="E8" s="17" t="n">
        <f aca="false">COUNTIFS('Emails Aug-Sep'!$E$5:$E$104,A8,'Emails Aug-Sep'!$N$5:$N$104,"No")</f>
        <v>3</v>
      </c>
      <c r="F8" s="18" t="n">
        <f aca="false">IF(E8=0,0,SUMIFS('Emails Aug-Sep'!$F$5:$F$104,'Emails Aug-Sep'!$E$5:$E$104,A8,'Emails Aug-Sep'!$N$5:$N$104,"No")/E8)</f>
        <v>5748.33333333333</v>
      </c>
      <c r="G8" s="19" t="n">
        <f aca="false">IF(E8=0,0,SUMIFS('Emails Aug-Sep'!$I$5:$I$104,'Emails Aug-Sep'!$E$5:$E$104,A8,'Emails Aug-Sep'!$N$5:$N$104,"No")/SUMIFS('Emails Aug-Sep'!$F$5:$F$104,'Emails Aug-Sep'!$E$5:$E$104,A8,'Emails Aug-Sep'!$N$5:$N$104,"No"))</f>
        <v>0.0235430559582488</v>
      </c>
      <c r="H8" s="20" t="n">
        <f aca="false">IF(E8=0,0,SUMIFS('Emails Aug-Sep'!$J$5:$J$104,'Emails Aug-Sep'!$E$5:$E$104,A8,'Emails Aug-Sep'!$N$5:$N$104,"No")/SUMIFS('Emails Aug-Sep'!$F$5:$F$104,'Emails Aug-Sep'!$E$5:$E$104,A8,'Emails Aug-Sep'!$N$5:$N$104,"No"))</f>
        <v>0.00533487967526819</v>
      </c>
      <c r="I8" s="19" t="n">
        <f aca="false">IF(E8=0,0,SUMIFS('Emails Aug-Sep'!$L$5:$L$104,'Emails Aug-Sep'!$E$5:$E$104,A8,'Emails Aug-Sep'!$N$5:$N$104,"No")/(SUMIFS('Emails Aug-Sep'!$F$5:$F$104,'Emails Aug-Sep'!$E$5:$E$104,A8,'Emails Aug-Sep'!$N$5:$N$104,"No")+SUMIFS('Emails Aug-Sep'!$L$5:$L$104,'Emails Aug-Sep'!$E$5:$E$104,A8,'Emails Aug-Sep'!$N$5:$N$104,"No")))</f>
        <v>0.00450268429255903</v>
      </c>
    </row>
    <row r="9" customFormat="false" ht="23.85" hidden="false" customHeight="false" outlineLevel="0" collapsed="false">
      <c r="A9" s="5" t="s">
        <v>81</v>
      </c>
      <c r="B9" s="16" t="s">
        <v>82</v>
      </c>
      <c r="C9" s="16" t="s">
        <v>72</v>
      </c>
      <c r="D9" s="16" t="s">
        <v>83</v>
      </c>
      <c r="E9" s="17" t="n">
        <f aca="false">COUNTIFS('Emails Aug-Sep'!$E$5:$E$104,A9,'Emails Aug-Sep'!$N$5:$N$104,"No")</f>
        <v>2</v>
      </c>
      <c r="F9" s="18" t="n">
        <f aca="false">IF(E9=0,0,SUMIFS('Emails Aug-Sep'!$F$5:$F$104,'Emails Aug-Sep'!$E$5:$E$104,A9,'Emails Aug-Sep'!$N$5:$N$104,"No")/E9)</f>
        <v>4746.5</v>
      </c>
      <c r="G9" s="19" t="n">
        <f aca="false">IF(E9=0,0,SUMIFS('Emails Aug-Sep'!$I$5:$I$104,'Emails Aug-Sep'!$E$5:$E$104,A9,'Emails Aug-Sep'!$N$5:$N$104,"No")/SUMIFS('Emails Aug-Sep'!$F$5:$F$104,'Emails Aug-Sep'!$E$5:$E$104,A9,'Emails Aug-Sep'!$N$5:$N$104,"No"))</f>
        <v>0.0289687137891078</v>
      </c>
      <c r="H9" s="20" t="n">
        <f aca="false">IF(E9=0,0,SUMIFS('Emails Aug-Sep'!$J$5:$J$104,'Emails Aug-Sep'!$E$5:$E$104,A9,'Emails Aug-Sep'!$N$5:$N$104,"No")/SUMIFS('Emails Aug-Sep'!$F$5:$F$104,'Emails Aug-Sep'!$E$5:$E$104,A9,'Emails Aug-Sep'!$N$5:$N$104,"No"))</f>
        <v>0.00653112819972611</v>
      </c>
      <c r="I9" s="19" t="n">
        <f aca="false">IF(E9=0,0,SUMIFS('Emails Aug-Sep'!$L$5:$L$104,'Emails Aug-Sep'!$E$5:$E$104,A9,'Emails Aug-Sep'!$N$5:$N$104,"No")/(SUMIFS('Emails Aug-Sep'!$F$5:$F$104,'Emails Aug-Sep'!$E$5:$E$104,A9,'Emails Aug-Sep'!$N$5:$N$104,"No")+SUMIFS('Emails Aug-Sep'!$L$5:$L$104,'Emails Aug-Sep'!$E$5:$E$104,A9,'Emails Aug-Sep'!$N$5:$N$104,"No")))</f>
        <v>0.00939163101325263</v>
      </c>
    </row>
    <row r="10" customFormat="false" ht="23.85" hidden="false" customHeight="false" outlineLevel="0" collapsed="false">
      <c r="A10" s="5" t="s">
        <v>84</v>
      </c>
      <c r="B10" s="16" t="s">
        <v>85</v>
      </c>
      <c r="C10" s="16" t="s">
        <v>86</v>
      </c>
      <c r="D10" s="16" t="s">
        <v>87</v>
      </c>
      <c r="E10" s="17" t="n">
        <f aca="false">COUNTIFS('Emails Aug-Sep'!$E$5:$E$104,A10,'Emails Aug-Sep'!$N$5:$N$104,"No")</f>
        <v>1</v>
      </c>
      <c r="F10" s="18" t="n">
        <f aca="false">IF(E10=0,0,SUMIFS('Emails Aug-Sep'!$F$5:$F$104,'Emails Aug-Sep'!$E$5:$E$104,A10,'Emails Aug-Sep'!$N$5:$N$104,"No")/E10)</f>
        <v>4384</v>
      </c>
      <c r="G10" s="19" t="n">
        <f aca="false">IF(E10=0,0,SUMIFS('Emails Aug-Sep'!$I$5:$I$104,'Emails Aug-Sep'!$E$5:$E$104,A10,'Emails Aug-Sep'!$N$5:$N$104,"No")/SUMIFS('Emails Aug-Sep'!$F$5:$F$104,'Emails Aug-Sep'!$E$5:$E$104,A10,'Emails Aug-Sep'!$N$5:$N$104,"No"))</f>
        <v>0.020985401459854</v>
      </c>
      <c r="H10" s="20" t="n">
        <f aca="false">IF(E10=0,0,SUMIFS('Emails Aug-Sep'!$J$5:$J$104,'Emails Aug-Sep'!$E$5:$E$104,A10,'Emails Aug-Sep'!$N$5:$N$104,"No")/SUMIFS('Emails Aug-Sep'!$F$5:$F$104,'Emails Aug-Sep'!$E$5:$E$104,A10,'Emails Aug-Sep'!$N$5:$N$104,"No"))</f>
        <v>0.00342153284671533</v>
      </c>
      <c r="I10" s="19" t="n">
        <f aca="false">IF(E10=0,0,SUMIFS('Emails Aug-Sep'!$L$5:$L$104,'Emails Aug-Sep'!$E$5:$E$104,A10,'Emails Aug-Sep'!$N$5:$N$104,"No")/(SUMIFS('Emails Aug-Sep'!$F$5:$F$104,'Emails Aug-Sep'!$E$5:$E$104,A10,'Emails Aug-Sep'!$N$5:$N$104,"No")+SUMIFS('Emails Aug-Sep'!$L$5:$L$104,'Emails Aug-Sep'!$E$5:$E$104,A10,'Emails Aug-Sep'!$N$5:$N$104,"No")))</f>
        <v>0.010160307067058</v>
      </c>
    </row>
    <row r="11" customFormat="false" ht="23.85" hidden="false" customHeight="false" outlineLevel="0" collapsed="false">
      <c r="A11" s="5" t="s">
        <v>88</v>
      </c>
      <c r="B11" s="16" t="s">
        <v>89</v>
      </c>
      <c r="C11" s="16" t="s">
        <v>72</v>
      </c>
      <c r="D11" s="16" t="s">
        <v>90</v>
      </c>
      <c r="E11" s="17" t="n">
        <f aca="false">COUNTIFS('Emails Aug-Sep'!$E$5:$E$104,A11,'Emails Aug-Sep'!$N$5:$N$104,"No")</f>
        <v>1</v>
      </c>
      <c r="F11" s="18" t="n">
        <f aca="false">IF(E11=0,0,SUMIFS('Emails Aug-Sep'!$F$5:$F$104,'Emails Aug-Sep'!$E$5:$E$104,A11,'Emails Aug-Sep'!$N$5:$N$104,"No")/E11)</f>
        <v>3302</v>
      </c>
      <c r="G11" s="19" t="n">
        <f aca="false">IF(E11=0,0,SUMIFS('Emails Aug-Sep'!$I$5:$I$104,'Emails Aug-Sep'!$E$5:$E$104,A11,'Emails Aug-Sep'!$N$5:$N$104,"No")/SUMIFS('Emails Aug-Sep'!$F$5:$F$104,'Emails Aug-Sep'!$E$5:$E$104,A11,'Emails Aug-Sep'!$N$5:$N$104,"No"))</f>
        <v>0.0151423379769836</v>
      </c>
      <c r="H11" s="20" t="n">
        <f aca="false">IF(E11=0,0,SUMIFS('Emails Aug-Sep'!$J$5:$J$104,'Emails Aug-Sep'!$E$5:$E$104,A11,'Emails Aug-Sep'!$N$5:$N$104,"No")/SUMIFS('Emails Aug-Sep'!$F$5:$F$104,'Emails Aug-Sep'!$E$5:$E$104,A11,'Emails Aug-Sep'!$N$5:$N$104,"No"))</f>
        <v>0.00757116898849182</v>
      </c>
      <c r="I11" s="19" t="n">
        <f aca="false">IF(E11=0,0,SUMIFS('Emails Aug-Sep'!$L$5:$L$104,'Emails Aug-Sep'!$E$5:$E$104,A11,'Emails Aug-Sep'!$N$5:$N$104,"No")/(SUMIFS('Emails Aug-Sep'!$F$5:$F$104,'Emails Aug-Sep'!$E$5:$E$104,A11,'Emails Aug-Sep'!$N$5:$N$104,"No")+SUMIFS('Emails Aug-Sep'!$L$5:$L$104,'Emails Aug-Sep'!$E$5:$E$104,A11,'Emails Aug-Sep'!$N$5:$N$104,"No")))</f>
        <v>0.0222090612970092</v>
      </c>
    </row>
    <row r="12" customFormat="false" ht="15" hidden="false" customHeight="false" outlineLevel="0" collapsed="false">
      <c r="A12" s="5" t="s">
        <v>91</v>
      </c>
      <c r="B12" s="16" t="s">
        <v>92</v>
      </c>
      <c r="C12" s="16" t="s">
        <v>92</v>
      </c>
      <c r="D12" s="16" t="s">
        <v>93</v>
      </c>
      <c r="E12" s="17" t="n">
        <f aca="false">COUNTIFS('Emails Aug-Sep'!$E$5:$E$104,A12,'Emails Aug-Sep'!$N$5:$N$104,"No")</f>
        <v>2</v>
      </c>
      <c r="F12" s="18" t="n">
        <f aca="false">IF(E12=0,0,SUMIFS('Emails Aug-Sep'!$F$5:$F$104,'Emails Aug-Sep'!$E$5:$E$104,A12,'Emails Aug-Sep'!$N$5:$N$104,"No")/E12)</f>
        <v>2756</v>
      </c>
      <c r="G12" s="19" t="n">
        <f aca="false">IF(E12=0,0,SUMIFS('Emails Aug-Sep'!$I$5:$I$104,'Emails Aug-Sep'!$E$5:$E$104,A12,'Emails Aug-Sep'!$N$5:$N$104,"No")/SUMIFS('Emails Aug-Sep'!$F$5:$F$104,'Emails Aug-Sep'!$E$5:$E$104,A12,'Emails Aug-Sep'!$N$5:$N$104,"No"))</f>
        <v>0.0295718432510885</v>
      </c>
      <c r="H12" s="20" t="n">
        <f aca="false">IF(E12=0,0,SUMIFS('Emails Aug-Sep'!$J$5:$J$104,'Emails Aug-Sep'!$E$5:$E$104,A12,'Emails Aug-Sep'!$N$5:$N$104,"No")/SUMIFS('Emails Aug-Sep'!$F$5:$F$104,'Emails Aug-Sep'!$E$5:$E$104,A12,'Emails Aug-Sep'!$N$5:$N$104,"No"))</f>
        <v>0.00362844702467344</v>
      </c>
      <c r="I12" s="19" t="n">
        <f aca="false">IF(E12=0,0,SUMIFS('Emails Aug-Sep'!$L$5:$L$104,'Emails Aug-Sep'!$E$5:$E$104,A12,'Emails Aug-Sep'!$N$5:$N$104,"No")/(SUMIFS('Emails Aug-Sep'!$F$5:$F$104,'Emails Aug-Sep'!$E$5:$E$104,A12,'Emails Aug-Sep'!$N$5:$N$104,"No")+SUMIFS('Emails Aug-Sep'!$L$5:$L$104,'Emails Aug-Sep'!$E$5:$E$104,A12,'Emails Aug-Sep'!$N$5:$N$104,"No")))</f>
        <v>0.00630971696412475</v>
      </c>
    </row>
    <row r="13" customFormat="false" ht="23.85" hidden="false" customHeight="false" outlineLevel="0" collapsed="false">
      <c r="A13" s="5" t="s">
        <v>94</v>
      </c>
      <c r="B13" s="16" t="s">
        <v>95</v>
      </c>
      <c r="C13" s="16" t="s">
        <v>72</v>
      </c>
      <c r="D13" s="16" t="s">
        <v>96</v>
      </c>
      <c r="E13" s="17" t="n">
        <f aca="false">COUNTIFS('Emails Aug-Sep'!$E$5:$E$104,A13,'Emails Aug-Sep'!$N$5:$N$104,"No")</f>
        <v>1</v>
      </c>
      <c r="F13" s="18" t="n">
        <f aca="false">IF(E13=0,0,SUMIFS('Emails Aug-Sep'!$F$5:$F$104,'Emails Aug-Sep'!$E$5:$E$104,A13,'Emails Aug-Sep'!$N$5:$N$104,"No")/E13)</f>
        <v>1787</v>
      </c>
      <c r="G13" s="19" t="n">
        <f aca="false">IF(E13=0,0,SUMIFS('Emails Aug-Sep'!$I$5:$I$104,'Emails Aug-Sep'!$E$5:$E$104,A13,'Emails Aug-Sep'!$N$5:$N$104,"No")/SUMIFS('Emails Aug-Sep'!$F$5:$F$104,'Emails Aug-Sep'!$E$5:$E$104,A13,'Emails Aug-Sep'!$N$5:$N$104,"No"))</f>
        <v>0.0218242865137101</v>
      </c>
      <c r="H13" s="20" t="n">
        <f aca="false">IF(E13=0,0,SUMIFS('Emails Aug-Sep'!$J$5:$J$104,'Emails Aug-Sep'!$E$5:$E$104,A13,'Emails Aug-Sep'!$N$5:$N$104,"No")/SUMIFS('Emails Aug-Sep'!$F$5:$F$104,'Emails Aug-Sep'!$E$5:$E$104,A13,'Emails Aug-Sep'!$N$5:$N$104,"No"))</f>
        <v>0.00559597090095132</v>
      </c>
      <c r="I13" s="19" t="n">
        <f aca="false">IF(E13=0,0,SUMIFS('Emails Aug-Sep'!$L$5:$L$104,'Emails Aug-Sep'!$E$5:$E$104,A13,'Emails Aug-Sep'!$N$5:$N$104,"No")/(SUMIFS('Emails Aug-Sep'!$F$5:$F$104,'Emails Aug-Sep'!$E$5:$E$104,A13,'Emails Aug-Sep'!$N$5:$N$104,"No")+SUMIFS('Emails Aug-Sep'!$L$5:$L$104,'Emails Aug-Sep'!$E$5:$E$104,A13,'Emails Aug-Sep'!$N$5:$N$104,"No")))</f>
        <v>0.00722222222222222</v>
      </c>
    </row>
    <row r="14" customFormat="false" ht="23.85" hidden="false" customHeight="false" outlineLevel="0" collapsed="false">
      <c r="A14" s="5" t="s">
        <v>97</v>
      </c>
      <c r="B14" s="16" t="s">
        <v>98</v>
      </c>
      <c r="C14" s="16" t="s">
        <v>72</v>
      </c>
      <c r="D14" s="16" t="s">
        <v>99</v>
      </c>
      <c r="E14" s="17" t="n">
        <f aca="false">COUNTIFS('Emails Aug-Sep'!$E$5:$E$104,A14,'Emails Aug-Sep'!$N$5:$N$104,"No")</f>
        <v>1</v>
      </c>
      <c r="F14" s="18" t="n">
        <f aca="false">IF(E14=0,0,SUMIFS('Emails Aug-Sep'!$F$5:$F$104,'Emails Aug-Sep'!$E$5:$E$104,A14,'Emails Aug-Sep'!$N$5:$N$104,"No")/E14)</f>
        <v>1430</v>
      </c>
      <c r="G14" s="19" t="n">
        <f aca="false">IF(E14=0,0,SUMIFS('Emails Aug-Sep'!$I$5:$I$104,'Emails Aug-Sep'!$E$5:$E$104,A14,'Emails Aug-Sep'!$N$5:$N$104,"No")/SUMIFS('Emails Aug-Sep'!$F$5:$F$104,'Emails Aug-Sep'!$E$5:$E$104,A14,'Emails Aug-Sep'!$N$5:$N$104,"No"))</f>
        <v>0.0132867132867133</v>
      </c>
      <c r="H14" s="20" t="n">
        <f aca="false">IF(E14=0,0,SUMIFS('Emails Aug-Sep'!$J$5:$J$104,'Emails Aug-Sep'!$E$5:$E$104,A14,'Emails Aug-Sep'!$N$5:$N$104,"No")/SUMIFS('Emails Aug-Sep'!$F$5:$F$104,'Emails Aug-Sep'!$E$5:$E$104,A14,'Emails Aug-Sep'!$N$5:$N$104,"No"))</f>
        <v>0.00559440559440559</v>
      </c>
      <c r="I14" s="19" t="n">
        <f aca="false">IF(E14=0,0,SUMIFS('Emails Aug-Sep'!$L$5:$L$104,'Emails Aug-Sep'!$E$5:$E$104,A14,'Emails Aug-Sep'!$N$5:$N$104,"No")/(SUMIFS('Emails Aug-Sep'!$F$5:$F$104,'Emails Aug-Sep'!$E$5:$E$104,A14,'Emails Aug-Sep'!$N$5:$N$104,"No")+SUMIFS('Emails Aug-Sep'!$L$5:$L$104,'Emails Aug-Sep'!$E$5:$E$104,A14,'Emails Aug-Sep'!$N$5:$N$104,"No")))</f>
        <v>0.00694444444444444</v>
      </c>
    </row>
    <row r="15" customFormat="false" ht="23.85" hidden="false" customHeight="false" outlineLevel="0" collapsed="false">
      <c r="A15" s="5" t="s">
        <v>100</v>
      </c>
      <c r="B15" s="16" t="s">
        <v>101</v>
      </c>
      <c r="C15" s="16" t="s">
        <v>72</v>
      </c>
      <c r="D15" s="16" t="s">
        <v>102</v>
      </c>
      <c r="E15" s="17" t="n">
        <f aca="false">COUNTIFS('Emails Aug-Sep'!$E$5:$E$104,A15,'Emails Aug-Sep'!$N$5:$N$104,"No")</f>
        <v>1</v>
      </c>
      <c r="F15" s="18" t="n">
        <f aca="false">IF(E15=0,0,SUMIFS('Emails Aug-Sep'!$F$5:$F$104,'Emails Aug-Sep'!$E$5:$E$104,A15,'Emails Aug-Sep'!$N$5:$N$104,"No")/E15)</f>
        <v>1420</v>
      </c>
      <c r="G15" s="19" t="n">
        <f aca="false">IF(E15=0,0,SUMIFS('Emails Aug-Sep'!$I$5:$I$104,'Emails Aug-Sep'!$E$5:$E$104,A15,'Emails Aug-Sep'!$N$5:$N$104,"No")/SUMIFS('Emails Aug-Sep'!$F$5:$F$104,'Emails Aug-Sep'!$E$5:$E$104,A15,'Emails Aug-Sep'!$N$5:$N$104,"No"))</f>
        <v>0.0190140845070423</v>
      </c>
      <c r="H15" s="20" t="n">
        <f aca="false">IF(E15=0,0,SUMIFS('Emails Aug-Sep'!$J$5:$J$104,'Emails Aug-Sep'!$E$5:$E$104,A15,'Emails Aug-Sep'!$N$5:$N$104,"No")/SUMIFS('Emails Aug-Sep'!$F$5:$F$104,'Emails Aug-Sep'!$E$5:$E$104,A15,'Emails Aug-Sep'!$N$5:$N$104,"No"))</f>
        <v>0.00563380281690141</v>
      </c>
      <c r="I15" s="19" t="n">
        <f aca="false">IF(E15=0,0,SUMIFS('Emails Aug-Sep'!$L$5:$L$104,'Emails Aug-Sep'!$E$5:$E$104,A15,'Emails Aug-Sep'!$N$5:$N$104,"No")/(SUMIFS('Emails Aug-Sep'!$F$5:$F$104,'Emails Aug-Sep'!$E$5:$E$104,A15,'Emails Aug-Sep'!$N$5:$N$104,"No")+SUMIFS('Emails Aug-Sep'!$L$5:$L$104,'Emails Aug-Sep'!$E$5:$E$104,A15,'Emails Aug-Sep'!$N$5:$N$104,"No")))</f>
        <v>0.0076869322152341</v>
      </c>
    </row>
    <row r="16" customFormat="false" ht="15" hidden="false" customHeight="false" outlineLevel="0" collapsed="false">
      <c r="A16" s="5" t="s">
        <v>103</v>
      </c>
      <c r="B16" s="16" t="s">
        <v>104</v>
      </c>
      <c r="C16" s="16" t="s">
        <v>104</v>
      </c>
      <c r="D16" s="16" t="s">
        <v>105</v>
      </c>
      <c r="E16" s="17" t="n">
        <f aca="false">COUNTIFS('Emails Aug-Sep'!$E$5:$E$104,A16,'Emails Aug-Sep'!$N$5:$N$104,"No")</f>
        <v>4</v>
      </c>
      <c r="F16" s="18" t="n">
        <f aca="false">IF(E16=0,0,SUMIFS('Emails Aug-Sep'!$F$5:$F$104,'Emails Aug-Sep'!$E$5:$E$104,A16,'Emails Aug-Sep'!$N$5:$N$104,"No")/E16)</f>
        <v>988.75</v>
      </c>
      <c r="G16" s="19" t="n">
        <f aca="false">IF(E16=0,0,SUMIFS('Emails Aug-Sep'!$I$5:$I$104,'Emails Aug-Sep'!$E$5:$E$104,A16,'Emails Aug-Sep'!$N$5:$N$104,"No")/SUMIFS('Emails Aug-Sep'!$F$5:$F$104,'Emails Aug-Sep'!$E$5:$E$104,A16,'Emails Aug-Sep'!$N$5:$N$104,"No"))</f>
        <v>0.0963337547408344</v>
      </c>
      <c r="H16" s="20" t="n">
        <f aca="false">IF(E16=0,0,SUMIFS('Emails Aug-Sep'!$J$5:$J$104,'Emails Aug-Sep'!$E$5:$E$104,A16,'Emails Aug-Sep'!$N$5:$N$104,"No")/SUMIFS('Emails Aug-Sep'!$F$5:$F$104,'Emails Aug-Sep'!$E$5:$E$104,A16,'Emails Aug-Sep'!$N$5:$N$104,"No"))</f>
        <v>0.000505689001264223</v>
      </c>
      <c r="I16" s="19" t="n">
        <f aca="false">IF(E16=0,0,SUMIFS('Emails Aug-Sep'!$L$5:$L$104,'Emails Aug-Sep'!$E$5:$E$104,A16,'Emails Aug-Sep'!$N$5:$N$104,"No")/(SUMIFS('Emails Aug-Sep'!$F$5:$F$104,'Emails Aug-Sep'!$E$5:$E$104,A16,'Emails Aug-Sep'!$N$5:$N$104,"No")+SUMIFS('Emails Aug-Sep'!$L$5:$L$104,'Emails Aug-Sep'!$E$5:$E$104,A16,'Emails Aug-Sep'!$N$5:$N$104,"No")))</f>
        <v>0.00201867272268483</v>
      </c>
    </row>
    <row r="17" customFormat="false" ht="15" hidden="false" customHeight="false" outlineLevel="0" collapsed="false">
      <c r="A17" s="5" t="s">
        <v>106</v>
      </c>
      <c r="B17" s="16" t="s">
        <v>107</v>
      </c>
      <c r="C17" s="16" t="s">
        <v>108</v>
      </c>
      <c r="D17" s="16" t="s">
        <v>109</v>
      </c>
      <c r="E17" s="17" t="n">
        <f aca="false">COUNTIFS('Emails Aug-Sep'!$E$5:$E$104,A17,'Emails Aug-Sep'!$N$5:$N$104,"No")</f>
        <v>1</v>
      </c>
      <c r="F17" s="18" t="n">
        <f aca="false">IF(E17=0,0,SUMIFS('Emails Aug-Sep'!$F$5:$F$104,'Emails Aug-Sep'!$E$5:$E$104,A17,'Emails Aug-Sep'!$N$5:$N$104,"No")/E17)</f>
        <v>805</v>
      </c>
      <c r="G17" s="19" t="n">
        <f aca="false">IF(E17=0,0,SUMIFS('Emails Aug-Sep'!$I$5:$I$104,'Emails Aug-Sep'!$E$5:$E$104,A17,'Emails Aug-Sep'!$N$5:$N$104,"No")/SUMIFS('Emails Aug-Sep'!$F$5:$F$104,'Emails Aug-Sep'!$E$5:$E$104,A17,'Emails Aug-Sep'!$N$5:$N$104,"No"))</f>
        <v>0.00745341614906832</v>
      </c>
      <c r="H17" s="20" t="n">
        <f aca="false">IF(E17=0,0,SUMIFS('Emails Aug-Sep'!$J$5:$J$104,'Emails Aug-Sep'!$E$5:$E$104,A17,'Emails Aug-Sep'!$N$5:$N$104,"No")/SUMIFS('Emails Aug-Sep'!$F$5:$F$104,'Emails Aug-Sep'!$E$5:$E$104,A17,'Emails Aug-Sep'!$N$5:$N$104,"No"))</f>
        <v>0.00993788819875776</v>
      </c>
      <c r="I17" s="19" t="n">
        <f aca="false">IF(E17=0,0,SUMIFS('Emails Aug-Sep'!$L$5:$L$104,'Emails Aug-Sep'!$E$5:$E$104,A17,'Emails Aug-Sep'!$N$5:$N$104,"No")/(SUMIFS('Emails Aug-Sep'!$F$5:$F$104,'Emails Aug-Sep'!$E$5:$E$104,A17,'Emails Aug-Sep'!$N$5:$N$104,"No")+SUMIFS('Emails Aug-Sep'!$L$5:$L$104,'Emails Aug-Sep'!$E$5:$E$104,A17,'Emails Aug-Sep'!$N$5:$N$104,"No")))</f>
        <v>0.0393794749403341</v>
      </c>
    </row>
    <row r="18" customFormat="false" ht="15" hidden="false" customHeight="false" outlineLevel="0" collapsed="false">
      <c r="A18" s="5" t="s">
        <v>110</v>
      </c>
      <c r="B18" s="16" t="s">
        <v>111</v>
      </c>
      <c r="C18" s="16" t="s">
        <v>112</v>
      </c>
      <c r="D18" s="16" t="s">
        <v>113</v>
      </c>
      <c r="E18" s="17" t="n">
        <f aca="false">COUNTIFS('Emails Aug-Sep'!$E$5:$E$104,A18,'Emails Aug-Sep'!$N$5:$N$104,"No")</f>
        <v>2</v>
      </c>
      <c r="F18" s="18" t="n">
        <f aca="false">IF(E18=0,0,SUMIFS('Emails Aug-Sep'!$F$5:$F$104,'Emails Aug-Sep'!$E$5:$E$104,A18,'Emails Aug-Sep'!$N$5:$N$104,"No")/E18)</f>
        <v>641</v>
      </c>
      <c r="G18" s="19" t="n">
        <f aca="false">IF(E18=0,0,SUMIFS('Emails Aug-Sep'!$I$5:$I$104,'Emails Aug-Sep'!$E$5:$E$104,A18,'Emails Aug-Sep'!$N$5:$N$104,"No")/SUMIFS('Emails Aug-Sep'!$F$5:$F$104,'Emails Aug-Sep'!$E$5:$E$104,A18,'Emails Aug-Sep'!$N$5:$N$104,"No"))</f>
        <v>0.0709828393135726</v>
      </c>
      <c r="H18" s="20" t="n">
        <f aca="false">IF(E18=0,0,SUMIFS('Emails Aug-Sep'!$J$5:$J$104,'Emails Aug-Sep'!$E$5:$E$104,A18,'Emails Aug-Sep'!$N$5:$N$104,"No")/SUMIFS('Emails Aug-Sep'!$F$5:$F$104,'Emails Aug-Sep'!$E$5:$E$104,A18,'Emails Aug-Sep'!$N$5:$N$104,"No"))</f>
        <v>0</v>
      </c>
      <c r="I18" s="19" t="n">
        <f aca="false">IF(E18=0,0,SUMIFS('Emails Aug-Sep'!$L$5:$L$104,'Emails Aug-Sep'!$E$5:$E$104,A18,'Emails Aug-Sep'!$N$5:$N$104,"No")/(SUMIFS('Emails Aug-Sep'!$F$5:$F$104,'Emails Aug-Sep'!$E$5:$E$104,A18,'Emails Aug-Sep'!$N$5:$N$104,"No")+SUMIFS('Emails Aug-Sep'!$L$5:$L$104,'Emails Aug-Sep'!$E$5:$E$104,A18,'Emails Aug-Sep'!$N$5:$N$104,"No")))</f>
        <v>0.0031104199066874</v>
      </c>
    </row>
    <row r="19" customFormat="false" ht="23.85" hidden="false" customHeight="false" outlineLevel="0" collapsed="false">
      <c r="A19" s="5" t="s">
        <v>114</v>
      </c>
      <c r="B19" s="16" t="s">
        <v>85</v>
      </c>
      <c r="C19" s="16" t="s">
        <v>86</v>
      </c>
      <c r="D19" s="16" t="s">
        <v>115</v>
      </c>
      <c r="E19" s="17" t="n">
        <f aca="false">COUNTIFS('Emails Aug-Sep'!$E$5:$E$104,A19,'Emails Aug-Sep'!$N$5:$N$104,"No")</f>
        <v>1</v>
      </c>
      <c r="F19" s="18" t="n">
        <f aca="false">IF(E19=0,0,SUMIFS('Emails Aug-Sep'!$F$5:$F$104,'Emails Aug-Sep'!$E$5:$E$104,A19,'Emails Aug-Sep'!$N$5:$N$104,"No")/E19)</f>
        <v>612</v>
      </c>
      <c r="G19" s="19" t="n">
        <f aca="false">IF(E19=0,0,SUMIFS('Emails Aug-Sep'!$I$5:$I$104,'Emails Aug-Sep'!$E$5:$E$104,A19,'Emails Aug-Sep'!$N$5:$N$104,"No")/SUMIFS('Emails Aug-Sep'!$F$5:$F$104,'Emails Aug-Sep'!$E$5:$E$104,A19,'Emails Aug-Sep'!$N$5:$N$104,"No"))</f>
        <v>0.00490196078431373</v>
      </c>
      <c r="H19" s="20" t="n">
        <f aca="false">IF(E19=0,0,SUMIFS('Emails Aug-Sep'!$J$5:$J$104,'Emails Aug-Sep'!$E$5:$E$104,A19,'Emails Aug-Sep'!$N$5:$N$104,"No")/SUMIFS('Emails Aug-Sep'!$F$5:$F$104,'Emails Aug-Sep'!$E$5:$E$104,A19,'Emails Aug-Sep'!$N$5:$N$104,"No"))</f>
        <v>0.00490196078431373</v>
      </c>
      <c r="I19" s="19" t="n">
        <f aca="false">IF(E19=0,0,SUMIFS('Emails Aug-Sep'!$L$5:$L$104,'Emails Aug-Sep'!$E$5:$E$104,A19,'Emails Aug-Sep'!$N$5:$N$104,"No")/(SUMIFS('Emails Aug-Sep'!$F$5:$F$104,'Emails Aug-Sep'!$E$5:$E$104,A19,'Emails Aug-Sep'!$N$5:$N$104,"No")+SUMIFS('Emails Aug-Sep'!$L$5:$L$104,'Emails Aug-Sep'!$E$5:$E$104,A19,'Emails Aug-Sep'!$N$5:$N$104,"No")))</f>
        <v>0.0160771704180064</v>
      </c>
    </row>
    <row r="20" customFormat="false" ht="23.85" hidden="false" customHeight="false" outlineLevel="0" collapsed="false">
      <c r="A20" s="5" t="s">
        <v>116</v>
      </c>
      <c r="B20" s="16" t="s">
        <v>117</v>
      </c>
      <c r="C20" s="16" t="s">
        <v>72</v>
      </c>
      <c r="D20" s="16" t="s">
        <v>90</v>
      </c>
      <c r="E20" s="17" t="n">
        <f aca="false">COUNTIFS('Emails Aug-Sep'!$E$5:$E$104,A20,'Emails Aug-Sep'!$N$5:$N$104,"No")</f>
        <v>1</v>
      </c>
      <c r="F20" s="18" t="n">
        <f aca="false">IF(E20=0,0,SUMIFS('Emails Aug-Sep'!$F$5:$F$104,'Emails Aug-Sep'!$E$5:$E$104,A20,'Emails Aug-Sep'!$N$5:$N$104,"No")/E20)</f>
        <v>309</v>
      </c>
      <c r="G20" s="19" t="n">
        <f aca="false">IF(E20=0,0,SUMIFS('Emails Aug-Sep'!$I$5:$I$104,'Emails Aug-Sep'!$E$5:$E$104,A20,'Emails Aug-Sep'!$N$5:$N$104,"No")/SUMIFS('Emails Aug-Sep'!$F$5:$F$104,'Emails Aug-Sep'!$E$5:$E$104,A20,'Emails Aug-Sep'!$N$5:$N$104,"No"))</f>
        <v>0.103559870550162</v>
      </c>
      <c r="H20" s="20" t="n">
        <f aca="false">IF(E20=0,0,SUMIFS('Emails Aug-Sep'!$J$5:$J$104,'Emails Aug-Sep'!$E$5:$E$104,A20,'Emails Aug-Sep'!$N$5:$N$104,"No")/SUMIFS('Emails Aug-Sep'!$F$5:$F$104,'Emails Aug-Sep'!$E$5:$E$104,A20,'Emails Aug-Sep'!$N$5:$N$104,"No"))</f>
        <v>0.0194174757281553</v>
      </c>
      <c r="I20" s="19" t="n">
        <f aca="false">IF(E20=0,0,SUMIFS('Emails Aug-Sep'!$L$5:$L$104,'Emails Aug-Sep'!$E$5:$E$104,A20,'Emails Aug-Sep'!$N$5:$N$104,"No")/(SUMIFS('Emails Aug-Sep'!$F$5:$F$104,'Emails Aug-Sep'!$E$5:$E$104,A20,'Emails Aug-Sep'!$N$5:$N$104,"No")+SUMIFS('Emails Aug-Sep'!$L$5:$L$104,'Emails Aug-Sep'!$E$5:$E$104,A20,'Emails Aug-Sep'!$N$5:$N$104,"No")))</f>
        <v>0.0776119402985075</v>
      </c>
    </row>
    <row r="21" customFormat="false" ht="23.85" hidden="false" customHeight="false" outlineLevel="0" collapsed="false">
      <c r="A21" s="5" t="s">
        <v>118</v>
      </c>
      <c r="B21" s="16" t="s">
        <v>119</v>
      </c>
      <c r="C21" s="16" t="s">
        <v>72</v>
      </c>
      <c r="D21" s="16" t="s">
        <v>120</v>
      </c>
      <c r="E21" s="17" t="n">
        <f aca="false">COUNTIFS('Emails Aug-Sep'!$E$5:$E$104,A21,'Emails Aug-Sep'!$N$5:$N$104,"No")</f>
        <v>1</v>
      </c>
      <c r="F21" s="18" t="n">
        <f aca="false">IF(E21=0,0,SUMIFS('Emails Aug-Sep'!$F$5:$F$104,'Emails Aug-Sep'!$E$5:$E$104,A21,'Emails Aug-Sep'!$N$5:$N$104,"No")/E21)</f>
        <v>219</v>
      </c>
      <c r="G21" s="19" t="n">
        <f aca="false">IF(E21=0,0,SUMIFS('Emails Aug-Sep'!$I$5:$I$104,'Emails Aug-Sep'!$E$5:$E$104,A21,'Emails Aug-Sep'!$N$5:$N$104,"No")/SUMIFS('Emails Aug-Sep'!$F$5:$F$104,'Emails Aug-Sep'!$E$5:$E$104,A21,'Emails Aug-Sep'!$N$5:$N$104,"No"))</f>
        <v>0.0182648401826484</v>
      </c>
      <c r="H21" s="20" t="n">
        <f aca="false">IF(E21=0,0,SUMIFS('Emails Aug-Sep'!$J$5:$J$104,'Emails Aug-Sep'!$E$5:$E$104,A21,'Emails Aug-Sep'!$N$5:$N$104,"No")/SUMIFS('Emails Aug-Sep'!$F$5:$F$104,'Emails Aug-Sep'!$E$5:$E$104,A21,'Emails Aug-Sep'!$N$5:$N$104,"No"))</f>
        <v>0</v>
      </c>
      <c r="I21" s="19" t="n">
        <f aca="false">IF(E21=0,0,SUMIFS('Emails Aug-Sep'!$L$5:$L$104,'Emails Aug-Sep'!$E$5:$E$104,A21,'Emails Aug-Sep'!$N$5:$N$104,"No")/(SUMIFS('Emails Aug-Sep'!$F$5:$F$104,'Emails Aug-Sep'!$E$5:$E$104,A21,'Emails Aug-Sep'!$N$5:$N$104,"No")+SUMIFS('Emails Aug-Sep'!$L$5:$L$104,'Emails Aug-Sep'!$E$5:$E$104,A21,'Emails Aug-Sep'!$N$5:$N$104,"No")))</f>
        <v>0.00904977375565611</v>
      </c>
    </row>
    <row r="22" customFormat="false" ht="23.85" hidden="false" customHeight="false" outlineLevel="0" collapsed="false">
      <c r="A22" s="5" t="s">
        <v>121</v>
      </c>
      <c r="B22" s="16" t="s">
        <v>122</v>
      </c>
      <c r="C22" s="16" t="s">
        <v>123</v>
      </c>
      <c r="D22" s="16" t="s">
        <v>124</v>
      </c>
      <c r="E22" s="17" t="n">
        <f aca="false">COUNTIFS('Emails Aug-Sep'!$E$5:$E$104,A22,'Emails Aug-Sep'!$N$5:$N$104,"No")</f>
        <v>3</v>
      </c>
      <c r="F22" s="18" t="n">
        <f aca="false">IF(E22=0,0,SUMIFS('Emails Aug-Sep'!$F$5:$F$104,'Emails Aug-Sep'!$E$5:$E$104,A22,'Emails Aug-Sep'!$N$5:$N$104,"No")/E22)</f>
        <v>126.333333333333</v>
      </c>
      <c r="G22" s="19" t="n">
        <f aca="false">IF(E22=0,0,SUMIFS('Emails Aug-Sep'!$I$5:$I$104,'Emails Aug-Sep'!$E$5:$E$104,A22,'Emails Aug-Sep'!$N$5:$N$104,"No")/SUMIFS('Emails Aug-Sep'!$F$5:$F$104,'Emails Aug-Sep'!$E$5:$E$104,A22,'Emails Aug-Sep'!$N$5:$N$104,"No"))</f>
        <v>0.0316622691292876</v>
      </c>
      <c r="H22" s="20" t="n">
        <f aca="false">IF(E22=0,0,SUMIFS('Emails Aug-Sep'!$J$5:$J$104,'Emails Aug-Sep'!$E$5:$E$104,A22,'Emails Aug-Sep'!$N$5:$N$104,"No")/SUMIFS('Emails Aug-Sep'!$F$5:$F$104,'Emails Aug-Sep'!$E$5:$E$104,A22,'Emails Aug-Sep'!$N$5:$N$104,"No"))</f>
        <v>0.00527704485488127</v>
      </c>
      <c r="I22" s="19" t="n">
        <f aca="false">IF(E22=0,0,SUMIFS('Emails Aug-Sep'!$L$5:$L$104,'Emails Aug-Sep'!$E$5:$E$104,A22,'Emails Aug-Sep'!$N$5:$N$104,"No")/(SUMIFS('Emails Aug-Sep'!$F$5:$F$104,'Emails Aug-Sep'!$E$5:$E$104,A22,'Emails Aug-Sep'!$N$5:$N$104,"No")+SUMIFS('Emails Aug-Sep'!$L$5:$L$104,'Emails Aug-Sep'!$E$5:$E$104,A22,'Emails Aug-Sep'!$N$5:$N$104,"No")))</f>
        <v>0</v>
      </c>
    </row>
    <row r="23" customFormat="false" ht="15" hidden="false" customHeight="false" outlineLevel="0" collapsed="false">
      <c r="A23" s="5" t="s">
        <v>125</v>
      </c>
      <c r="B23" s="16" t="s">
        <v>126</v>
      </c>
      <c r="C23" s="16" t="s">
        <v>127</v>
      </c>
      <c r="D23" s="16" t="s">
        <v>128</v>
      </c>
      <c r="E23" s="17" t="n">
        <f aca="false">COUNTIFS('Emails Aug-Sep'!$E$5:$E$104,A23,'Emails Aug-Sep'!$N$5:$N$104,"No")</f>
        <v>1</v>
      </c>
      <c r="F23" s="18" t="n">
        <f aca="false">IF(E23=0,0,SUMIFS('Emails Aug-Sep'!$F$5:$F$104,'Emails Aug-Sep'!$E$5:$E$104,A23,'Emails Aug-Sep'!$N$5:$N$104,"No")/E23)</f>
        <v>54</v>
      </c>
      <c r="G23" s="19" t="n">
        <f aca="false">IF(E23=0,0,SUMIFS('Emails Aug-Sep'!$I$5:$I$104,'Emails Aug-Sep'!$E$5:$E$104,A23,'Emails Aug-Sep'!$N$5:$N$104,"No")/SUMIFS('Emails Aug-Sep'!$F$5:$F$104,'Emails Aug-Sep'!$E$5:$E$104,A23,'Emails Aug-Sep'!$N$5:$N$104,"No"))</f>
        <v>0.0925925925925926</v>
      </c>
      <c r="H23" s="20" t="n">
        <f aca="false">IF(E23=0,0,SUMIFS('Emails Aug-Sep'!$J$5:$J$104,'Emails Aug-Sep'!$E$5:$E$104,A23,'Emails Aug-Sep'!$N$5:$N$104,"No")/SUMIFS('Emails Aug-Sep'!$F$5:$F$104,'Emails Aug-Sep'!$E$5:$E$104,A23,'Emails Aug-Sep'!$N$5:$N$104,"No"))</f>
        <v>0</v>
      </c>
      <c r="I23" s="19" t="n">
        <f aca="false">IF(E23=0,0,SUMIFS('Emails Aug-Sep'!$L$5:$L$104,'Emails Aug-Sep'!$E$5:$E$104,A23,'Emails Aug-Sep'!$N$5:$N$104,"No")/(SUMIFS('Emails Aug-Sep'!$F$5:$F$104,'Emails Aug-Sep'!$E$5:$E$104,A23,'Emails Aug-Sep'!$N$5:$N$104,"No")+SUMIFS('Emails Aug-Sep'!$L$5:$L$104,'Emails Aug-Sep'!$E$5:$E$104,A23,'Emails Aug-Sep'!$N$5:$N$104,"No")))</f>
        <v>0</v>
      </c>
    </row>
    <row r="24" customFormat="false" ht="15" hidden="false" customHeight="false" outlineLevel="0" collapsed="false">
      <c r="A24" s="5" t="s">
        <v>129</v>
      </c>
      <c r="B24" s="16" t="s">
        <v>130</v>
      </c>
      <c r="C24" s="16" t="s">
        <v>131</v>
      </c>
      <c r="D24" s="16" t="s">
        <v>132</v>
      </c>
      <c r="E24" s="17" t="n">
        <f aca="false">COUNTIFS('Emails Aug-Sep'!$E$5:$E$104,A24,'Emails Aug-Sep'!$N$5:$N$104,"No")</f>
        <v>1</v>
      </c>
      <c r="F24" s="18" t="n">
        <f aca="false">IF(E24=0,0,SUMIFS('Emails Aug-Sep'!$F$5:$F$104,'Emails Aug-Sep'!$E$5:$E$104,A24,'Emails Aug-Sep'!$N$5:$N$104,"No")/E24)</f>
        <v>31</v>
      </c>
      <c r="G24" s="19" t="n">
        <f aca="false">IF(E24=0,0,SUMIFS('Emails Aug-Sep'!$I$5:$I$104,'Emails Aug-Sep'!$E$5:$E$104,A24,'Emails Aug-Sep'!$N$5:$N$104,"No")/SUMIFS('Emails Aug-Sep'!$F$5:$F$104,'Emails Aug-Sep'!$E$5:$E$104,A24,'Emails Aug-Sep'!$N$5:$N$104,"No"))</f>
        <v>0.0645161290322581</v>
      </c>
      <c r="H24" s="20" t="n">
        <f aca="false">IF(E24=0,0,SUMIFS('Emails Aug-Sep'!$J$5:$J$104,'Emails Aug-Sep'!$E$5:$E$104,A24,'Emails Aug-Sep'!$N$5:$N$104,"No")/SUMIFS('Emails Aug-Sep'!$F$5:$F$104,'Emails Aug-Sep'!$E$5:$E$104,A24,'Emails Aug-Sep'!$N$5:$N$104,"No"))</f>
        <v>0</v>
      </c>
      <c r="I24" s="19" t="n">
        <f aca="false">IF(E24=0,0,SUMIFS('Emails Aug-Sep'!$L$5:$L$104,'Emails Aug-Sep'!$E$5:$E$104,A24,'Emails Aug-Sep'!$N$5:$N$104,"No")/(SUMIFS('Emails Aug-Sep'!$F$5:$F$104,'Emails Aug-Sep'!$E$5:$E$104,A24,'Emails Aug-Sep'!$N$5:$N$104,"No")+SUMIFS('Emails Aug-Sep'!$L$5:$L$104,'Emails Aug-Sep'!$E$5:$E$104,A24,'Emails Aug-Sep'!$N$5:$N$104,"No")))</f>
        <v>0</v>
      </c>
    </row>
    <row r="25" customFormat="false" ht="15" hidden="false" customHeight="false" outlineLevel="0" collapsed="false">
      <c r="A25" s="5" t="s">
        <v>133</v>
      </c>
      <c r="B25" s="16" t="s">
        <v>134</v>
      </c>
      <c r="C25" s="16" t="s">
        <v>79</v>
      </c>
      <c r="D25" s="16" t="s">
        <v>135</v>
      </c>
      <c r="E25" s="17" t="n">
        <f aca="false">COUNTIFS('Emails Aug-Sep'!$E$5:$E$104,A25,'Emails Aug-Sep'!$N$5:$N$104,"No")</f>
        <v>2</v>
      </c>
      <c r="F25" s="18" t="n">
        <f aca="false">IF(E25=0,0,SUMIFS('Emails Aug-Sep'!$F$5:$F$104,'Emails Aug-Sep'!$E$5:$E$104,A25,'Emails Aug-Sep'!$N$5:$N$104,"No")/E25)</f>
        <v>24</v>
      </c>
      <c r="G25" s="19" t="n">
        <f aca="false">IF(E25=0,0,SUMIFS('Emails Aug-Sep'!$I$5:$I$104,'Emails Aug-Sep'!$E$5:$E$104,A25,'Emails Aug-Sep'!$N$5:$N$104,"No")/SUMIFS('Emails Aug-Sep'!$F$5:$F$104,'Emails Aug-Sep'!$E$5:$E$104,A25,'Emails Aug-Sep'!$N$5:$N$104,"No"))</f>
        <v>0.458333333333333</v>
      </c>
      <c r="H25" s="20" t="n">
        <f aca="false">IF(E25=0,0,SUMIFS('Emails Aug-Sep'!$J$5:$J$104,'Emails Aug-Sep'!$E$5:$E$104,A25,'Emails Aug-Sep'!$N$5:$N$104,"No")/SUMIFS('Emails Aug-Sep'!$F$5:$F$104,'Emails Aug-Sep'!$E$5:$E$104,A25,'Emails Aug-Sep'!$N$5:$N$104,"No"))</f>
        <v>0</v>
      </c>
      <c r="I25" s="19" t="n">
        <f aca="false">IF(E25=0,0,SUMIFS('Emails Aug-Sep'!$L$5:$L$104,'Emails Aug-Sep'!$E$5:$E$104,A25,'Emails Aug-Sep'!$N$5:$N$104,"No")/(SUMIFS('Emails Aug-Sep'!$F$5:$F$104,'Emails Aug-Sep'!$E$5:$E$104,A25,'Emails Aug-Sep'!$N$5:$N$104,"No")+SUMIFS('Emails Aug-Sep'!$L$5:$L$104,'Emails Aug-Sep'!$E$5:$E$104,A25,'Emails Aug-Sep'!$N$5:$N$104,"No")))</f>
        <v>0</v>
      </c>
    </row>
    <row r="26" customFormat="false" ht="23.85" hidden="false" customHeight="false" outlineLevel="0" collapsed="false">
      <c r="A26" s="5" t="s">
        <v>136</v>
      </c>
      <c r="B26" s="16" t="s">
        <v>126</v>
      </c>
      <c r="C26" s="16" t="s">
        <v>72</v>
      </c>
      <c r="D26" s="16" t="s">
        <v>137</v>
      </c>
      <c r="E26" s="17" t="n">
        <f aca="false">COUNTIFS('Emails Aug-Sep'!$E$5:$E$104,A26,'Emails Aug-Sep'!$N$5:$N$104,"No")</f>
        <v>1</v>
      </c>
      <c r="F26" s="18" t="n">
        <f aca="false">IF(E26=0,0,SUMIFS('Emails Aug-Sep'!$F$5:$F$104,'Emails Aug-Sep'!$E$5:$E$104,A26,'Emails Aug-Sep'!$N$5:$N$104,"No")/E26)</f>
        <v>7</v>
      </c>
      <c r="G26" s="19" t="n">
        <f aca="false">IF(E26=0,0,SUMIFS('Emails Aug-Sep'!$I$5:$I$104,'Emails Aug-Sep'!$E$5:$E$104,A26,'Emails Aug-Sep'!$N$5:$N$104,"No")/SUMIFS('Emails Aug-Sep'!$F$5:$F$104,'Emails Aug-Sep'!$E$5:$E$104,A26,'Emails Aug-Sep'!$N$5:$N$104,"No"))</f>
        <v>0</v>
      </c>
      <c r="H26" s="20" t="n">
        <f aca="false">IF(E26=0,0,SUMIFS('Emails Aug-Sep'!$J$5:$J$104,'Emails Aug-Sep'!$E$5:$E$104,A26,'Emails Aug-Sep'!$N$5:$N$104,"No")/SUMIFS('Emails Aug-Sep'!$F$5:$F$104,'Emails Aug-Sep'!$E$5:$E$104,A26,'Emails Aug-Sep'!$N$5:$N$104,"No"))</f>
        <v>0</v>
      </c>
      <c r="I26" s="19" t="n">
        <f aca="false">IF(E26=0,0,SUMIFS('Emails Aug-Sep'!$L$5:$L$104,'Emails Aug-Sep'!$E$5:$E$104,A26,'Emails Aug-Sep'!$N$5:$N$104,"No")/(SUMIFS('Emails Aug-Sep'!$F$5:$F$104,'Emails Aug-Sep'!$E$5:$E$104,A26,'Emails Aug-Sep'!$N$5:$N$104,"No")+SUMIFS('Emails Aug-Sep'!$L$5:$L$104,'Emails Aug-Sep'!$E$5:$E$104,A26,'Emails Aug-Sep'!$N$5:$N$104,"No")))</f>
        <v>0</v>
      </c>
    </row>
    <row r="27" customFormat="false" ht="15" hidden="false" customHeight="false" outlineLevel="0" collapsed="false">
      <c r="A27" s="2" t="s">
        <v>138</v>
      </c>
    </row>
    <row r="29" customFormat="false" ht="15" hidden="false" customHeight="false" outlineLevel="0" collapsed="false">
      <c r="A29" s="3" t="s">
        <v>139</v>
      </c>
    </row>
    <row r="30" customFormat="false" ht="30" hidden="false" customHeight="true" outlineLevel="0" collapsed="false">
      <c r="A30" s="4" t="s">
        <v>140</v>
      </c>
      <c r="B30" s="4" t="s">
        <v>141</v>
      </c>
      <c r="C30" s="4" t="s">
        <v>9</v>
      </c>
      <c r="D30" s="4" t="s">
        <v>12</v>
      </c>
      <c r="E30" s="4" t="s">
        <v>65</v>
      </c>
      <c r="F30" s="4" t="s">
        <v>66</v>
      </c>
    </row>
    <row r="31" customFormat="false" ht="15" hidden="false" customHeight="false" outlineLevel="0" collapsed="false">
      <c r="A31" s="5" t="s">
        <v>142</v>
      </c>
      <c r="B31" s="17" t="n">
        <f aca="false">COUNTIFS('Emails Aug-Sep'!$F$5:$F$104,"&gt;=0",'Emails Aug-Sep'!$F$5:$F$104,"&lt;300",'Emails Aug-Sep'!$N$5:$N$104,"No")</f>
        <v>47</v>
      </c>
      <c r="C31" s="18" t="n">
        <f aca="false">SUMIFS('Emails Aug-Sep'!$F$5:$F$104,'Emails Aug-Sep'!$F$5:$F$104,"&gt;=0",'Emails Aug-Sep'!$F$5:$F$104,"&lt;300",'Emails Aug-Sep'!$N$5:$N$104,"No")</f>
        <v>4300</v>
      </c>
      <c r="D31" s="19" t="n">
        <f aca="false">IF(C31=0,0,SUMIFS('Emails Aug-Sep'!$I$5:$I$104,'Emails Aug-Sep'!$F$5:$F$104,"&gt;=0",'Emails Aug-Sep'!$F$5:$F$104,"&lt;300",'Emails Aug-Sep'!$N$5:$N$104,"No")/C31)</f>
        <v>0.119302325581395</v>
      </c>
      <c r="E31" s="20" t="n">
        <f aca="false">IF(C31=0,0,SUMIFS('Emails Aug-Sep'!$J$5:$J$104,'Emails Aug-Sep'!$F$5:$F$104,"&gt;=0",'Emails Aug-Sep'!$F$5:$F$104,"&lt;300",'Emails Aug-Sep'!$N$5:$N$104,"No")/C31)</f>
        <v>0.00186046511627907</v>
      </c>
      <c r="F31" s="19" t="n">
        <f aca="false">IF(C31=0,0,SUMIFS('Emails Aug-Sep'!$L$5:$L$104,'Emails Aug-Sep'!$F$5:$F$104,"&gt;=0",'Emails Aug-Sep'!$F$5:$F$104,"&lt;300",'Emails Aug-Sep'!$N$5:$N$104,"No")/(C31+SUMIFS('Emails Aug-Sep'!$L$5:$L$104,'Emails Aug-Sep'!$F$5:$F$104,"&gt;=0",'Emails Aug-Sep'!$F$5:$F$104,"&lt;300",'Emails Aug-Sep'!$N$5:$N$104,"No")))</f>
        <v>0.00232018561484919</v>
      </c>
    </row>
    <row r="32" customFormat="false" ht="15" hidden="false" customHeight="false" outlineLevel="0" collapsed="false">
      <c r="A32" s="5" t="s">
        <v>143</v>
      </c>
      <c r="B32" s="17" t="n">
        <f aca="false">COUNTIFS('Emails Aug-Sep'!$F$5:$F$104,"&gt;=300",'Emails Aug-Sep'!$F$5:$F$104,"&lt;5000",'Emails Aug-Sep'!$N$5:$N$104,"No")</f>
        <v>39</v>
      </c>
      <c r="C32" s="18" t="n">
        <f aca="false">SUMIFS('Emails Aug-Sep'!$F$5:$F$104,'Emails Aug-Sep'!$F$5:$F$104,"&gt;=300",'Emails Aug-Sep'!$F$5:$F$104,"&lt;5000",'Emails Aug-Sep'!$N$5:$N$104,"No")</f>
        <v>78299</v>
      </c>
      <c r="D32" s="19" t="n">
        <f aca="false">IF(C32=0,0,SUMIFS('Emails Aug-Sep'!$I$5:$I$104,'Emails Aug-Sep'!$F$5:$F$104,"&gt;=300",'Emails Aug-Sep'!$F$5:$F$104,"&lt;5000",'Emails Aug-Sep'!$N$5:$N$104,"No")/C32)</f>
        <v>0.0258113130435893</v>
      </c>
      <c r="E32" s="20" t="n">
        <f aca="false">IF(C32=0,0,SUMIFS('Emails Aug-Sep'!$J$5:$J$104,'Emails Aug-Sep'!$F$5:$F$104,"&gt;=300",'Emails Aug-Sep'!$F$5:$F$104,"&lt;5000",'Emails Aug-Sep'!$N$5:$N$104,"No")/C32)</f>
        <v>0.00817379532305649</v>
      </c>
      <c r="F32" s="19" t="n">
        <f aca="false">IF(C32=0,0,SUMIFS('Emails Aug-Sep'!$L$5:$L$104,'Emails Aug-Sep'!$F$5:$F$104,"&gt;=300",'Emails Aug-Sep'!$F$5:$F$104,"&lt;5000",'Emails Aug-Sep'!$N$5:$N$104,"No")/(C32+SUMIFS('Emails Aug-Sep'!$L$5:$L$104,'Emails Aug-Sep'!$F$5:$F$104,"&gt;=300",'Emails Aug-Sep'!$F$5:$F$104,"&lt;5000",'Emails Aug-Sep'!$N$5:$N$104,"No")))</f>
        <v>0.01151355241065</v>
      </c>
    </row>
    <row r="33" customFormat="false" ht="15" hidden="false" customHeight="false" outlineLevel="0" collapsed="false">
      <c r="A33" s="5" t="s">
        <v>144</v>
      </c>
      <c r="B33" s="17" t="n">
        <f aca="false">COUNTIFS('Emails Aug-Sep'!$F$5:$F$104,"&gt;=5000",'Emails Aug-Sep'!$F$5:$F$104,"&lt;1000000000",'Emails Aug-Sep'!$N$5:$N$104,"No")</f>
        <v>11</v>
      </c>
      <c r="C33" s="18" t="n">
        <f aca="false">SUMIFS('Emails Aug-Sep'!$F$5:$F$104,'Emails Aug-Sep'!$F$5:$F$104,"&gt;=5000",'Emails Aug-Sep'!$F$5:$F$104,"&lt;1000000000",'Emails Aug-Sep'!$N$5:$N$104,"No")</f>
        <v>131465</v>
      </c>
      <c r="D33" s="19" t="n">
        <f aca="false">IF(C33=0,0,SUMIFS('Emails Aug-Sep'!$I$5:$I$104,'Emails Aug-Sep'!$F$5:$F$104,"&gt;=5000",'Emails Aug-Sep'!$F$5:$F$104,"&lt;1000000000",'Emails Aug-Sep'!$N$5:$N$104,"No")/C33)</f>
        <v>0.0142471380215266</v>
      </c>
      <c r="E33" s="20" t="n">
        <f aca="false">IF(C33=0,0,SUMIFS('Emails Aug-Sep'!$J$5:$J$104,'Emails Aug-Sep'!$F$5:$F$104,"&gt;=5000",'Emails Aug-Sep'!$F$5:$F$104,"&lt;1000000000",'Emails Aug-Sep'!$N$5:$N$104,"No")/C33)</f>
        <v>0.0155935039744419</v>
      </c>
      <c r="F33" s="19" t="n">
        <f aca="false">IF(C33=0,0,SUMIFS('Emails Aug-Sep'!$L$5:$L$104,'Emails Aug-Sep'!$F$5:$F$104,"&gt;=5000",'Emails Aug-Sep'!$F$5:$F$104,"&lt;1000000000",'Emails Aug-Sep'!$N$5:$N$104,"No")/(C33+SUMIFS('Emails Aug-Sep'!$L$5:$L$104,'Emails Aug-Sep'!$F$5:$F$104,"&gt;=5000",'Emails Aug-Sep'!$F$5:$F$104,"&lt;1000000000",'Emails Aug-Sep'!$N$5:$N$104,"No")))</f>
        <v>0.0418212429757367</v>
      </c>
    </row>
    <row r="34" customFormat="false" ht="15" hidden="false" customHeight="false" outlineLevel="0" collapsed="false">
      <c r="A34" s="21" t="s">
        <v>145</v>
      </c>
      <c r="B34" s="22" t="n">
        <f aca="false">SUM(B31:B33)</f>
        <v>97</v>
      </c>
      <c r="C34" s="23" t="n">
        <f aca="false">SUM(C31:C33)</f>
        <v>214064</v>
      </c>
    </row>
    <row r="37" customFormat="false" ht="15" hidden="false" customHeight="false" outlineLevel="0" collapsed="false">
      <c r="A37" s="3" t="s">
        <v>146</v>
      </c>
    </row>
    <row r="38" customFormat="false" ht="30" hidden="false" customHeight="true" outlineLevel="0" collapsed="false">
      <c r="A38" s="4" t="s">
        <v>147</v>
      </c>
      <c r="B38" s="4" t="s">
        <v>148</v>
      </c>
      <c r="C38" s="4" t="s">
        <v>9</v>
      </c>
      <c r="D38" s="4" t="s">
        <v>31</v>
      </c>
      <c r="E38" s="4" t="s">
        <v>149</v>
      </c>
      <c r="F38" s="4" t="s">
        <v>150</v>
      </c>
      <c r="G38" s="4" t="s">
        <v>151</v>
      </c>
    </row>
    <row r="39" customFormat="false" ht="15" hidden="false" customHeight="false" outlineLevel="0" collapsed="false">
      <c r="A39" s="5" t="s">
        <v>152</v>
      </c>
      <c r="B39" s="13" t="s">
        <v>153</v>
      </c>
      <c r="C39" s="18" t="n">
        <f aca="false">SUMIFS('Emails Aug-Sep'!$F$5:$F$104,'Emails Aug-Sep'!$A$5:$A$104,A39,'Emails Aug-Sep'!$N$5:$N$104,"No")</f>
        <v>38385</v>
      </c>
      <c r="D39" s="18" t="n">
        <f aca="false">SUMIFS('Emails Aug-Sep'!$J$5:$J$104,'Emails Aug-Sep'!$A$5:$A$104,A39,'Emails Aug-Sep'!$N$5:$N$104,"No")</f>
        <v>735</v>
      </c>
      <c r="E39" s="18" t="n">
        <f aca="false">SUMIFS('Emails Aug-Sep'!$L$5:$L$104,'Emails Aug-Sep'!$A$5:$A$104,A39,'Emails Aug-Sep'!$N$5:$N$104,"No")</f>
        <v>3576</v>
      </c>
      <c r="F39" s="19" t="n">
        <f aca="false">D39/SUMIFS('Emails Aug-Sep'!$J$5:$J$104,'Emails Aug-Sep'!$N$5:$N$104,"No")</f>
        <v>0.272424017790956</v>
      </c>
      <c r="G39" s="19" t="n">
        <f aca="false">E39/SUMIFS('Emails Aug-Sep'!$L$5:$L$104,'Emails Aug-Sep'!$N$5:$N$104,"No")</f>
        <v>0.536936936936937</v>
      </c>
    </row>
    <row r="40" customFormat="false" ht="15" hidden="false" customHeight="false" outlineLevel="0" collapsed="false">
      <c r="A40" s="5" t="s">
        <v>154</v>
      </c>
      <c r="B40" s="13" t="s">
        <v>155</v>
      </c>
      <c r="C40" s="18" t="n">
        <f aca="false">SUMIFS('Emails Aug-Sep'!$F$5:$F$104,'Emails Aug-Sep'!$A$5:$A$104,A40,'Emails Aug-Sep'!$N$5:$N$104,"No")</f>
        <v>13111</v>
      </c>
      <c r="D40" s="18" t="n">
        <f aca="false">SUMIFS('Emails Aug-Sep'!$J$5:$J$104,'Emails Aug-Sep'!$A$5:$A$104,A40,'Emails Aug-Sep'!$N$5:$N$104,"No")</f>
        <v>252</v>
      </c>
      <c r="E40" s="18" t="n">
        <f aca="false">SUMIFS('Emails Aug-Sep'!$L$5:$L$104,'Emails Aug-Sep'!$A$5:$A$104,A40,'Emails Aug-Sep'!$N$5:$N$104,"No")</f>
        <v>826</v>
      </c>
      <c r="F40" s="19" t="n">
        <f aca="false">D40/SUMIFS('Emails Aug-Sep'!$J$5:$J$104,'Emails Aug-Sep'!$N$5:$N$104,"No")</f>
        <v>0.0934025203854707</v>
      </c>
      <c r="G40" s="19" t="n">
        <f aca="false">E40/SUMIFS('Emails Aug-Sep'!$L$5:$L$104,'Emails Aug-Sep'!$N$5:$N$104,"No")</f>
        <v>0.124024024024024</v>
      </c>
    </row>
    <row r="41" customFormat="false" ht="15" hidden="false" customHeight="false" outlineLevel="0" collapsed="false">
      <c r="A41" s="5" t="s">
        <v>156</v>
      </c>
      <c r="B41" s="13" t="s">
        <v>157</v>
      </c>
      <c r="C41" s="18" t="n">
        <f aca="false">SUMIFS('Emails Aug-Sep'!$F$5:$F$104,'Emails Aug-Sep'!$A$5:$A$104,A41,'Emails Aug-Sep'!$N$5:$N$104,"No")</f>
        <v>18358</v>
      </c>
      <c r="D41" s="18" t="n">
        <f aca="false">SUMIFS('Emails Aug-Sep'!$J$5:$J$104,'Emails Aug-Sep'!$A$5:$A$104,A41,'Emails Aug-Sep'!$N$5:$N$104,"No")</f>
        <v>417</v>
      </c>
      <c r="E41" s="18" t="n">
        <f aca="false">SUMIFS('Emails Aug-Sep'!$L$5:$L$104,'Emails Aug-Sep'!$A$5:$A$104,A41,'Emails Aug-Sep'!$N$5:$N$104,"No")</f>
        <v>834</v>
      </c>
      <c r="F41" s="19" t="n">
        <f aca="false">D41/SUMIFS('Emails Aug-Sep'!$J$5:$J$104,'Emails Aug-Sep'!$N$5:$N$104,"No")</f>
        <v>0.154558932542624</v>
      </c>
      <c r="G41" s="19" t="n">
        <f aca="false">E41/SUMIFS('Emails Aug-Sep'!$L$5:$L$104,'Emails Aug-Sep'!$N$5:$N$104,"No")</f>
        <v>0.125225225225225</v>
      </c>
    </row>
    <row r="42" customFormat="false" ht="15" hidden="false" customHeight="false" outlineLevel="0" collapsed="false">
      <c r="A42" s="21" t="s">
        <v>158</v>
      </c>
      <c r="B42" s="24"/>
      <c r="C42" s="23" t="n">
        <f aca="false">SUM(C39:C41)</f>
        <v>69854</v>
      </c>
      <c r="D42" s="23" t="n">
        <f aca="false">SUM(D39:D41)</f>
        <v>1404</v>
      </c>
      <c r="E42" s="23" t="n">
        <f aca="false">SUM(E39:E41)</f>
        <v>5236</v>
      </c>
      <c r="F42" s="25" t="n">
        <f aca="false">D42/SUMIFS('Emails Aug-Sep'!$J$5:$J$104,'Emails Aug-Sep'!$N$5:$N$104,"No")</f>
        <v>0.520385470719051</v>
      </c>
      <c r="G42" s="25" t="n">
        <f aca="false">E42/SUMIFS('Emails Aug-Sep'!$L$5:$L$104,'Emails Aug-Sep'!$N$5:$N$104,"No")</f>
        <v>0.786186186186186</v>
      </c>
    </row>
  </sheetData>
  <conditionalFormatting sqref="H5:H26">
    <cfRule type="cellIs" priority="2" operator="greaterThan" aboveAverage="0" equalAverage="0" bottom="0" percent="0" rank="0" text="" dxfId="0">
      <formula>0.0035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38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30" hidden="false" customHeight="true" outlineLevel="0" collapsed="false">
      <c r="A4" s="4" t="s">
        <v>161</v>
      </c>
      <c r="B4" s="4" t="s">
        <v>59</v>
      </c>
      <c r="C4" s="4" t="s">
        <v>162</v>
      </c>
      <c r="D4" s="4" t="s">
        <v>163</v>
      </c>
      <c r="E4" s="4" t="s">
        <v>164</v>
      </c>
      <c r="F4" s="4" t="s">
        <v>165</v>
      </c>
    </row>
    <row r="5" customFormat="false" ht="15" hidden="false" customHeight="false" outlineLevel="0" collapsed="false">
      <c r="A5" s="5" t="s">
        <v>166</v>
      </c>
      <c r="B5" s="13" t="s">
        <v>74</v>
      </c>
      <c r="C5" s="11" t="s">
        <v>72</v>
      </c>
      <c r="D5" s="13" t="s">
        <v>167</v>
      </c>
      <c r="E5" s="26" t="s">
        <v>168</v>
      </c>
      <c r="F5" s="13" t="s">
        <v>169</v>
      </c>
    </row>
    <row r="6" customFormat="false" ht="15" hidden="false" customHeight="false" outlineLevel="0" collapsed="false">
      <c r="A6" s="5" t="s">
        <v>170</v>
      </c>
      <c r="B6" s="13" t="s">
        <v>70</v>
      </c>
      <c r="C6" s="11" t="s">
        <v>72</v>
      </c>
      <c r="D6" s="13" t="s">
        <v>171</v>
      </c>
      <c r="E6" s="26" t="s">
        <v>168</v>
      </c>
      <c r="F6" s="13" t="s">
        <v>172</v>
      </c>
    </row>
    <row r="7" customFormat="false" ht="15" hidden="false" customHeight="false" outlineLevel="0" collapsed="false">
      <c r="A7" s="5" t="s">
        <v>173</v>
      </c>
      <c r="B7" s="13" t="s">
        <v>81</v>
      </c>
      <c r="C7" s="11" t="s">
        <v>72</v>
      </c>
      <c r="D7" s="13" t="s">
        <v>174</v>
      </c>
      <c r="E7" s="26" t="s">
        <v>168</v>
      </c>
      <c r="F7" s="13" t="s">
        <v>8</v>
      </c>
    </row>
    <row r="8" customFormat="false" ht="15" hidden="false" customHeight="false" outlineLevel="0" collapsed="false">
      <c r="A8" s="5" t="s">
        <v>175</v>
      </c>
      <c r="B8" s="13" t="s">
        <v>94</v>
      </c>
      <c r="C8" s="11" t="s">
        <v>72</v>
      </c>
      <c r="D8" s="13" t="s">
        <v>176</v>
      </c>
      <c r="E8" s="26" t="s">
        <v>168</v>
      </c>
      <c r="F8" s="13" t="s">
        <v>8</v>
      </c>
    </row>
    <row r="9" customFormat="false" ht="15" hidden="false" customHeight="false" outlineLevel="0" collapsed="false">
      <c r="A9" s="5" t="s">
        <v>177</v>
      </c>
      <c r="B9" s="13" t="s">
        <v>97</v>
      </c>
      <c r="C9" s="11" t="s">
        <v>72</v>
      </c>
      <c r="D9" s="13" t="s">
        <v>98</v>
      </c>
      <c r="E9" s="26" t="s">
        <v>168</v>
      </c>
      <c r="F9" s="13" t="s">
        <v>8</v>
      </c>
    </row>
    <row r="10" customFormat="false" ht="15" hidden="false" customHeight="false" outlineLevel="0" collapsed="false">
      <c r="A10" s="5" t="s">
        <v>178</v>
      </c>
      <c r="B10" s="13" t="s">
        <v>100</v>
      </c>
      <c r="C10" s="11" t="s">
        <v>72</v>
      </c>
      <c r="D10" s="13" t="s">
        <v>179</v>
      </c>
      <c r="E10" s="26" t="s">
        <v>168</v>
      </c>
      <c r="F10" s="13" t="s">
        <v>180</v>
      </c>
    </row>
    <row r="11" customFormat="false" ht="15" hidden="false" customHeight="false" outlineLevel="0" collapsed="false">
      <c r="A11" s="5" t="s">
        <v>181</v>
      </c>
      <c r="B11" s="13" t="s">
        <v>88</v>
      </c>
      <c r="C11" s="11" t="s">
        <v>72</v>
      </c>
      <c r="D11" s="13" t="s">
        <v>182</v>
      </c>
      <c r="E11" s="26" t="s">
        <v>168</v>
      </c>
      <c r="F11" s="13" t="s">
        <v>183</v>
      </c>
    </row>
    <row r="12" customFormat="false" ht="15" hidden="false" customHeight="false" outlineLevel="0" collapsed="false">
      <c r="A12" s="5" t="s">
        <v>184</v>
      </c>
      <c r="B12" s="13" t="s">
        <v>116</v>
      </c>
      <c r="C12" s="11" t="s">
        <v>72</v>
      </c>
      <c r="D12" s="13" t="s">
        <v>185</v>
      </c>
      <c r="E12" s="26" t="s">
        <v>8</v>
      </c>
      <c r="F12" s="13" t="s">
        <v>8</v>
      </c>
    </row>
    <row r="13" customFormat="false" ht="15" hidden="false" customHeight="false" outlineLevel="0" collapsed="false">
      <c r="A13" s="5" t="s">
        <v>186</v>
      </c>
      <c r="B13" s="13" t="s">
        <v>103</v>
      </c>
      <c r="C13" s="27" t="s">
        <v>104</v>
      </c>
      <c r="D13" s="13" t="s">
        <v>104</v>
      </c>
      <c r="E13" s="26" t="s">
        <v>187</v>
      </c>
      <c r="F13" s="13" t="s">
        <v>188</v>
      </c>
    </row>
    <row r="14" customFormat="false" ht="15" hidden="false" customHeight="false" outlineLevel="0" collapsed="false">
      <c r="A14" s="5" t="s">
        <v>189</v>
      </c>
      <c r="B14" s="13" t="s">
        <v>91</v>
      </c>
      <c r="C14" s="27" t="s">
        <v>92</v>
      </c>
      <c r="D14" s="13" t="s">
        <v>92</v>
      </c>
      <c r="E14" s="26" t="s">
        <v>187</v>
      </c>
      <c r="F14" s="13" t="s">
        <v>190</v>
      </c>
    </row>
    <row r="16" customFormat="false" ht="15" hidden="false" customHeight="false" outlineLevel="0" collapsed="false">
      <c r="A16" s="28" t="str">
        <f aca="false">COUNTIF(C5:C14,"Plug and Play Marketing Communications")&amp;" of 10 location newsletters use 'Plug and Play Marketing Communications'."</f>
        <v>8 of 10 location newsletters use 'Plug and Play Marketing Communications'.</v>
      </c>
    </row>
    <row r="17" customFormat="false" ht="15" hidden="false" customHeight="false" outlineLevel="0" collapsed="false">
      <c r="A17" s="28" t="str">
        <f aca="false">COUNTIFS('Emails Aug-Sep'!$D$5:$D$104,"Plug and Play Marketing Communications",'Emails Aug-Sep'!$N$5:$N$104,"No")&amp;" of "&amp;COUNTIFS('Emails Aug-Sep'!$N$5:$N$104,"No")&amp;" emails sent 6 Aug – 30 Sep 2026 used 'Plug and Play Marketing Communications'."</f>
        <v>32 of 97 emails sent 6 Aug – 30 Sep 2026 used 'Plug and Play Marketing Communications'.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30" hidden="false" customHeight="true" outlineLevel="0" collapsed="false">
      <c r="A4" s="4" t="s">
        <v>193</v>
      </c>
      <c r="B4" s="4" t="s">
        <v>191</v>
      </c>
      <c r="C4" s="4" t="s">
        <v>194</v>
      </c>
    </row>
    <row r="5" customFormat="false" ht="25.5" hidden="false" customHeight="true" outlineLevel="0" collapsed="false">
      <c r="A5" s="16" t="s">
        <v>195</v>
      </c>
      <c r="B5" s="6" t="n">
        <v>1198117</v>
      </c>
      <c r="C5" s="29" t="s">
        <v>8</v>
      </c>
    </row>
    <row r="6" customFormat="false" ht="25.5" hidden="false" customHeight="true" outlineLevel="0" collapsed="false">
      <c r="A6" s="30" t="s">
        <v>196</v>
      </c>
      <c r="B6" s="6" t="n">
        <v>590458</v>
      </c>
      <c r="C6" s="29" t="n">
        <v>1</v>
      </c>
    </row>
    <row r="7" customFormat="false" ht="25.5" hidden="false" customHeight="true" outlineLevel="0" collapsed="false">
      <c r="A7" s="16" t="s">
        <v>197</v>
      </c>
      <c r="B7" s="6" t="n">
        <v>630000</v>
      </c>
      <c r="C7" s="29" t="s">
        <v>8</v>
      </c>
    </row>
    <row r="8" customFormat="false" ht="25.5" hidden="false" customHeight="true" outlineLevel="0" collapsed="false">
      <c r="A8" s="30" t="s">
        <v>198</v>
      </c>
      <c r="B8" s="6" t="n">
        <v>508812</v>
      </c>
      <c r="C8" s="29" t="n">
        <f aca="false">B8/$B$6</f>
        <v>0.861724288603084</v>
      </c>
    </row>
    <row r="9" customFormat="false" ht="25.5" hidden="false" customHeight="true" outlineLevel="0" collapsed="false">
      <c r="A9" s="30" t="s">
        <v>199</v>
      </c>
      <c r="B9" s="6" t="n">
        <v>433657</v>
      </c>
      <c r="C9" s="29" t="n">
        <f aca="false">B9/$B$6</f>
        <v>0.734441738447104</v>
      </c>
    </row>
    <row r="10" customFormat="false" ht="25.5" hidden="false" customHeight="true" outlineLevel="0" collapsed="false">
      <c r="A10" s="30" t="s">
        <v>200</v>
      </c>
      <c r="B10" s="6" t="n">
        <v>29115</v>
      </c>
      <c r="C10" s="29" t="n">
        <f aca="false">B10/$B$6</f>
        <v>0.0493091803312005</v>
      </c>
    </row>
    <row r="11" customFormat="false" ht="25.5" hidden="false" customHeight="true" outlineLevel="0" collapsed="false">
      <c r="A11" s="16" t="s">
        <v>201</v>
      </c>
      <c r="B11" s="6" t="n">
        <v>20539</v>
      </c>
      <c r="C11" s="29" t="s">
        <v>8</v>
      </c>
    </row>
    <row r="12" customFormat="false" ht="25.5" hidden="false" customHeight="true" outlineLevel="0" collapsed="false">
      <c r="A12" s="16" t="s">
        <v>202</v>
      </c>
      <c r="B12" s="6" t="n">
        <v>12055</v>
      </c>
      <c r="C12" s="29" t="s">
        <v>8</v>
      </c>
    </row>
    <row r="13" customFormat="false" ht="25.5" hidden="false" customHeight="true" outlineLevel="0" collapsed="false">
      <c r="A13" s="16" t="s">
        <v>203</v>
      </c>
      <c r="B13" s="6" t="n">
        <v>76830</v>
      </c>
      <c r="C13" s="29" t="s">
        <v>8</v>
      </c>
    </row>
    <row r="14" customFormat="false" ht="25.5" hidden="false" customHeight="true" outlineLevel="0" collapsed="false">
      <c r="A14" s="16" t="s">
        <v>204</v>
      </c>
      <c r="B14" s="6" t="n">
        <v>10148</v>
      </c>
      <c r="C14" s="29" t="s">
        <v>8</v>
      </c>
    </row>
    <row r="15" customFormat="false" ht="25.5" hidden="false" customHeight="true" outlineLevel="0" collapsed="false">
      <c r="A15" s="16" t="s">
        <v>205</v>
      </c>
      <c r="B15" s="6" t="n">
        <v>454</v>
      </c>
      <c r="C15" s="29" t="s">
        <v>8</v>
      </c>
    </row>
    <row r="16" customFormat="false" ht="25.5" hidden="false" customHeight="true" outlineLevel="0" collapsed="false">
      <c r="A16" s="21" t="s">
        <v>206</v>
      </c>
      <c r="B16" s="23" t="n">
        <f aca="false">B6-B8</f>
        <v>81646</v>
      </c>
      <c r="C16" s="25" t="n">
        <f aca="false">B16/B6</f>
        <v>0.138275711396916</v>
      </c>
    </row>
    <row r="17" customFormat="false" ht="25.5" hidden="false" customHeight="true" outlineLevel="0" collapsed="false">
      <c r="A17" s="21" t="s">
        <v>207</v>
      </c>
      <c r="B17" s="23" t="n">
        <f aca="false">B7-B6</f>
        <v>39542</v>
      </c>
      <c r="C17" s="25" t="n">
        <f aca="false">B6/B7</f>
        <v>0.937234920634921</v>
      </c>
    </row>
    <row r="19" customFormat="false" ht="15" hidden="false" customHeight="false" outlineLevel="0" collapsed="false">
      <c r="A19" s="2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0"/>
    <col collapsed="false" customWidth="true" hidden="false" outlineLevel="0" max="3" min="3" style="0" width="11"/>
  </cols>
  <sheetData>
    <row r="1" customFormat="false" ht="17.3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30" hidden="false" customHeight="true" outlineLevel="0" collapsed="false">
      <c r="A4" s="4" t="s">
        <v>211</v>
      </c>
      <c r="B4" s="4" t="s">
        <v>212</v>
      </c>
      <c r="C4" s="4" t="s">
        <v>213</v>
      </c>
    </row>
    <row r="5" customFormat="false" ht="15" hidden="false" customHeight="false" outlineLevel="0" collapsed="false">
      <c r="A5" s="5" t="s">
        <v>67</v>
      </c>
      <c r="B5" s="13" t="s">
        <v>214</v>
      </c>
      <c r="C5" s="26" t="s">
        <v>187</v>
      </c>
    </row>
    <row r="6" customFormat="false" ht="15" hidden="false" customHeight="false" outlineLevel="0" collapsed="false">
      <c r="A6" s="5" t="s">
        <v>112</v>
      </c>
      <c r="B6" s="13" t="s">
        <v>215</v>
      </c>
      <c r="C6" s="26" t="s">
        <v>187</v>
      </c>
    </row>
    <row r="7" customFormat="false" ht="15" hidden="false" customHeight="false" outlineLevel="0" collapsed="false">
      <c r="A7" s="5" t="s">
        <v>216</v>
      </c>
      <c r="B7" s="13" t="s">
        <v>217</v>
      </c>
      <c r="C7" s="26" t="s">
        <v>187</v>
      </c>
    </row>
    <row r="8" customFormat="false" ht="15" hidden="false" customHeight="false" outlineLevel="0" collapsed="false">
      <c r="A8" s="5" t="s">
        <v>92</v>
      </c>
      <c r="B8" s="13" t="s">
        <v>218</v>
      </c>
      <c r="C8" s="26" t="s">
        <v>187</v>
      </c>
    </row>
    <row r="9" customFormat="false" ht="15" hidden="false" customHeight="false" outlineLevel="0" collapsed="false">
      <c r="A9" s="5" t="s">
        <v>219</v>
      </c>
      <c r="B9" s="13" t="s">
        <v>220</v>
      </c>
      <c r="C9" s="26" t="s">
        <v>187</v>
      </c>
    </row>
    <row r="10" customFormat="false" ht="15" hidden="false" customHeight="false" outlineLevel="0" collapsed="false">
      <c r="A10" s="5" t="s">
        <v>131</v>
      </c>
      <c r="B10" s="13" t="s">
        <v>221</v>
      </c>
      <c r="C10" s="26" t="s">
        <v>187</v>
      </c>
    </row>
    <row r="11" customFormat="false" ht="15" hidden="false" customHeight="false" outlineLevel="0" collapsed="false">
      <c r="A11" s="5" t="s">
        <v>108</v>
      </c>
      <c r="B11" s="13" t="s">
        <v>222</v>
      </c>
      <c r="C11" s="26" t="s">
        <v>187</v>
      </c>
    </row>
    <row r="12" customFormat="false" ht="15" hidden="false" customHeight="false" outlineLevel="0" collapsed="false">
      <c r="A12" s="5" t="s">
        <v>79</v>
      </c>
      <c r="B12" s="13" t="s">
        <v>223</v>
      </c>
      <c r="C12" s="26" t="s">
        <v>187</v>
      </c>
    </row>
    <row r="13" customFormat="false" ht="15" hidden="false" customHeight="false" outlineLevel="0" collapsed="false">
      <c r="A13" s="5" t="s">
        <v>127</v>
      </c>
      <c r="B13" s="13" t="s">
        <v>224</v>
      </c>
      <c r="C13" s="26" t="s">
        <v>187</v>
      </c>
    </row>
    <row r="14" customFormat="false" ht="15" hidden="false" customHeight="false" outlineLevel="0" collapsed="false">
      <c r="A14" s="5" t="s">
        <v>104</v>
      </c>
      <c r="B14" s="13" t="s">
        <v>225</v>
      </c>
      <c r="C14" s="26" t="s">
        <v>187</v>
      </c>
    </row>
    <row r="15" customFormat="false" ht="15" hidden="false" customHeight="false" outlineLevel="0" collapsed="false">
      <c r="A15" s="5" t="s">
        <v>226</v>
      </c>
      <c r="B15" s="13" t="s">
        <v>227</v>
      </c>
      <c r="C15" s="26" t="s">
        <v>187</v>
      </c>
    </row>
    <row r="16" customFormat="false" ht="15" hidden="false" customHeight="false" outlineLevel="0" collapsed="false">
      <c r="A16" s="5" t="s">
        <v>72</v>
      </c>
      <c r="B16" s="13" t="s">
        <v>228</v>
      </c>
      <c r="C16" s="26" t="s">
        <v>187</v>
      </c>
    </row>
    <row r="17" customFormat="false" ht="15" hidden="false" customHeight="false" outlineLevel="0" collapsed="false">
      <c r="A17" s="5" t="s">
        <v>229</v>
      </c>
      <c r="B17" s="13" t="s">
        <v>230</v>
      </c>
      <c r="C17" s="26" t="s">
        <v>187</v>
      </c>
    </row>
    <row r="18" customFormat="false" ht="15" hidden="false" customHeight="false" outlineLevel="0" collapsed="false">
      <c r="A18" s="5" t="s">
        <v>86</v>
      </c>
      <c r="B18" s="13" t="s">
        <v>231</v>
      </c>
      <c r="C18" s="26" t="s">
        <v>187</v>
      </c>
    </row>
    <row r="19" customFormat="false" ht="15" hidden="false" customHeight="false" outlineLevel="0" collapsed="false">
      <c r="A19" s="13" t="s">
        <v>232</v>
      </c>
      <c r="B19" s="13" t="s">
        <v>233</v>
      </c>
      <c r="C19" s="26" t="s">
        <v>168</v>
      </c>
    </row>
    <row r="20" customFormat="false" ht="15" hidden="false" customHeight="false" outlineLevel="0" collapsed="false">
      <c r="A20" s="13" t="s">
        <v>234</v>
      </c>
      <c r="B20" s="13" t="s">
        <v>235</v>
      </c>
      <c r="C20" s="26" t="s">
        <v>168</v>
      </c>
    </row>
    <row r="21" customFormat="false" ht="15" hidden="false" customHeight="false" outlineLevel="0" collapsed="false">
      <c r="A21" s="13" t="s">
        <v>236</v>
      </c>
      <c r="B21" s="13" t="s">
        <v>236</v>
      </c>
      <c r="C21" s="26" t="s">
        <v>168</v>
      </c>
    </row>
    <row r="22" customFormat="false" ht="15" hidden="false" customHeight="false" outlineLevel="0" collapsed="false">
      <c r="A22" s="13" t="s">
        <v>237</v>
      </c>
      <c r="B22" s="13" t="s">
        <v>238</v>
      </c>
      <c r="C22" s="26" t="s">
        <v>168</v>
      </c>
    </row>
    <row r="23" customFormat="false" ht="15" hidden="false" customHeight="false" outlineLevel="0" collapsed="false">
      <c r="A23" s="13" t="s">
        <v>239</v>
      </c>
      <c r="B23" s="13" t="s">
        <v>233</v>
      </c>
      <c r="C23" s="26" t="s">
        <v>168</v>
      </c>
    </row>
    <row r="24" customFormat="false" ht="15" hidden="false" customHeight="false" outlineLevel="0" collapsed="false">
      <c r="A24" s="13" t="s">
        <v>240</v>
      </c>
      <c r="B24" s="13" t="s">
        <v>241</v>
      </c>
      <c r="C24" s="26" t="s">
        <v>168</v>
      </c>
    </row>
    <row r="25" customFormat="false" ht="15" hidden="false" customHeight="false" outlineLevel="0" collapsed="false">
      <c r="A25" s="13" t="s">
        <v>242</v>
      </c>
      <c r="B25" s="13" t="s">
        <v>243</v>
      </c>
      <c r="C25" s="26" t="s">
        <v>168</v>
      </c>
    </row>
    <row r="26" customFormat="false" ht="15" hidden="false" customHeight="false" outlineLevel="0" collapsed="false">
      <c r="A26" s="13" t="s">
        <v>244</v>
      </c>
      <c r="B26" s="13" t="s">
        <v>233</v>
      </c>
      <c r="C26" s="26" t="s">
        <v>168</v>
      </c>
    </row>
    <row r="27" customFormat="false" ht="15" hidden="false" customHeight="false" outlineLevel="0" collapsed="false">
      <c r="A27" s="13" t="s">
        <v>245</v>
      </c>
      <c r="B27" s="13" t="s">
        <v>246</v>
      </c>
      <c r="C27" s="26" t="s">
        <v>168</v>
      </c>
    </row>
    <row r="28" customFormat="false" ht="15" hidden="false" customHeight="false" outlineLevel="0" collapsed="false">
      <c r="A28" s="13" t="s">
        <v>247</v>
      </c>
      <c r="B28" s="13" t="s">
        <v>233</v>
      </c>
      <c r="C28" s="26" t="s">
        <v>168</v>
      </c>
    </row>
    <row r="29" customFormat="false" ht="15" hidden="false" customHeight="false" outlineLevel="0" collapsed="false">
      <c r="A29" s="13" t="s">
        <v>248</v>
      </c>
      <c r="B29" s="13" t="s">
        <v>249</v>
      </c>
      <c r="C29" s="26" t="s">
        <v>168</v>
      </c>
    </row>
    <row r="30" customFormat="false" ht="15" hidden="false" customHeight="false" outlineLevel="0" collapsed="false">
      <c r="A30" s="13" t="s">
        <v>250</v>
      </c>
      <c r="B30" s="13" t="s">
        <v>233</v>
      </c>
      <c r="C30" s="26" t="s">
        <v>168</v>
      </c>
    </row>
    <row r="31" customFormat="false" ht="15" hidden="false" customHeight="false" outlineLevel="0" collapsed="false">
      <c r="A31" s="13" t="s">
        <v>251</v>
      </c>
      <c r="B31" s="13" t="s">
        <v>252</v>
      </c>
      <c r="C31" s="26" t="s">
        <v>168</v>
      </c>
    </row>
    <row r="32" customFormat="false" ht="15" hidden="false" customHeight="false" outlineLevel="0" collapsed="false">
      <c r="A32" s="13" t="s">
        <v>253</v>
      </c>
      <c r="B32" s="13" t="s">
        <v>233</v>
      </c>
      <c r="C32" s="26" t="s">
        <v>168</v>
      </c>
    </row>
    <row r="33" customFormat="false" ht="15" hidden="false" customHeight="false" outlineLevel="0" collapsed="false">
      <c r="A33" s="13" t="s">
        <v>254</v>
      </c>
      <c r="B33" s="13" t="s">
        <v>255</v>
      </c>
      <c r="C33" s="26" t="s">
        <v>168</v>
      </c>
    </row>
    <row r="34" customFormat="false" ht="15" hidden="false" customHeight="false" outlineLevel="0" collapsed="false">
      <c r="A34" s="13" t="s">
        <v>256</v>
      </c>
      <c r="B34" s="13" t="s">
        <v>257</v>
      </c>
      <c r="C34" s="26" t="s">
        <v>168</v>
      </c>
    </row>
    <row r="35" customFormat="false" ht="15" hidden="false" customHeight="false" outlineLevel="0" collapsed="false">
      <c r="A35" s="13" t="s">
        <v>258</v>
      </c>
      <c r="B35" s="13" t="s">
        <v>258</v>
      </c>
      <c r="C35" s="26" t="s">
        <v>168</v>
      </c>
    </row>
    <row r="36" customFormat="false" ht="15" hidden="false" customHeight="false" outlineLevel="0" collapsed="false">
      <c r="A36" s="13" t="s">
        <v>259</v>
      </c>
      <c r="B36" s="13" t="s">
        <v>259</v>
      </c>
      <c r="C36" s="26" t="s">
        <v>168</v>
      </c>
    </row>
    <row r="37" customFormat="false" ht="15" hidden="false" customHeight="false" outlineLevel="0" collapsed="false">
      <c r="A37" s="13" t="s">
        <v>260</v>
      </c>
      <c r="B37" s="13" t="s">
        <v>261</v>
      </c>
      <c r="C37" s="26" t="s">
        <v>168</v>
      </c>
    </row>
    <row r="38" customFormat="false" ht="15" hidden="false" customHeight="false" outlineLevel="0" collapsed="false">
      <c r="A38" s="13" t="s">
        <v>262</v>
      </c>
      <c r="B38" s="13" t="s">
        <v>263</v>
      </c>
      <c r="C38" s="26" t="s">
        <v>168</v>
      </c>
    </row>
    <row r="39" customFormat="false" ht="15" hidden="false" customHeight="false" outlineLevel="0" collapsed="false">
      <c r="A39" s="13" t="s">
        <v>264</v>
      </c>
      <c r="B39" s="13" t="s">
        <v>265</v>
      </c>
      <c r="C39" s="26" t="s">
        <v>168</v>
      </c>
    </row>
    <row r="40" customFormat="false" ht="15" hidden="false" customHeight="false" outlineLevel="0" collapsed="false">
      <c r="A40" s="13" t="s">
        <v>266</v>
      </c>
      <c r="B40" s="13" t="s">
        <v>267</v>
      </c>
      <c r="C40" s="26" t="s">
        <v>168</v>
      </c>
    </row>
    <row r="41" customFormat="false" ht="15" hidden="false" customHeight="false" outlineLevel="0" collapsed="false">
      <c r="A41" s="13" t="s">
        <v>268</v>
      </c>
      <c r="B41" s="13" t="s">
        <v>269</v>
      </c>
      <c r="C41" s="26" t="s">
        <v>168</v>
      </c>
    </row>
    <row r="42" customFormat="false" ht="15" hidden="false" customHeight="false" outlineLevel="0" collapsed="false">
      <c r="A42" s="13" t="s">
        <v>270</v>
      </c>
      <c r="B42" s="13" t="s">
        <v>271</v>
      </c>
      <c r="C42" s="26" t="s">
        <v>168</v>
      </c>
    </row>
    <row r="43" customFormat="false" ht="15" hidden="false" customHeight="false" outlineLevel="0" collapsed="false">
      <c r="A43" s="13" t="s">
        <v>272</v>
      </c>
      <c r="B43" s="13" t="s">
        <v>273</v>
      </c>
      <c r="C43" s="26" t="s">
        <v>168</v>
      </c>
    </row>
    <row r="44" customFormat="false" ht="15" hidden="false" customHeight="false" outlineLevel="0" collapsed="false">
      <c r="A44" s="13" t="s">
        <v>274</v>
      </c>
      <c r="B44" s="13" t="s">
        <v>275</v>
      </c>
      <c r="C44" s="26" t="s">
        <v>168</v>
      </c>
    </row>
    <row r="45" customFormat="false" ht="15" hidden="false" customHeight="false" outlineLevel="0" collapsed="false">
      <c r="A45" s="13" t="s">
        <v>276</v>
      </c>
      <c r="B45" s="13" t="s">
        <v>277</v>
      </c>
      <c r="C45" s="26" t="s">
        <v>168</v>
      </c>
    </row>
    <row r="46" customFormat="false" ht="15" hidden="false" customHeight="false" outlineLevel="0" collapsed="false">
      <c r="A46" s="13" t="s">
        <v>278</v>
      </c>
      <c r="B46" s="13" t="s">
        <v>279</v>
      </c>
      <c r="C46" s="26" t="s">
        <v>168</v>
      </c>
    </row>
    <row r="47" customFormat="false" ht="15" hidden="false" customHeight="false" outlineLevel="0" collapsed="false">
      <c r="A47" s="13" t="s">
        <v>280</v>
      </c>
      <c r="B47" s="13" t="s">
        <v>281</v>
      </c>
      <c r="C47" s="26" t="s">
        <v>168</v>
      </c>
    </row>
    <row r="48" customFormat="false" ht="15" hidden="false" customHeight="false" outlineLevel="0" collapsed="false">
      <c r="A48" s="13" t="s">
        <v>282</v>
      </c>
      <c r="B48" s="13" t="s">
        <v>283</v>
      </c>
      <c r="C48" s="26" t="s">
        <v>168</v>
      </c>
    </row>
    <row r="49" customFormat="false" ht="15" hidden="false" customHeight="false" outlineLevel="0" collapsed="false">
      <c r="A49" s="13" t="s">
        <v>182</v>
      </c>
      <c r="B49" s="13" t="s">
        <v>284</v>
      </c>
      <c r="C49" s="26" t="s">
        <v>168</v>
      </c>
    </row>
    <row r="50" customFormat="false" ht="15" hidden="false" customHeight="false" outlineLevel="0" collapsed="false">
      <c r="A50" s="13" t="s">
        <v>285</v>
      </c>
      <c r="B50" s="13" t="s">
        <v>286</v>
      </c>
      <c r="C50" s="26" t="s">
        <v>168</v>
      </c>
    </row>
    <row r="51" customFormat="false" ht="15" hidden="false" customHeight="false" outlineLevel="0" collapsed="false">
      <c r="A51" s="13" t="s">
        <v>287</v>
      </c>
      <c r="B51" s="13" t="s">
        <v>288</v>
      </c>
      <c r="C51" s="26" t="s">
        <v>168</v>
      </c>
    </row>
    <row r="52" customFormat="false" ht="15" hidden="false" customHeight="false" outlineLevel="0" collapsed="false">
      <c r="A52" s="13" t="s">
        <v>289</v>
      </c>
      <c r="B52" s="13" t="s">
        <v>289</v>
      </c>
      <c r="C52" s="26" t="s">
        <v>168</v>
      </c>
    </row>
    <row r="53" customFormat="false" ht="15" hidden="false" customHeight="false" outlineLevel="0" collapsed="false">
      <c r="A53" s="13" t="s">
        <v>290</v>
      </c>
      <c r="B53" s="13" t="s">
        <v>291</v>
      </c>
      <c r="C53" s="26" t="s">
        <v>168</v>
      </c>
    </row>
    <row r="54" customFormat="false" ht="15" hidden="false" customHeight="false" outlineLevel="0" collapsed="false">
      <c r="A54" s="13" t="s">
        <v>292</v>
      </c>
      <c r="B54" s="13" t="s">
        <v>293</v>
      </c>
      <c r="C54" s="26" t="s">
        <v>168</v>
      </c>
    </row>
    <row r="55" customFormat="false" ht="15" hidden="false" customHeight="false" outlineLevel="0" collapsed="false">
      <c r="A55" s="13" t="s">
        <v>294</v>
      </c>
      <c r="B55" s="13" t="s">
        <v>294</v>
      </c>
      <c r="C55" s="26" t="s">
        <v>168</v>
      </c>
    </row>
    <row r="56" customFormat="false" ht="15" hidden="false" customHeight="false" outlineLevel="0" collapsed="false">
      <c r="A56" s="13" t="s">
        <v>295</v>
      </c>
      <c r="B56" s="13" t="s">
        <v>296</v>
      </c>
      <c r="C56" s="26" t="s">
        <v>168</v>
      </c>
    </row>
    <row r="57" customFormat="false" ht="15" hidden="false" customHeight="false" outlineLevel="0" collapsed="false">
      <c r="A57" s="13" t="s">
        <v>297</v>
      </c>
      <c r="B57" s="13" t="s">
        <v>298</v>
      </c>
      <c r="C57" s="26" t="s">
        <v>168</v>
      </c>
    </row>
    <row r="58" customFormat="false" ht="15" hidden="false" customHeight="false" outlineLevel="0" collapsed="false">
      <c r="A58" s="13" t="s">
        <v>299</v>
      </c>
      <c r="B58" s="13" t="s">
        <v>300</v>
      </c>
      <c r="C58" s="26" t="s">
        <v>168</v>
      </c>
    </row>
    <row r="59" customFormat="false" ht="15" hidden="false" customHeight="false" outlineLevel="0" collapsed="false">
      <c r="A59" s="13" t="s">
        <v>98</v>
      </c>
      <c r="B59" s="13" t="s">
        <v>301</v>
      </c>
      <c r="C59" s="26" t="s">
        <v>168</v>
      </c>
    </row>
    <row r="60" customFormat="false" ht="15" hidden="false" customHeight="false" outlineLevel="0" collapsed="false">
      <c r="A60" s="13" t="s">
        <v>179</v>
      </c>
      <c r="B60" s="13" t="s">
        <v>302</v>
      </c>
      <c r="C60" s="26" t="s">
        <v>168</v>
      </c>
    </row>
    <row r="61" customFormat="false" ht="15" hidden="false" customHeight="false" outlineLevel="0" collapsed="false">
      <c r="A61" s="13" t="s">
        <v>303</v>
      </c>
      <c r="B61" s="13" t="s">
        <v>304</v>
      </c>
      <c r="C61" s="26" t="s">
        <v>168</v>
      </c>
    </row>
    <row r="62" customFormat="false" ht="15" hidden="false" customHeight="false" outlineLevel="0" collapsed="false">
      <c r="A62" s="13" t="s">
        <v>305</v>
      </c>
      <c r="B62" s="13" t="s">
        <v>306</v>
      </c>
      <c r="C62" s="26" t="s">
        <v>168</v>
      </c>
    </row>
    <row r="63" customFormat="false" ht="15" hidden="false" customHeight="false" outlineLevel="0" collapsed="false">
      <c r="A63" s="13" t="s">
        <v>307</v>
      </c>
      <c r="B63" s="13" t="s">
        <v>308</v>
      </c>
      <c r="C63" s="26" t="s">
        <v>168</v>
      </c>
    </row>
    <row r="64" customFormat="false" ht="15" hidden="false" customHeight="false" outlineLevel="0" collapsed="false">
      <c r="A64" s="13" t="s">
        <v>309</v>
      </c>
      <c r="B64" s="13" t="s">
        <v>310</v>
      </c>
      <c r="C64" s="26" t="s">
        <v>168</v>
      </c>
    </row>
    <row r="65" customFormat="false" ht="15" hidden="false" customHeight="false" outlineLevel="0" collapsed="false">
      <c r="A65" s="13" t="s">
        <v>311</v>
      </c>
      <c r="B65" s="13" t="s">
        <v>312</v>
      </c>
      <c r="C65" s="26" t="s">
        <v>168</v>
      </c>
    </row>
    <row r="66" customFormat="false" ht="15" hidden="false" customHeight="false" outlineLevel="0" collapsed="false">
      <c r="A66" s="13" t="s">
        <v>313</v>
      </c>
      <c r="B66" s="13" t="s">
        <v>314</v>
      </c>
      <c r="C66" s="26" t="s">
        <v>168</v>
      </c>
    </row>
    <row r="67" customFormat="false" ht="15" hidden="false" customHeight="false" outlineLevel="0" collapsed="false">
      <c r="A67" s="13" t="s">
        <v>315</v>
      </c>
      <c r="B67" s="13" t="s">
        <v>316</v>
      </c>
      <c r="C67" s="26" t="s">
        <v>168</v>
      </c>
    </row>
    <row r="68" customFormat="false" ht="15" hidden="false" customHeight="false" outlineLevel="0" collapsed="false">
      <c r="A68" s="13" t="s">
        <v>317</v>
      </c>
      <c r="B68" s="13" t="s">
        <v>318</v>
      </c>
      <c r="C68" s="26" t="s">
        <v>168</v>
      </c>
    </row>
    <row r="69" customFormat="false" ht="15" hidden="false" customHeight="false" outlineLevel="0" collapsed="false">
      <c r="A69" s="13" t="s">
        <v>319</v>
      </c>
      <c r="B69" s="13" t="s">
        <v>320</v>
      </c>
      <c r="C69" s="26" t="s">
        <v>168</v>
      </c>
    </row>
    <row r="70" customFormat="false" ht="15" hidden="false" customHeight="false" outlineLevel="0" collapsed="false">
      <c r="A70" s="13" t="s">
        <v>321</v>
      </c>
      <c r="B70" s="13" t="s">
        <v>322</v>
      </c>
      <c r="C70" s="26" t="s">
        <v>168</v>
      </c>
    </row>
    <row r="71" customFormat="false" ht="15" hidden="false" customHeight="false" outlineLevel="0" collapsed="false">
      <c r="A71" s="13" t="s">
        <v>323</v>
      </c>
      <c r="B71" s="13" t="s">
        <v>324</v>
      </c>
      <c r="C71" s="26" t="s">
        <v>168</v>
      </c>
    </row>
    <row r="72" customFormat="false" ht="15" hidden="false" customHeight="false" outlineLevel="0" collapsed="false">
      <c r="A72" s="13" t="s">
        <v>325</v>
      </c>
      <c r="B72" s="13" t="s">
        <v>324</v>
      </c>
      <c r="C72" s="26" t="s">
        <v>168</v>
      </c>
    </row>
    <row r="73" customFormat="false" ht="15" hidden="false" customHeight="false" outlineLevel="0" collapsed="false">
      <c r="A73" s="13" t="s">
        <v>326</v>
      </c>
      <c r="B73" s="13" t="s">
        <v>327</v>
      </c>
      <c r="C73" s="26" t="s">
        <v>168</v>
      </c>
    </row>
    <row r="74" customFormat="false" ht="15" hidden="false" customHeight="false" outlineLevel="0" collapsed="false">
      <c r="A74" s="13" t="s">
        <v>328</v>
      </c>
      <c r="B74" s="13" t="s">
        <v>329</v>
      </c>
      <c r="C74" s="26" t="s">
        <v>168</v>
      </c>
    </row>
    <row r="75" customFormat="false" ht="15" hidden="false" customHeight="false" outlineLevel="0" collapsed="false">
      <c r="A75" s="13" t="s">
        <v>176</v>
      </c>
      <c r="B75" s="13" t="s">
        <v>330</v>
      </c>
      <c r="C75" s="26" t="s">
        <v>168</v>
      </c>
    </row>
    <row r="76" customFormat="false" ht="15" hidden="false" customHeight="false" outlineLevel="0" collapsed="false">
      <c r="A76" s="13" t="s">
        <v>331</v>
      </c>
      <c r="B76" s="13" t="s">
        <v>332</v>
      </c>
      <c r="C76" s="26" t="s">
        <v>168</v>
      </c>
    </row>
    <row r="77" customFormat="false" ht="15" hidden="false" customHeight="false" outlineLevel="0" collapsed="false">
      <c r="A77" s="13" t="s">
        <v>126</v>
      </c>
      <c r="B77" s="13" t="s">
        <v>333</v>
      </c>
      <c r="C77" s="26" t="s">
        <v>168</v>
      </c>
    </row>
    <row r="78" customFormat="false" ht="15" hidden="false" customHeight="false" outlineLevel="0" collapsed="false">
      <c r="A78" s="13" t="s">
        <v>334</v>
      </c>
      <c r="B78" s="13" t="s">
        <v>335</v>
      </c>
      <c r="C78" s="26" t="s">
        <v>168</v>
      </c>
    </row>
    <row r="79" customFormat="false" ht="15" hidden="false" customHeight="false" outlineLevel="0" collapsed="false">
      <c r="A79" s="13" t="s">
        <v>174</v>
      </c>
      <c r="B79" s="13" t="s">
        <v>336</v>
      </c>
      <c r="C79" s="26" t="s">
        <v>168</v>
      </c>
    </row>
    <row r="80" customFormat="false" ht="15" hidden="false" customHeight="false" outlineLevel="0" collapsed="false">
      <c r="A80" s="13" t="s">
        <v>337</v>
      </c>
      <c r="B80" s="13" t="s">
        <v>338</v>
      </c>
      <c r="C80" s="26" t="s">
        <v>168</v>
      </c>
    </row>
    <row r="81" customFormat="false" ht="15" hidden="false" customHeight="false" outlineLevel="0" collapsed="false">
      <c r="A81" s="13" t="s">
        <v>339</v>
      </c>
      <c r="B81" s="13" t="s">
        <v>340</v>
      </c>
      <c r="C81" s="26" t="s">
        <v>168</v>
      </c>
    </row>
    <row r="82" customFormat="false" ht="15" hidden="false" customHeight="false" outlineLevel="0" collapsed="false">
      <c r="A82" s="13" t="s">
        <v>167</v>
      </c>
      <c r="B82" s="13" t="s">
        <v>341</v>
      </c>
      <c r="C82" s="26" t="s">
        <v>168</v>
      </c>
    </row>
    <row r="83" customFormat="false" ht="15" hidden="false" customHeight="false" outlineLevel="0" collapsed="false">
      <c r="A83" s="13" t="s">
        <v>342</v>
      </c>
      <c r="B83" s="13" t="s">
        <v>343</v>
      </c>
      <c r="C83" s="26" t="s">
        <v>168</v>
      </c>
    </row>
    <row r="84" customFormat="false" ht="15" hidden="false" customHeight="false" outlineLevel="0" collapsed="false">
      <c r="A84" s="13" t="s">
        <v>344</v>
      </c>
      <c r="B84" s="13" t="s">
        <v>345</v>
      </c>
      <c r="C84" s="26" t="s">
        <v>168</v>
      </c>
    </row>
    <row r="85" customFormat="false" ht="15" hidden="false" customHeight="false" outlineLevel="0" collapsed="false">
      <c r="A85" s="13" t="s">
        <v>346</v>
      </c>
      <c r="B85" s="13" t="s">
        <v>347</v>
      </c>
      <c r="C85" s="26" t="s">
        <v>168</v>
      </c>
    </row>
    <row r="86" customFormat="false" ht="15" hidden="false" customHeight="false" outlineLevel="0" collapsed="false">
      <c r="A86" s="13" t="s">
        <v>348</v>
      </c>
      <c r="B86" s="13" t="s">
        <v>349</v>
      </c>
      <c r="C86" s="26" t="s">
        <v>168</v>
      </c>
    </row>
    <row r="87" customFormat="false" ht="15" hidden="false" customHeight="false" outlineLevel="0" collapsed="false">
      <c r="A87" s="13" t="s">
        <v>350</v>
      </c>
      <c r="B87" s="13" t="s">
        <v>233</v>
      </c>
      <c r="C87" s="26" t="s">
        <v>168</v>
      </c>
    </row>
    <row r="88" customFormat="false" ht="15" hidden="false" customHeight="false" outlineLevel="0" collapsed="false">
      <c r="A88" s="13" t="s">
        <v>351</v>
      </c>
      <c r="B88" s="13" t="s">
        <v>352</v>
      </c>
      <c r="C88" s="26" t="s">
        <v>168</v>
      </c>
    </row>
    <row r="89" customFormat="false" ht="15" hidden="false" customHeight="false" outlineLevel="0" collapsed="false">
      <c r="A89" s="13" t="s">
        <v>353</v>
      </c>
      <c r="B89" s="13" t="s">
        <v>233</v>
      </c>
      <c r="C89" s="26" t="s">
        <v>168</v>
      </c>
    </row>
    <row r="90" customFormat="false" ht="15" hidden="false" customHeight="false" outlineLevel="0" collapsed="false">
      <c r="A90" s="13" t="s">
        <v>354</v>
      </c>
      <c r="B90" s="13" t="s">
        <v>233</v>
      </c>
      <c r="C90" s="26" t="s">
        <v>168</v>
      </c>
    </row>
    <row r="91" customFormat="false" ht="15" hidden="false" customHeight="false" outlineLevel="0" collapsed="false">
      <c r="A91" s="13" t="s">
        <v>355</v>
      </c>
      <c r="B91" s="13" t="s">
        <v>356</v>
      </c>
      <c r="C91" s="26" t="s">
        <v>168</v>
      </c>
    </row>
    <row r="92" customFormat="false" ht="15" hidden="false" customHeight="false" outlineLevel="0" collapsed="false">
      <c r="A92" s="13" t="s">
        <v>357</v>
      </c>
      <c r="B92" s="13" t="s">
        <v>233</v>
      </c>
      <c r="C92" s="26" t="s">
        <v>168</v>
      </c>
    </row>
    <row r="93" customFormat="false" ht="15" hidden="false" customHeight="false" outlineLevel="0" collapsed="false">
      <c r="A93" s="13" t="s">
        <v>358</v>
      </c>
      <c r="B93" s="13" t="s">
        <v>233</v>
      </c>
      <c r="C93" s="26" t="s">
        <v>168</v>
      </c>
    </row>
    <row r="94" customFormat="false" ht="15" hidden="false" customHeight="false" outlineLevel="0" collapsed="false">
      <c r="A94" s="13" t="s">
        <v>359</v>
      </c>
      <c r="B94" s="13" t="s">
        <v>360</v>
      </c>
      <c r="C94" s="26" t="s">
        <v>168</v>
      </c>
    </row>
    <row r="95" customFormat="false" ht="15" hidden="false" customHeight="false" outlineLevel="0" collapsed="false">
      <c r="A95" s="13" t="s">
        <v>361</v>
      </c>
      <c r="B95" s="13" t="s">
        <v>362</v>
      </c>
      <c r="C95" s="26" t="s">
        <v>168</v>
      </c>
    </row>
    <row r="96" customFormat="false" ht="15" hidden="false" customHeight="false" outlineLevel="0" collapsed="false">
      <c r="A96" s="13" t="s">
        <v>363</v>
      </c>
      <c r="B96" s="13" t="s">
        <v>364</v>
      </c>
      <c r="C96" s="26" t="s">
        <v>168</v>
      </c>
    </row>
    <row r="97" customFormat="false" ht="15" hidden="false" customHeight="false" outlineLevel="0" collapsed="false">
      <c r="A97" s="13" t="s">
        <v>365</v>
      </c>
      <c r="B97" s="13" t="s">
        <v>366</v>
      </c>
      <c r="C97" s="26" t="s">
        <v>168</v>
      </c>
    </row>
    <row r="98" customFormat="false" ht="15" hidden="false" customHeight="false" outlineLevel="0" collapsed="false">
      <c r="A98" s="13" t="s">
        <v>367</v>
      </c>
      <c r="B98" s="13" t="s">
        <v>233</v>
      </c>
      <c r="C98" s="26" t="s">
        <v>168</v>
      </c>
    </row>
    <row r="99" customFormat="false" ht="15" hidden="false" customHeight="false" outlineLevel="0" collapsed="false">
      <c r="A99" s="13" t="s">
        <v>368</v>
      </c>
      <c r="B99" s="13" t="s">
        <v>369</v>
      </c>
      <c r="C99" s="26" t="s">
        <v>168</v>
      </c>
    </row>
    <row r="101" customFormat="false" ht="15" hidden="false" customHeight="false" outlineLevel="0" collapsed="false">
      <c r="A101" s="3" t="s">
        <v>370</v>
      </c>
    </row>
    <row r="102" customFormat="false" ht="15" hidden="false" customHeight="false" outlineLevel="0" collapsed="false">
      <c r="A102" s="5" t="s">
        <v>371</v>
      </c>
      <c r="B102" s="13" t="s">
        <v>372</v>
      </c>
    </row>
    <row r="103" customFormat="false" ht="15" hidden="false" customHeight="false" outlineLevel="0" collapsed="false">
      <c r="A103" s="5" t="s">
        <v>373</v>
      </c>
      <c r="B103" s="13" t="s">
        <v>372</v>
      </c>
    </row>
    <row r="104" customFormat="false" ht="15" hidden="false" customHeight="false" outlineLevel="0" collapsed="false">
      <c r="A104" s="5" t="s">
        <v>374</v>
      </c>
      <c r="B104" s="13" t="s">
        <v>375</v>
      </c>
    </row>
    <row r="105" customFormat="false" ht="15" hidden="false" customHeight="false" outlineLevel="0" collapsed="false">
      <c r="A105" s="5" t="s">
        <v>376</v>
      </c>
      <c r="B105" s="13" t="s">
        <v>372</v>
      </c>
    </row>
    <row r="106" customFormat="false" ht="15" hidden="false" customHeight="false" outlineLevel="0" collapsed="false">
      <c r="A106" s="5" t="s">
        <v>377</v>
      </c>
      <c r="B106" s="18" t="n">
        <f aca="false">COUNTIF(C5:C99,"Active")</f>
        <v>14</v>
      </c>
    </row>
    <row r="107" customFormat="false" ht="15" hidden="false" customHeight="false" outlineLevel="0" collapsed="false">
      <c r="A107" s="5" t="s">
        <v>378</v>
      </c>
      <c r="B107" s="18" t="n">
        <f aca="false">COUNTIF(C5:C99,"Archived")</f>
        <v>81</v>
      </c>
    </row>
  </sheetData>
  <conditionalFormatting sqref="C5:C99">
    <cfRule type="cellIs" priority="2" operator="equal" aboveAverage="0" equalAverage="0" bottom="0" percent="0" rank="0" text="" dxfId="1">
      <formula>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4" customFormat="false" ht="30" hidden="false" customHeight="true" outlineLevel="0" collapsed="false">
      <c r="A4" s="4" t="s">
        <v>381</v>
      </c>
      <c r="B4" s="4" t="s">
        <v>213</v>
      </c>
      <c r="C4" s="4" t="s">
        <v>382</v>
      </c>
      <c r="D4" s="4" t="s">
        <v>383</v>
      </c>
      <c r="E4" s="4" t="s">
        <v>384</v>
      </c>
    </row>
    <row r="5" customFormat="false" ht="15" hidden="false" customHeight="false" outlineLevel="0" collapsed="false">
      <c r="A5" s="13" t="s">
        <v>385</v>
      </c>
      <c r="B5" s="26" t="s">
        <v>386</v>
      </c>
      <c r="C5" s="18" t="n">
        <v>4742</v>
      </c>
      <c r="D5" s="26" t="s">
        <v>387</v>
      </c>
      <c r="E5" s="26" t="str">
        <f aca="false">IF(AND(B5="On",D5&lt;"2024-01-01"),"Yes","No")</f>
        <v>No</v>
      </c>
    </row>
    <row r="6" customFormat="false" ht="15" hidden="false" customHeight="false" outlineLevel="0" collapsed="false">
      <c r="A6" s="13" t="s">
        <v>388</v>
      </c>
      <c r="B6" s="26" t="s">
        <v>386</v>
      </c>
      <c r="C6" s="18" t="n">
        <v>12</v>
      </c>
      <c r="D6" s="26" t="s">
        <v>389</v>
      </c>
      <c r="E6" s="26" t="str">
        <f aca="false">IF(AND(B6="On",D6&lt;"2024-01-01"),"Yes","No")</f>
        <v>No</v>
      </c>
    </row>
    <row r="7" customFormat="false" ht="15" hidden="false" customHeight="false" outlineLevel="0" collapsed="false">
      <c r="A7" s="13" t="s">
        <v>390</v>
      </c>
      <c r="B7" s="26" t="s">
        <v>386</v>
      </c>
      <c r="C7" s="18" t="n">
        <v>7</v>
      </c>
      <c r="D7" s="26" t="s">
        <v>391</v>
      </c>
      <c r="E7" s="26" t="str">
        <f aca="false">IF(AND(B7="On",D7&lt;"2024-01-01"),"Yes","No")</f>
        <v>No</v>
      </c>
    </row>
    <row r="8" customFormat="false" ht="15" hidden="false" customHeight="false" outlineLevel="0" collapsed="false">
      <c r="A8" s="13" t="s">
        <v>392</v>
      </c>
      <c r="B8" s="26" t="s">
        <v>386</v>
      </c>
      <c r="C8" s="18" t="n">
        <v>0</v>
      </c>
      <c r="D8" s="26" t="s">
        <v>393</v>
      </c>
      <c r="E8" s="26" t="str">
        <f aca="false">IF(AND(B8="On",D8&lt;"2024-01-01"),"Yes","No")</f>
        <v>No</v>
      </c>
    </row>
    <row r="9" customFormat="false" ht="15" hidden="false" customHeight="false" outlineLevel="0" collapsed="false">
      <c r="A9" s="13" t="s">
        <v>394</v>
      </c>
      <c r="B9" s="26" t="s">
        <v>386</v>
      </c>
      <c r="C9" s="18" t="n">
        <v>0</v>
      </c>
      <c r="D9" s="26" t="s">
        <v>395</v>
      </c>
      <c r="E9" s="26" t="str">
        <f aca="false">IF(AND(B9="On",D9&lt;"2024-01-01"),"Yes","No")</f>
        <v>No</v>
      </c>
    </row>
    <row r="10" customFormat="false" ht="15" hidden="false" customHeight="false" outlineLevel="0" collapsed="false">
      <c r="A10" s="13" t="s">
        <v>396</v>
      </c>
      <c r="B10" s="26" t="s">
        <v>386</v>
      </c>
      <c r="C10" s="18" t="n">
        <v>0</v>
      </c>
      <c r="D10" s="26" t="s">
        <v>397</v>
      </c>
      <c r="E10" s="26" t="str">
        <f aca="false">IF(AND(B10="On",D10&lt;"2024-01-01"),"Yes","No")</f>
        <v>No</v>
      </c>
    </row>
    <row r="11" customFormat="false" ht="15" hidden="false" customHeight="false" outlineLevel="0" collapsed="false">
      <c r="A11" s="13" t="s">
        <v>398</v>
      </c>
      <c r="B11" s="26" t="s">
        <v>386</v>
      </c>
      <c r="C11" s="18" t="n">
        <v>0</v>
      </c>
      <c r="D11" s="26" t="s">
        <v>399</v>
      </c>
      <c r="E11" s="26" t="str">
        <f aca="false">IF(AND(B11="On",D11&lt;"2024-01-01"),"Yes","No")</f>
        <v>No</v>
      </c>
    </row>
    <row r="12" customFormat="false" ht="15" hidden="false" customHeight="false" outlineLevel="0" collapsed="false">
      <c r="A12" s="13" t="s">
        <v>400</v>
      </c>
      <c r="B12" s="26" t="s">
        <v>386</v>
      </c>
      <c r="C12" s="18" t="n">
        <v>0</v>
      </c>
      <c r="D12" s="26" t="s">
        <v>401</v>
      </c>
      <c r="E12" s="26" t="str">
        <f aca="false">IF(AND(B12="On",D12&lt;"2024-01-01"),"Yes","No")</f>
        <v>No</v>
      </c>
    </row>
    <row r="13" customFormat="false" ht="15" hidden="false" customHeight="false" outlineLevel="0" collapsed="false">
      <c r="A13" s="13" t="s">
        <v>402</v>
      </c>
      <c r="B13" s="26" t="s">
        <v>386</v>
      </c>
      <c r="C13" s="18" t="n">
        <v>0</v>
      </c>
      <c r="D13" s="26" t="s">
        <v>403</v>
      </c>
      <c r="E13" s="26" t="str">
        <f aca="false">IF(AND(B13="On",D13&lt;"2024-01-01"),"Yes","No")</f>
        <v>No</v>
      </c>
    </row>
    <row r="14" customFormat="false" ht="15" hidden="false" customHeight="false" outlineLevel="0" collapsed="false">
      <c r="A14" s="13" t="s">
        <v>404</v>
      </c>
      <c r="B14" s="26" t="s">
        <v>386</v>
      </c>
      <c r="C14" s="18" t="n">
        <v>0</v>
      </c>
      <c r="D14" s="26" t="s">
        <v>405</v>
      </c>
      <c r="E14" s="26" t="str">
        <f aca="false">IF(AND(B14="On",D14&lt;"2024-01-01"),"Yes","No")</f>
        <v>No</v>
      </c>
    </row>
    <row r="15" customFormat="false" ht="15" hidden="false" customHeight="false" outlineLevel="0" collapsed="false">
      <c r="A15" s="13" t="s">
        <v>406</v>
      </c>
      <c r="B15" s="26" t="s">
        <v>386</v>
      </c>
      <c r="C15" s="18" t="n">
        <v>0</v>
      </c>
      <c r="D15" s="26" t="s">
        <v>407</v>
      </c>
      <c r="E15" s="26" t="str">
        <f aca="false">IF(AND(B15="On",D15&lt;"2024-01-01"),"Yes","No")</f>
        <v>No</v>
      </c>
    </row>
    <row r="16" customFormat="false" ht="15" hidden="false" customHeight="false" outlineLevel="0" collapsed="false">
      <c r="A16" s="13" t="s">
        <v>408</v>
      </c>
      <c r="B16" s="26" t="s">
        <v>386</v>
      </c>
      <c r="C16" s="18" t="n">
        <v>0</v>
      </c>
      <c r="D16" s="26" t="s">
        <v>407</v>
      </c>
      <c r="E16" s="26" t="str">
        <f aca="false">IF(AND(B16="On",D16&lt;"2024-01-01"),"Yes","No")</f>
        <v>No</v>
      </c>
    </row>
    <row r="17" customFormat="false" ht="15" hidden="false" customHeight="false" outlineLevel="0" collapsed="false">
      <c r="A17" s="13" t="s">
        <v>409</v>
      </c>
      <c r="B17" s="26" t="s">
        <v>386</v>
      </c>
      <c r="C17" s="18" t="n">
        <v>0</v>
      </c>
      <c r="D17" s="26" t="s">
        <v>407</v>
      </c>
      <c r="E17" s="26" t="str">
        <f aca="false">IF(AND(B17="On",D17&lt;"2024-01-01"),"Yes","No")</f>
        <v>No</v>
      </c>
    </row>
    <row r="18" customFormat="false" ht="15" hidden="false" customHeight="false" outlineLevel="0" collapsed="false">
      <c r="A18" s="13" t="s">
        <v>410</v>
      </c>
      <c r="B18" s="26" t="s">
        <v>386</v>
      </c>
      <c r="C18" s="18" t="n">
        <v>0</v>
      </c>
      <c r="D18" s="26" t="s">
        <v>407</v>
      </c>
      <c r="E18" s="26" t="str">
        <f aca="false">IF(AND(B18="On",D18&lt;"2024-01-01"),"Yes","No")</f>
        <v>No</v>
      </c>
    </row>
    <row r="19" customFormat="false" ht="15" hidden="false" customHeight="false" outlineLevel="0" collapsed="false">
      <c r="A19" s="13" t="s">
        <v>411</v>
      </c>
      <c r="B19" s="26" t="s">
        <v>386</v>
      </c>
      <c r="C19" s="18" t="n">
        <v>0</v>
      </c>
      <c r="D19" s="26" t="s">
        <v>412</v>
      </c>
      <c r="E19" s="26" t="str">
        <f aca="false">IF(AND(B19="On",D19&lt;"2024-01-01"),"Yes","No")</f>
        <v>No</v>
      </c>
    </row>
    <row r="20" customFormat="false" ht="15" hidden="false" customHeight="false" outlineLevel="0" collapsed="false">
      <c r="A20" s="13" t="s">
        <v>413</v>
      </c>
      <c r="B20" s="26" t="s">
        <v>386</v>
      </c>
      <c r="C20" s="18" t="n">
        <v>0</v>
      </c>
      <c r="D20" s="26" t="s">
        <v>414</v>
      </c>
      <c r="E20" s="26" t="str">
        <f aca="false">IF(AND(B20="On",D20&lt;"2024-01-01"),"Yes","No")</f>
        <v>No</v>
      </c>
    </row>
    <row r="21" customFormat="false" ht="15" hidden="false" customHeight="false" outlineLevel="0" collapsed="false">
      <c r="A21" s="13" t="s">
        <v>415</v>
      </c>
      <c r="B21" s="26" t="s">
        <v>386</v>
      </c>
      <c r="C21" s="18" t="n">
        <v>0</v>
      </c>
      <c r="D21" s="26" t="s">
        <v>414</v>
      </c>
      <c r="E21" s="26" t="str">
        <f aca="false">IF(AND(B21="On",D21&lt;"2024-01-01"),"Yes","No")</f>
        <v>No</v>
      </c>
    </row>
    <row r="22" customFormat="false" ht="15" hidden="false" customHeight="false" outlineLevel="0" collapsed="false">
      <c r="A22" s="13" t="s">
        <v>416</v>
      </c>
      <c r="B22" s="26" t="s">
        <v>386</v>
      </c>
      <c r="C22" s="18" t="n">
        <v>0</v>
      </c>
      <c r="D22" s="26" t="s">
        <v>417</v>
      </c>
      <c r="E22" s="26" t="str">
        <f aca="false">IF(AND(B22="On",D22&lt;"2024-01-01"),"Yes","No")</f>
        <v>No</v>
      </c>
    </row>
    <row r="23" customFormat="false" ht="15" hidden="false" customHeight="false" outlineLevel="0" collapsed="false">
      <c r="A23" s="13" t="s">
        <v>418</v>
      </c>
      <c r="B23" s="26" t="s">
        <v>386</v>
      </c>
      <c r="C23" s="18" t="n">
        <v>0</v>
      </c>
      <c r="D23" s="26" t="s">
        <v>419</v>
      </c>
      <c r="E23" s="26" t="str">
        <f aca="false">IF(AND(B23="On",D23&lt;"2024-01-01"),"Yes","No")</f>
        <v>No</v>
      </c>
    </row>
    <row r="24" customFormat="false" ht="15" hidden="false" customHeight="false" outlineLevel="0" collapsed="false">
      <c r="A24" s="13" t="s">
        <v>420</v>
      </c>
      <c r="B24" s="26" t="s">
        <v>386</v>
      </c>
      <c r="C24" s="18" t="n">
        <v>0</v>
      </c>
      <c r="D24" s="26" t="s">
        <v>421</v>
      </c>
      <c r="E24" s="26" t="str">
        <f aca="false">IF(AND(B24="On",D24&lt;"2024-01-01"),"Yes","No")</f>
        <v>No</v>
      </c>
    </row>
    <row r="25" customFormat="false" ht="15" hidden="false" customHeight="false" outlineLevel="0" collapsed="false">
      <c r="A25" s="13" t="s">
        <v>422</v>
      </c>
      <c r="B25" s="26" t="s">
        <v>386</v>
      </c>
      <c r="C25" s="18" t="n">
        <v>0</v>
      </c>
      <c r="D25" s="26" t="s">
        <v>421</v>
      </c>
      <c r="E25" s="26" t="str">
        <f aca="false">IF(AND(B25="On",D25&lt;"2024-01-01"),"Yes","No")</f>
        <v>No</v>
      </c>
    </row>
    <row r="26" customFormat="false" ht="15" hidden="false" customHeight="false" outlineLevel="0" collapsed="false">
      <c r="A26" s="13" t="s">
        <v>423</v>
      </c>
      <c r="B26" s="26" t="s">
        <v>386</v>
      </c>
      <c r="C26" s="18" t="n">
        <v>0</v>
      </c>
      <c r="D26" s="26" t="s">
        <v>421</v>
      </c>
      <c r="E26" s="26" t="str">
        <f aca="false">IF(AND(B26="On",D26&lt;"2024-01-01"),"Yes","No")</f>
        <v>No</v>
      </c>
    </row>
    <row r="27" customFormat="false" ht="15" hidden="false" customHeight="false" outlineLevel="0" collapsed="false">
      <c r="A27" s="13" t="s">
        <v>424</v>
      </c>
      <c r="B27" s="26" t="s">
        <v>386</v>
      </c>
      <c r="C27" s="18" t="n">
        <v>0</v>
      </c>
      <c r="D27" s="26" t="s">
        <v>421</v>
      </c>
      <c r="E27" s="26" t="str">
        <f aca="false">IF(AND(B27="On",D27&lt;"2024-01-01"),"Yes","No")</f>
        <v>No</v>
      </c>
    </row>
    <row r="28" customFormat="false" ht="15" hidden="false" customHeight="false" outlineLevel="0" collapsed="false">
      <c r="A28" s="13" t="s">
        <v>425</v>
      </c>
      <c r="B28" s="26" t="s">
        <v>386</v>
      </c>
      <c r="C28" s="18" t="n">
        <v>0</v>
      </c>
      <c r="D28" s="26" t="s">
        <v>421</v>
      </c>
      <c r="E28" s="26" t="str">
        <f aca="false">IF(AND(B28="On",D28&lt;"2024-01-01"),"Yes","No")</f>
        <v>No</v>
      </c>
    </row>
    <row r="29" customFormat="false" ht="15" hidden="false" customHeight="false" outlineLevel="0" collapsed="false">
      <c r="A29" s="13" t="s">
        <v>426</v>
      </c>
      <c r="B29" s="26" t="s">
        <v>386</v>
      </c>
      <c r="C29" s="18" t="n">
        <v>0</v>
      </c>
      <c r="D29" s="26" t="s">
        <v>421</v>
      </c>
      <c r="E29" s="26" t="str">
        <f aca="false">IF(AND(B29="On",D29&lt;"2024-01-01"),"Yes","No")</f>
        <v>No</v>
      </c>
    </row>
    <row r="30" customFormat="false" ht="15" hidden="false" customHeight="false" outlineLevel="0" collapsed="false">
      <c r="A30" s="13" t="s">
        <v>427</v>
      </c>
      <c r="B30" s="26" t="s">
        <v>386</v>
      </c>
      <c r="C30" s="18" t="n">
        <v>0</v>
      </c>
      <c r="D30" s="26" t="s">
        <v>421</v>
      </c>
      <c r="E30" s="26" t="str">
        <f aca="false">IF(AND(B30="On",D30&lt;"2024-01-01"),"Yes","No")</f>
        <v>No</v>
      </c>
    </row>
    <row r="31" customFormat="false" ht="15" hidden="false" customHeight="false" outlineLevel="0" collapsed="false">
      <c r="A31" s="13" t="s">
        <v>428</v>
      </c>
      <c r="B31" s="26" t="s">
        <v>386</v>
      </c>
      <c r="C31" s="18" t="n">
        <v>0</v>
      </c>
      <c r="D31" s="26" t="s">
        <v>421</v>
      </c>
      <c r="E31" s="26" t="str">
        <f aca="false">IF(AND(B31="On",D31&lt;"2024-01-01"),"Yes","No")</f>
        <v>No</v>
      </c>
    </row>
    <row r="32" customFormat="false" ht="15" hidden="false" customHeight="false" outlineLevel="0" collapsed="false">
      <c r="A32" s="13" t="s">
        <v>429</v>
      </c>
      <c r="B32" s="26" t="s">
        <v>386</v>
      </c>
      <c r="C32" s="18" t="n">
        <v>0</v>
      </c>
      <c r="D32" s="26" t="s">
        <v>421</v>
      </c>
      <c r="E32" s="26" t="str">
        <f aca="false">IF(AND(B32="On",D32&lt;"2024-01-01"),"Yes","No")</f>
        <v>No</v>
      </c>
    </row>
    <row r="33" customFormat="false" ht="15" hidden="false" customHeight="false" outlineLevel="0" collapsed="false">
      <c r="A33" s="13" t="s">
        <v>430</v>
      </c>
      <c r="B33" s="26" t="s">
        <v>386</v>
      </c>
      <c r="C33" s="18" t="n">
        <v>0</v>
      </c>
      <c r="D33" s="26" t="s">
        <v>421</v>
      </c>
      <c r="E33" s="26" t="str">
        <f aca="false">IF(AND(B33="On",D33&lt;"2024-01-01"),"Yes","No")</f>
        <v>No</v>
      </c>
    </row>
    <row r="34" customFormat="false" ht="15" hidden="false" customHeight="false" outlineLevel="0" collapsed="false">
      <c r="A34" s="13" t="s">
        <v>431</v>
      </c>
      <c r="B34" s="26" t="s">
        <v>386</v>
      </c>
      <c r="C34" s="18" t="n">
        <v>0</v>
      </c>
      <c r="D34" s="26" t="s">
        <v>421</v>
      </c>
      <c r="E34" s="26" t="str">
        <f aca="false">IF(AND(B34="On",D34&lt;"2024-01-01"),"Yes","No")</f>
        <v>No</v>
      </c>
    </row>
    <row r="35" customFormat="false" ht="15" hidden="false" customHeight="false" outlineLevel="0" collapsed="false">
      <c r="A35" s="13" t="s">
        <v>432</v>
      </c>
      <c r="B35" s="26" t="s">
        <v>386</v>
      </c>
      <c r="C35" s="18" t="n">
        <v>0</v>
      </c>
      <c r="D35" s="26" t="s">
        <v>421</v>
      </c>
      <c r="E35" s="26" t="str">
        <f aca="false">IF(AND(B35="On",D35&lt;"2024-01-01"),"Yes","No")</f>
        <v>No</v>
      </c>
    </row>
    <row r="36" customFormat="false" ht="15" hidden="false" customHeight="false" outlineLevel="0" collapsed="false">
      <c r="A36" s="13" t="s">
        <v>433</v>
      </c>
      <c r="B36" s="26" t="s">
        <v>386</v>
      </c>
      <c r="C36" s="18" t="n">
        <v>0</v>
      </c>
      <c r="D36" s="26" t="s">
        <v>421</v>
      </c>
      <c r="E36" s="26" t="str">
        <f aca="false">IF(AND(B36="On",D36&lt;"2024-01-01"),"Yes","No")</f>
        <v>No</v>
      </c>
    </row>
    <row r="37" customFormat="false" ht="15" hidden="false" customHeight="false" outlineLevel="0" collapsed="false">
      <c r="A37" s="13" t="s">
        <v>434</v>
      </c>
      <c r="B37" s="26" t="s">
        <v>386</v>
      </c>
      <c r="C37" s="18" t="n">
        <v>0</v>
      </c>
      <c r="D37" s="26" t="s">
        <v>421</v>
      </c>
      <c r="E37" s="26" t="str">
        <f aca="false">IF(AND(B37="On",D37&lt;"2024-01-01"),"Yes","No")</f>
        <v>No</v>
      </c>
    </row>
    <row r="38" customFormat="false" ht="15" hidden="false" customHeight="false" outlineLevel="0" collapsed="false">
      <c r="A38" s="13" t="s">
        <v>435</v>
      </c>
      <c r="B38" s="26" t="s">
        <v>386</v>
      </c>
      <c r="C38" s="18" t="n">
        <v>0</v>
      </c>
      <c r="D38" s="26" t="s">
        <v>421</v>
      </c>
      <c r="E38" s="26" t="str">
        <f aca="false">IF(AND(B38="On",D38&lt;"2024-01-01"),"Yes","No")</f>
        <v>No</v>
      </c>
    </row>
    <row r="39" customFormat="false" ht="15" hidden="false" customHeight="false" outlineLevel="0" collapsed="false">
      <c r="A39" s="13" t="s">
        <v>436</v>
      </c>
      <c r="B39" s="26" t="s">
        <v>386</v>
      </c>
      <c r="C39" s="18" t="n">
        <v>0</v>
      </c>
      <c r="D39" s="26" t="s">
        <v>421</v>
      </c>
      <c r="E39" s="26" t="str">
        <f aca="false">IF(AND(B39="On",D39&lt;"2024-01-01"),"Yes","No")</f>
        <v>No</v>
      </c>
    </row>
    <row r="40" customFormat="false" ht="15" hidden="false" customHeight="false" outlineLevel="0" collapsed="false">
      <c r="A40" s="13" t="s">
        <v>437</v>
      </c>
      <c r="B40" s="26" t="s">
        <v>386</v>
      </c>
      <c r="C40" s="18" t="n">
        <v>0</v>
      </c>
      <c r="D40" s="26" t="s">
        <v>421</v>
      </c>
      <c r="E40" s="26" t="str">
        <f aca="false">IF(AND(B40="On",D40&lt;"2024-01-01"),"Yes","No")</f>
        <v>No</v>
      </c>
    </row>
    <row r="41" customFormat="false" ht="15" hidden="false" customHeight="false" outlineLevel="0" collapsed="false">
      <c r="A41" s="13" t="s">
        <v>438</v>
      </c>
      <c r="B41" s="26" t="s">
        <v>386</v>
      </c>
      <c r="C41" s="18" t="n">
        <v>0</v>
      </c>
      <c r="D41" s="26" t="s">
        <v>421</v>
      </c>
      <c r="E41" s="26" t="str">
        <f aca="false">IF(AND(B41="On",D41&lt;"2024-01-01"),"Yes","No")</f>
        <v>No</v>
      </c>
    </row>
    <row r="42" customFormat="false" ht="15" hidden="false" customHeight="false" outlineLevel="0" collapsed="false">
      <c r="A42" s="13" t="s">
        <v>439</v>
      </c>
      <c r="B42" s="26" t="s">
        <v>386</v>
      </c>
      <c r="C42" s="18" t="n">
        <v>0</v>
      </c>
      <c r="D42" s="26" t="s">
        <v>421</v>
      </c>
      <c r="E42" s="26" t="str">
        <f aca="false">IF(AND(B42="On",D42&lt;"2024-01-01"),"Yes","No")</f>
        <v>No</v>
      </c>
    </row>
    <row r="43" customFormat="false" ht="15" hidden="false" customHeight="false" outlineLevel="0" collapsed="false">
      <c r="A43" s="13" t="s">
        <v>440</v>
      </c>
      <c r="B43" s="26" t="s">
        <v>386</v>
      </c>
      <c r="C43" s="18" t="n">
        <v>0</v>
      </c>
      <c r="D43" s="26" t="s">
        <v>421</v>
      </c>
      <c r="E43" s="26" t="str">
        <f aca="false">IF(AND(B43="On",D43&lt;"2024-01-01"),"Yes","No")</f>
        <v>No</v>
      </c>
    </row>
    <row r="44" customFormat="false" ht="15" hidden="false" customHeight="false" outlineLevel="0" collapsed="false">
      <c r="A44" s="13" t="s">
        <v>441</v>
      </c>
      <c r="B44" s="26" t="s">
        <v>386</v>
      </c>
      <c r="C44" s="18" t="n">
        <v>0</v>
      </c>
      <c r="D44" s="26" t="s">
        <v>421</v>
      </c>
      <c r="E44" s="26" t="str">
        <f aca="false">IF(AND(B44="On",D44&lt;"2024-01-01"),"Yes","No")</f>
        <v>No</v>
      </c>
    </row>
    <row r="45" customFormat="false" ht="15" hidden="false" customHeight="false" outlineLevel="0" collapsed="false">
      <c r="A45" s="13" t="s">
        <v>442</v>
      </c>
      <c r="B45" s="26" t="s">
        <v>386</v>
      </c>
      <c r="C45" s="18" t="n">
        <v>0</v>
      </c>
      <c r="D45" s="26" t="s">
        <v>421</v>
      </c>
      <c r="E45" s="26" t="str">
        <f aca="false">IF(AND(B45="On",D45&lt;"2024-01-01"),"Yes","No")</f>
        <v>No</v>
      </c>
    </row>
    <row r="46" customFormat="false" ht="15" hidden="false" customHeight="false" outlineLevel="0" collapsed="false">
      <c r="A46" s="13" t="s">
        <v>443</v>
      </c>
      <c r="B46" s="26" t="s">
        <v>386</v>
      </c>
      <c r="C46" s="18" t="n">
        <v>0</v>
      </c>
      <c r="D46" s="26" t="s">
        <v>421</v>
      </c>
      <c r="E46" s="26" t="str">
        <f aca="false">IF(AND(B46="On",D46&lt;"2024-01-01"),"Yes","No")</f>
        <v>No</v>
      </c>
    </row>
    <row r="47" customFormat="false" ht="15" hidden="false" customHeight="false" outlineLevel="0" collapsed="false">
      <c r="A47" s="13" t="s">
        <v>444</v>
      </c>
      <c r="B47" s="26" t="s">
        <v>386</v>
      </c>
      <c r="C47" s="18" t="n">
        <v>0</v>
      </c>
      <c r="D47" s="26" t="s">
        <v>421</v>
      </c>
      <c r="E47" s="26" t="str">
        <f aca="false">IF(AND(B47="On",D47&lt;"2024-01-01"),"Yes","No")</f>
        <v>No</v>
      </c>
    </row>
    <row r="48" customFormat="false" ht="15" hidden="false" customHeight="false" outlineLevel="0" collapsed="false">
      <c r="A48" s="13" t="s">
        <v>445</v>
      </c>
      <c r="B48" s="26" t="s">
        <v>386</v>
      </c>
      <c r="C48" s="18" t="n">
        <v>0</v>
      </c>
      <c r="D48" s="26" t="s">
        <v>421</v>
      </c>
      <c r="E48" s="26" t="str">
        <f aca="false">IF(AND(B48="On",D48&lt;"2024-01-01"),"Yes","No")</f>
        <v>No</v>
      </c>
    </row>
    <row r="49" customFormat="false" ht="15" hidden="false" customHeight="false" outlineLevel="0" collapsed="false">
      <c r="A49" s="13" t="s">
        <v>446</v>
      </c>
      <c r="B49" s="26" t="s">
        <v>386</v>
      </c>
      <c r="C49" s="18" t="n">
        <v>0</v>
      </c>
      <c r="D49" s="26" t="s">
        <v>421</v>
      </c>
      <c r="E49" s="26" t="str">
        <f aca="false">IF(AND(B49="On",D49&lt;"2024-01-01"),"Yes","No")</f>
        <v>No</v>
      </c>
    </row>
    <row r="50" customFormat="false" ht="15" hidden="false" customHeight="false" outlineLevel="0" collapsed="false">
      <c r="A50" s="13" t="s">
        <v>447</v>
      </c>
      <c r="B50" s="26" t="s">
        <v>386</v>
      </c>
      <c r="C50" s="18" t="n">
        <v>0</v>
      </c>
      <c r="D50" s="26" t="s">
        <v>421</v>
      </c>
      <c r="E50" s="26" t="str">
        <f aca="false">IF(AND(B50="On",D50&lt;"2024-01-01"),"Yes","No")</f>
        <v>No</v>
      </c>
    </row>
    <row r="51" customFormat="false" ht="15" hidden="false" customHeight="false" outlineLevel="0" collapsed="false">
      <c r="A51" s="13" t="s">
        <v>448</v>
      </c>
      <c r="B51" s="26" t="s">
        <v>386</v>
      </c>
      <c r="C51" s="18" t="n">
        <v>0</v>
      </c>
      <c r="D51" s="26" t="s">
        <v>421</v>
      </c>
      <c r="E51" s="26" t="str">
        <f aca="false">IF(AND(B51="On",D51&lt;"2024-01-01"),"Yes","No")</f>
        <v>No</v>
      </c>
    </row>
    <row r="52" customFormat="false" ht="15" hidden="false" customHeight="false" outlineLevel="0" collapsed="false">
      <c r="A52" s="13" t="s">
        <v>449</v>
      </c>
      <c r="B52" s="26" t="s">
        <v>386</v>
      </c>
      <c r="C52" s="18" t="n">
        <v>0</v>
      </c>
      <c r="D52" s="26" t="s">
        <v>421</v>
      </c>
      <c r="E52" s="26" t="str">
        <f aca="false">IF(AND(B52="On",D52&lt;"2024-01-01"),"Yes","No")</f>
        <v>No</v>
      </c>
    </row>
    <row r="53" customFormat="false" ht="15" hidden="false" customHeight="false" outlineLevel="0" collapsed="false">
      <c r="A53" s="13" t="s">
        <v>450</v>
      </c>
      <c r="B53" s="26" t="s">
        <v>386</v>
      </c>
      <c r="C53" s="18" t="n">
        <v>0</v>
      </c>
      <c r="D53" s="26" t="s">
        <v>421</v>
      </c>
      <c r="E53" s="26" t="str">
        <f aca="false">IF(AND(B53="On",D53&lt;"2024-01-01"),"Yes","No")</f>
        <v>No</v>
      </c>
    </row>
    <row r="54" customFormat="false" ht="15" hidden="false" customHeight="false" outlineLevel="0" collapsed="false">
      <c r="A54" s="13" t="s">
        <v>451</v>
      </c>
      <c r="B54" s="26" t="s">
        <v>386</v>
      </c>
      <c r="C54" s="18" t="n">
        <v>0</v>
      </c>
      <c r="D54" s="26" t="s">
        <v>421</v>
      </c>
      <c r="E54" s="26" t="str">
        <f aca="false">IF(AND(B54="On",D54&lt;"2024-01-01"),"Yes","No")</f>
        <v>No</v>
      </c>
    </row>
    <row r="55" customFormat="false" ht="15" hidden="false" customHeight="false" outlineLevel="0" collapsed="false">
      <c r="A55" s="13" t="s">
        <v>452</v>
      </c>
      <c r="B55" s="26" t="s">
        <v>386</v>
      </c>
      <c r="C55" s="18" t="n">
        <v>0</v>
      </c>
      <c r="D55" s="26" t="s">
        <v>421</v>
      </c>
      <c r="E55" s="26" t="str">
        <f aca="false">IF(AND(B55="On",D55&lt;"2024-01-01"),"Yes","No")</f>
        <v>No</v>
      </c>
    </row>
    <row r="56" customFormat="false" ht="15" hidden="false" customHeight="false" outlineLevel="0" collapsed="false">
      <c r="A56" s="13" t="s">
        <v>453</v>
      </c>
      <c r="B56" s="26" t="s">
        <v>386</v>
      </c>
      <c r="C56" s="18" t="n">
        <v>0</v>
      </c>
      <c r="D56" s="26" t="s">
        <v>421</v>
      </c>
      <c r="E56" s="26" t="str">
        <f aca="false">IF(AND(B56="On",D56&lt;"2024-01-01"),"Yes","No")</f>
        <v>No</v>
      </c>
    </row>
    <row r="57" customFormat="false" ht="15" hidden="false" customHeight="false" outlineLevel="0" collapsed="false">
      <c r="A57" s="13" t="s">
        <v>454</v>
      </c>
      <c r="B57" s="26" t="s">
        <v>386</v>
      </c>
      <c r="C57" s="18" t="n">
        <v>0</v>
      </c>
      <c r="D57" s="26" t="s">
        <v>421</v>
      </c>
      <c r="E57" s="26" t="str">
        <f aca="false">IF(AND(B57="On",D57&lt;"2024-01-01"),"Yes","No")</f>
        <v>No</v>
      </c>
    </row>
    <row r="58" customFormat="false" ht="15" hidden="false" customHeight="false" outlineLevel="0" collapsed="false">
      <c r="A58" s="13" t="s">
        <v>455</v>
      </c>
      <c r="B58" s="26" t="s">
        <v>386</v>
      </c>
      <c r="C58" s="18" t="n">
        <v>0</v>
      </c>
      <c r="D58" s="26" t="s">
        <v>421</v>
      </c>
      <c r="E58" s="26" t="str">
        <f aca="false">IF(AND(B58="On",D58&lt;"2024-01-01"),"Yes","No")</f>
        <v>No</v>
      </c>
    </row>
    <row r="59" customFormat="false" ht="15" hidden="false" customHeight="false" outlineLevel="0" collapsed="false">
      <c r="A59" s="13" t="s">
        <v>456</v>
      </c>
      <c r="B59" s="26" t="s">
        <v>386</v>
      </c>
      <c r="C59" s="18" t="n">
        <v>0</v>
      </c>
      <c r="D59" s="26" t="s">
        <v>421</v>
      </c>
      <c r="E59" s="26" t="str">
        <f aca="false">IF(AND(B59="On",D59&lt;"2024-01-01"),"Yes","No")</f>
        <v>No</v>
      </c>
    </row>
    <row r="60" customFormat="false" ht="15" hidden="false" customHeight="false" outlineLevel="0" collapsed="false">
      <c r="A60" s="13" t="s">
        <v>457</v>
      </c>
      <c r="B60" s="26" t="s">
        <v>386</v>
      </c>
      <c r="C60" s="18" t="n">
        <v>0</v>
      </c>
      <c r="D60" s="26" t="s">
        <v>421</v>
      </c>
      <c r="E60" s="26" t="str">
        <f aca="false">IF(AND(B60="On",D60&lt;"2024-01-01"),"Yes","No")</f>
        <v>No</v>
      </c>
    </row>
    <row r="61" customFormat="false" ht="15" hidden="false" customHeight="false" outlineLevel="0" collapsed="false">
      <c r="A61" s="13" t="s">
        <v>458</v>
      </c>
      <c r="B61" s="26" t="s">
        <v>386</v>
      </c>
      <c r="C61" s="18" t="n">
        <v>0</v>
      </c>
      <c r="D61" s="26" t="s">
        <v>421</v>
      </c>
      <c r="E61" s="26" t="str">
        <f aca="false">IF(AND(B61="On",D61&lt;"2024-01-01"),"Yes","No")</f>
        <v>No</v>
      </c>
    </row>
    <row r="62" customFormat="false" ht="15" hidden="false" customHeight="false" outlineLevel="0" collapsed="false">
      <c r="A62" s="13" t="s">
        <v>459</v>
      </c>
      <c r="B62" s="26" t="s">
        <v>386</v>
      </c>
      <c r="C62" s="18" t="n">
        <v>0</v>
      </c>
      <c r="D62" s="26" t="s">
        <v>460</v>
      </c>
      <c r="E62" s="26" t="str">
        <f aca="false">IF(AND(B62="On",D62&lt;"2024-01-01"),"Yes","No")</f>
        <v>No</v>
      </c>
    </row>
    <row r="63" customFormat="false" ht="15" hidden="false" customHeight="false" outlineLevel="0" collapsed="false">
      <c r="A63" s="13" t="s">
        <v>461</v>
      </c>
      <c r="B63" s="26" t="s">
        <v>386</v>
      </c>
      <c r="C63" s="18" t="n">
        <v>0</v>
      </c>
      <c r="D63" s="26" t="s">
        <v>462</v>
      </c>
      <c r="E63" s="26" t="str">
        <f aca="false">IF(AND(B63="On",D63&lt;"2024-01-01"),"Yes","No")</f>
        <v>No</v>
      </c>
    </row>
    <row r="64" customFormat="false" ht="15" hidden="false" customHeight="false" outlineLevel="0" collapsed="false">
      <c r="A64" s="13" t="s">
        <v>463</v>
      </c>
      <c r="B64" s="26" t="s">
        <v>386</v>
      </c>
      <c r="C64" s="18" t="n">
        <v>0</v>
      </c>
      <c r="D64" s="26" t="s">
        <v>464</v>
      </c>
      <c r="E64" s="26" t="str">
        <f aca="false">IF(AND(B64="On",D64&lt;"2024-01-01"),"Yes","No")</f>
        <v>No</v>
      </c>
    </row>
    <row r="65" customFormat="false" ht="15" hidden="false" customHeight="false" outlineLevel="0" collapsed="false">
      <c r="A65" s="13" t="s">
        <v>465</v>
      </c>
      <c r="B65" s="26" t="s">
        <v>386</v>
      </c>
      <c r="C65" s="18" t="n">
        <v>0</v>
      </c>
      <c r="D65" s="26" t="s">
        <v>466</v>
      </c>
      <c r="E65" s="26" t="str">
        <f aca="false">IF(AND(B65="On",D65&lt;"2024-01-01"),"Yes","No")</f>
        <v>No</v>
      </c>
    </row>
    <row r="66" customFormat="false" ht="15" hidden="false" customHeight="false" outlineLevel="0" collapsed="false">
      <c r="A66" s="13" t="s">
        <v>467</v>
      </c>
      <c r="B66" s="26" t="s">
        <v>386</v>
      </c>
      <c r="C66" s="18" t="n">
        <v>0</v>
      </c>
      <c r="D66" s="26" t="s">
        <v>466</v>
      </c>
      <c r="E66" s="26" t="str">
        <f aca="false">IF(AND(B66="On",D66&lt;"2024-01-01"),"Yes","No")</f>
        <v>No</v>
      </c>
    </row>
    <row r="67" customFormat="false" ht="15" hidden="false" customHeight="false" outlineLevel="0" collapsed="false">
      <c r="A67" s="13" t="s">
        <v>468</v>
      </c>
      <c r="B67" s="26" t="s">
        <v>386</v>
      </c>
      <c r="C67" s="18" t="n">
        <v>0</v>
      </c>
      <c r="D67" s="26" t="s">
        <v>466</v>
      </c>
      <c r="E67" s="26" t="str">
        <f aca="false">IF(AND(B67="On",D67&lt;"2024-01-01"),"Yes","No")</f>
        <v>No</v>
      </c>
    </row>
    <row r="68" customFormat="false" ht="15" hidden="false" customHeight="false" outlineLevel="0" collapsed="false">
      <c r="A68" s="13" t="s">
        <v>469</v>
      </c>
      <c r="B68" s="26" t="s">
        <v>386</v>
      </c>
      <c r="C68" s="18" t="n">
        <v>0</v>
      </c>
      <c r="D68" s="26" t="s">
        <v>466</v>
      </c>
      <c r="E68" s="26" t="str">
        <f aca="false">IF(AND(B68="On",D68&lt;"2024-01-01"),"Yes","No")</f>
        <v>No</v>
      </c>
    </row>
    <row r="69" customFormat="false" ht="15" hidden="false" customHeight="false" outlineLevel="0" collapsed="false">
      <c r="A69" s="13" t="s">
        <v>470</v>
      </c>
      <c r="B69" s="26" t="s">
        <v>386</v>
      </c>
      <c r="C69" s="18" t="n">
        <v>0</v>
      </c>
      <c r="D69" s="26" t="s">
        <v>466</v>
      </c>
      <c r="E69" s="26" t="str">
        <f aca="false">IF(AND(B69="On",D69&lt;"2024-01-01"),"Yes","No")</f>
        <v>No</v>
      </c>
    </row>
    <row r="70" customFormat="false" ht="15" hidden="false" customHeight="false" outlineLevel="0" collapsed="false">
      <c r="A70" s="13" t="s">
        <v>471</v>
      </c>
      <c r="B70" s="26" t="s">
        <v>386</v>
      </c>
      <c r="C70" s="18" t="n">
        <v>0</v>
      </c>
      <c r="D70" s="26" t="s">
        <v>466</v>
      </c>
      <c r="E70" s="26" t="str">
        <f aca="false">IF(AND(B70="On",D70&lt;"2024-01-01"),"Yes","No")</f>
        <v>No</v>
      </c>
    </row>
    <row r="71" customFormat="false" ht="15" hidden="false" customHeight="false" outlineLevel="0" collapsed="false">
      <c r="A71" s="13" t="s">
        <v>472</v>
      </c>
      <c r="B71" s="26" t="s">
        <v>386</v>
      </c>
      <c r="C71" s="18" t="n">
        <v>0</v>
      </c>
      <c r="D71" s="26" t="s">
        <v>466</v>
      </c>
      <c r="E71" s="26" t="str">
        <f aca="false">IF(AND(B71="On",D71&lt;"2024-01-01"),"Yes","No")</f>
        <v>No</v>
      </c>
    </row>
    <row r="72" customFormat="false" ht="15" hidden="false" customHeight="false" outlineLevel="0" collapsed="false">
      <c r="A72" s="13" t="s">
        <v>473</v>
      </c>
      <c r="B72" s="26" t="s">
        <v>386</v>
      </c>
      <c r="C72" s="18" t="n">
        <v>0</v>
      </c>
      <c r="D72" s="26" t="s">
        <v>474</v>
      </c>
      <c r="E72" s="26" t="str">
        <f aca="false">IF(AND(B72="On",D72&lt;"2024-01-01"),"Yes","No")</f>
        <v>No</v>
      </c>
    </row>
    <row r="73" customFormat="false" ht="15" hidden="false" customHeight="false" outlineLevel="0" collapsed="false">
      <c r="A73" s="13" t="s">
        <v>475</v>
      </c>
      <c r="B73" s="26" t="s">
        <v>386</v>
      </c>
      <c r="C73" s="18" t="n">
        <v>0</v>
      </c>
      <c r="D73" s="26" t="s">
        <v>476</v>
      </c>
      <c r="E73" s="26" t="str">
        <f aca="false">IF(AND(B73="On",D73&lt;"2024-01-01"),"Yes","No")</f>
        <v>No</v>
      </c>
    </row>
    <row r="74" customFormat="false" ht="15" hidden="false" customHeight="false" outlineLevel="0" collapsed="false">
      <c r="A74" s="13" t="s">
        <v>477</v>
      </c>
      <c r="B74" s="26" t="s">
        <v>386</v>
      </c>
      <c r="C74" s="18" t="n">
        <v>0</v>
      </c>
      <c r="D74" s="26" t="s">
        <v>478</v>
      </c>
      <c r="E74" s="26" t="str">
        <f aca="false">IF(AND(B74="On",D74&lt;"2024-01-01"),"Yes","No")</f>
        <v>No</v>
      </c>
    </row>
    <row r="75" customFormat="false" ht="15" hidden="false" customHeight="false" outlineLevel="0" collapsed="false">
      <c r="A75" s="13" t="s">
        <v>479</v>
      </c>
      <c r="B75" s="26" t="s">
        <v>386</v>
      </c>
      <c r="C75" s="18" t="n">
        <v>0</v>
      </c>
      <c r="D75" s="26" t="s">
        <v>480</v>
      </c>
      <c r="E75" s="26" t="str">
        <f aca="false">IF(AND(B75="On",D75&lt;"2024-01-01"),"Yes","No")</f>
        <v>No</v>
      </c>
    </row>
    <row r="76" customFormat="false" ht="15" hidden="false" customHeight="false" outlineLevel="0" collapsed="false">
      <c r="A76" s="13" t="s">
        <v>396</v>
      </c>
      <c r="B76" s="26" t="s">
        <v>386</v>
      </c>
      <c r="C76" s="18" t="n">
        <v>0</v>
      </c>
      <c r="D76" s="26" t="s">
        <v>480</v>
      </c>
      <c r="E76" s="26" t="str">
        <f aca="false">IF(AND(B76="On",D76&lt;"2024-01-01"),"Yes","No")</f>
        <v>No</v>
      </c>
    </row>
    <row r="77" customFormat="false" ht="15" hidden="false" customHeight="false" outlineLevel="0" collapsed="false">
      <c r="A77" s="13" t="s">
        <v>396</v>
      </c>
      <c r="B77" s="26" t="s">
        <v>386</v>
      </c>
      <c r="C77" s="18" t="n">
        <v>0</v>
      </c>
      <c r="D77" s="26" t="s">
        <v>480</v>
      </c>
      <c r="E77" s="26" t="str">
        <f aca="false">IF(AND(B77="On",D77&lt;"2024-01-01"),"Yes","No")</f>
        <v>No</v>
      </c>
    </row>
    <row r="78" customFormat="false" ht="15" hidden="false" customHeight="false" outlineLevel="0" collapsed="false">
      <c r="A78" s="13" t="s">
        <v>481</v>
      </c>
      <c r="B78" s="26" t="s">
        <v>386</v>
      </c>
      <c r="C78" s="18" t="n">
        <v>0</v>
      </c>
      <c r="D78" s="26" t="s">
        <v>482</v>
      </c>
      <c r="E78" s="26" t="str">
        <f aca="false">IF(AND(B78="On",D78&lt;"2024-01-01"),"Yes","No")</f>
        <v>No</v>
      </c>
    </row>
    <row r="79" customFormat="false" ht="15" hidden="false" customHeight="false" outlineLevel="0" collapsed="false">
      <c r="A79" s="13" t="s">
        <v>483</v>
      </c>
      <c r="B79" s="26" t="s">
        <v>386</v>
      </c>
      <c r="C79" s="18" t="n">
        <v>0</v>
      </c>
      <c r="D79" s="26" t="s">
        <v>484</v>
      </c>
      <c r="E79" s="26" t="str">
        <f aca="false">IF(AND(B79="On",D79&lt;"2024-01-01"),"Yes","No")</f>
        <v>No</v>
      </c>
    </row>
    <row r="80" customFormat="false" ht="15" hidden="false" customHeight="false" outlineLevel="0" collapsed="false">
      <c r="A80" s="13" t="s">
        <v>485</v>
      </c>
      <c r="B80" s="26" t="s">
        <v>386</v>
      </c>
      <c r="C80" s="18" t="n">
        <v>0</v>
      </c>
      <c r="D80" s="26" t="s">
        <v>486</v>
      </c>
      <c r="E80" s="26" t="str">
        <f aca="false">IF(AND(B80="On",D80&lt;"2024-01-01"),"Yes","No")</f>
        <v>No</v>
      </c>
    </row>
    <row r="81" customFormat="false" ht="15" hidden="false" customHeight="false" outlineLevel="0" collapsed="false">
      <c r="A81" s="13" t="s">
        <v>487</v>
      </c>
      <c r="B81" s="26" t="s">
        <v>386</v>
      </c>
      <c r="C81" s="18" t="n">
        <v>0</v>
      </c>
      <c r="D81" s="26" t="s">
        <v>488</v>
      </c>
      <c r="E81" s="26" t="str">
        <f aca="false">IF(AND(B81="On",D81&lt;"2024-01-01"),"Yes","No")</f>
        <v>No</v>
      </c>
    </row>
    <row r="82" customFormat="false" ht="15" hidden="false" customHeight="false" outlineLevel="0" collapsed="false">
      <c r="A82" s="13" t="s">
        <v>489</v>
      </c>
      <c r="B82" s="26" t="s">
        <v>386</v>
      </c>
      <c r="C82" s="18" t="n">
        <v>0</v>
      </c>
      <c r="D82" s="26" t="s">
        <v>490</v>
      </c>
      <c r="E82" s="26" t="str">
        <f aca="false">IF(AND(B82="On",D82&lt;"2024-01-01"),"Yes","No")</f>
        <v>No</v>
      </c>
    </row>
    <row r="83" customFormat="false" ht="15" hidden="false" customHeight="false" outlineLevel="0" collapsed="false">
      <c r="A83" s="13" t="s">
        <v>491</v>
      </c>
      <c r="B83" s="26" t="s">
        <v>386</v>
      </c>
      <c r="C83" s="18" t="n">
        <v>0</v>
      </c>
      <c r="D83" s="26" t="s">
        <v>492</v>
      </c>
      <c r="E83" s="26" t="str">
        <f aca="false">IF(AND(B83="On",D83&lt;"2024-01-01"),"Yes","No")</f>
        <v>No</v>
      </c>
    </row>
    <row r="84" customFormat="false" ht="15" hidden="false" customHeight="false" outlineLevel="0" collapsed="false">
      <c r="A84" s="13" t="s">
        <v>493</v>
      </c>
      <c r="B84" s="26" t="s">
        <v>386</v>
      </c>
      <c r="C84" s="18" t="n">
        <v>0</v>
      </c>
      <c r="D84" s="26" t="s">
        <v>492</v>
      </c>
      <c r="E84" s="26" t="str">
        <f aca="false">IF(AND(B84="On",D84&lt;"2024-01-01"),"Yes","No")</f>
        <v>No</v>
      </c>
    </row>
    <row r="85" customFormat="false" ht="15" hidden="false" customHeight="false" outlineLevel="0" collapsed="false">
      <c r="A85" s="13" t="s">
        <v>494</v>
      </c>
      <c r="B85" s="26" t="s">
        <v>386</v>
      </c>
      <c r="C85" s="18" t="n">
        <v>0</v>
      </c>
      <c r="D85" s="26" t="s">
        <v>492</v>
      </c>
      <c r="E85" s="26" t="str">
        <f aca="false">IF(AND(B85="On",D85&lt;"2024-01-01"),"Yes","No")</f>
        <v>No</v>
      </c>
    </row>
    <row r="86" customFormat="false" ht="15" hidden="false" customHeight="false" outlineLevel="0" collapsed="false">
      <c r="A86" s="13" t="s">
        <v>495</v>
      </c>
      <c r="B86" s="26" t="s">
        <v>386</v>
      </c>
      <c r="C86" s="18" t="n">
        <v>0</v>
      </c>
      <c r="D86" s="26" t="s">
        <v>496</v>
      </c>
      <c r="E86" s="26" t="str">
        <f aca="false">IF(AND(B86="On",D86&lt;"2024-01-01"),"Yes","No")</f>
        <v>No</v>
      </c>
    </row>
    <row r="87" customFormat="false" ht="15" hidden="false" customHeight="false" outlineLevel="0" collapsed="false">
      <c r="A87" s="13" t="s">
        <v>497</v>
      </c>
      <c r="B87" s="26" t="s">
        <v>386</v>
      </c>
      <c r="C87" s="18" t="n">
        <v>0</v>
      </c>
      <c r="D87" s="26" t="s">
        <v>498</v>
      </c>
      <c r="E87" s="26" t="str">
        <f aca="false">IF(AND(B87="On",D87&lt;"2024-01-01"),"Yes","No")</f>
        <v>No</v>
      </c>
    </row>
    <row r="88" customFormat="false" ht="15" hidden="false" customHeight="false" outlineLevel="0" collapsed="false">
      <c r="A88" s="13" t="s">
        <v>499</v>
      </c>
      <c r="B88" s="26" t="s">
        <v>386</v>
      </c>
      <c r="C88" s="18" t="n">
        <v>0</v>
      </c>
      <c r="D88" s="26" t="s">
        <v>500</v>
      </c>
      <c r="E88" s="26" t="str">
        <f aca="false">IF(AND(B88="On",D88&lt;"2024-01-01"),"Yes","No")</f>
        <v>No</v>
      </c>
    </row>
    <row r="89" customFormat="false" ht="15" hidden="false" customHeight="false" outlineLevel="0" collapsed="false">
      <c r="A89" s="13" t="s">
        <v>501</v>
      </c>
      <c r="B89" s="26" t="s">
        <v>386</v>
      </c>
      <c r="C89" s="18" t="n">
        <v>0</v>
      </c>
      <c r="D89" s="26" t="s">
        <v>502</v>
      </c>
      <c r="E89" s="26" t="str">
        <f aca="false">IF(AND(B89="On",D89&lt;"2024-01-01"),"Yes","No")</f>
        <v>No</v>
      </c>
    </row>
    <row r="90" customFormat="false" ht="15" hidden="false" customHeight="false" outlineLevel="0" collapsed="false">
      <c r="A90" s="13" t="s">
        <v>503</v>
      </c>
      <c r="B90" s="26" t="s">
        <v>386</v>
      </c>
      <c r="C90" s="18" t="n">
        <v>0</v>
      </c>
      <c r="D90" s="26" t="s">
        <v>504</v>
      </c>
      <c r="E90" s="26" t="str">
        <f aca="false">IF(AND(B90="On",D90&lt;"2024-01-01"),"Yes","No")</f>
        <v>No</v>
      </c>
    </row>
    <row r="91" customFormat="false" ht="15" hidden="false" customHeight="false" outlineLevel="0" collapsed="false">
      <c r="A91" s="13" t="s">
        <v>505</v>
      </c>
      <c r="B91" s="26" t="s">
        <v>386</v>
      </c>
      <c r="C91" s="18" t="n">
        <v>0</v>
      </c>
      <c r="D91" s="26" t="s">
        <v>504</v>
      </c>
      <c r="E91" s="26" t="str">
        <f aca="false">IF(AND(B91="On",D91&lt;"2024-01-01"),"Yes","No")</f>
        <v>No</v>
      </c>
    </row>
    <row r="92" customFormat="false" ht="15" hidden="false" customHeight="false" outlineLevel="0" collapsed="false">
      <c r="A92" s="13" t="s">
        <v>506</v>
      </c>
      <c r="B92" s="26" t="s">
        <v>386</v>
      </c>
      <c r="C92" s="18" t="n">
        <v>0</v>
      </c>
      <c r="D92" s="26" t="s">
        <v>507</v>
      </c>
      <c r="E92" s="26" t="str">
        <f aca="false">IF(AND(B92="On",D92&lt;"2024-01-01"),"Yes","No")</f>
        <v>No</v>
      </c>
    </row>
    <row r="93" customFormat="false" ht="15" hidden="false" customHeight="false" outlineLevel="0" collapsed="false">
      <c r="A93" s="13" t="s">
        <v>508</v>
      </c>
      <c r="B93" s="26" t="s">
        <v>386</v>
      </c>
      <c r="C93" s="18" t="n">
        <v>0</v>
      </c>
      <c r="D93" s="26" t="s">
        <v>509</v>
      </c>
      <c r="E93" s="26" t="str">
        <f aca="false">IF(AND(B93="On",D93&lt;"2024-01-01"),"Yes","No")</f>
        <v>No</v>
      </c>
    </row>
    <row r="94" customFormat="false" ht="15" hidden="false" customHeight="false" outlineLevel="0" collapsed="false">
      <c r="A94" s="13" t="s">
        <v>510</v>
      </c>
      <c r="B94" s="26" t="s">
        <v>386</v>
      </c>
      <c r="C94" s="18" t="n">
        <v>0</v>
      </c>
      <c r="D94" s="26" t="s">
        <v>511</v>
      </c>
      <c r="E94" s="26" t="str">
        <f aca="false">IF(AND(B94="On",D94&lt;"2024-01-01"),"Yes","No")</f>
        <v>No</v>
      </c>
    </row>
    <row r="95" customFormat="false" ht="15" hidden="false" customHeight="false" outlineLevel="0" collapsed="false">
      <c r="A95" s="13" t="s">
        <v>512</v>
      </c>
      <c r="B95" s="26" t="s">
        <v>386</v>
      </c>
      <c r="C95" s="18" t="n">
        <v>0</v>
      </c>
      <c r="D95" s="26" t="s">
        <v>513</v>
      </c>
      <c r="E95" s="26" t="str">
        <f aca="false">IF(AND(B95="On",D95&lt;"2024-01-01"),"Yes","No")</f>
        <v>No</v>
      </c>
    </row>
    <row r="96" customFormat="false" ht="15" hidden="false" customHeight="false" outlineLevel="0" collapsed="false">
      <c r="A96" s="13" t="s">
        <v>514</v>
      </c>
      <c r="B96" s="26" t="s">
        <v>386</v>
      </c>
      <c r="C96" s="18" t="n">
        <v>0</v>
      </c>
      <c r="D96" s="26" t="s">
        <v>515</v>
      </c>
      <c r="E96" s="26" t="str">
        <f aca="false">IF(AND(B96="On",D96&lt;"2024-01-01"),"Yes","No")</f>
        <v>No</v>
      </c>
    </row>
    <row r="97" customFormat="false" ht="15" hidden="false" customHeight="false" outlineLevel="0" collapsed="false">
      <c r="A97" s="13" t="s">
        <v>516</v>
      </c>
      <c r="B97" s="26" t="s">
        <v>386</v>
      </c>
      <c r="C97" s="18" t="n">
        <v>0</v>
      </c>
      <c r="D97" s="26" t="s">
        <v>517</v>
      </c>
      <c r="E97" s="26" t="str">
        <f aca="false">IF(AND(B97="On",D97&lt;"2024-01-01"),"Yes","No")</f>
        <v>No</v>
      </c>
    </row>
    <row r="98" customFormat="false" ht="15" hidden="false" customHeight="false" outlineLevel="0" collapsed="false">
      <c r="A98" s="13" t="s">
        <v>518</v>
      </c>
      <c r="B98" s="26" t="s">
        <v>386</v>
      </c>
      <c r="C98" s="18" t="n">
        <v>0</v>
      </c>
      <c r="D98" s="26" t="s">
        <v>517</v>
      </c>
      <c r="E98" s="26" t="str">
        <f aca="false">IF(AND(B98="On",D98&lt;"2024-01-01"),"Yes","No")</f>
        <v>No</v>
      </c>
    </row>
    <row r="99" customFormat="false" ht="15" hidden="false" customHeight="false" outlineLevel="0" collapsed="false">
      <c r="A99" s="13" t="s">
        <v>519</v>
      </c>
      <c r="B99" s="26" t="s">
        <v>386</v>
      </c>
      <c r="C99" s="18" t="n">
        <v>0</v>
      </c>
      <c r="D99" s="26" t="s">
        <v>520</v>
      </c>
      <c r="E99" s="26" t="str">
        <f aca="false">IF(AND(B99="On",D99&lt;"2024-01-01"),"Yes","No")</f>
        <v>No</v>
      </c>
    </row>
    <row r="100" customFormat="false" ht="15" hidden="false" customHeight="false" outlineLevel="0" collapsed="false">
      <c r="A100" s="13" t="s">
        <v>521</v>
      </c>
      <c r="B100" s="26" t="s">
        <v>386</v>
      </c>
      <c r="C100" s="18" t="n">
        <v>0</v>
      </c>
      <c r="D100" s="26" t="s">
        <v>520</v>
      </c>
      <c r="E100" s="26" t="str">
        <f aca="false">IF(AND(B100="On",D100&lt;"2024-01-01"),"Yes","No")</f>
        <v>No</v>
      </c>
    </row>
    <row r="101" customFormat="false" ht="15" hidden="false" customHeight="false" outlineLevel="0" collapsed="false">
      <c r="A101" s="13" t="s">
        <v>522</v>
      </c>
      <c r="B101" s="26" t="s">
        <v>386</v>
      </c>
      <c r="C101" s="18" t="n">
        <v>0</v>
      </c>
      <c r="D101" s="26" t="s">
        <v>523</v>
      </c>
      <c r="E101" s="26" t="str">
        <f aca="false">IF(AND(B101="On",D101&lt;"2024-01-01"),"Yes","No")</f>
        <v>No</v>
      </c>
    </row>
    <row r="102" customFormat="false" ht="15" hidden="false" customHeight="false" outlineLevel="0" collapsed="false">
      <c r="A102" s="13" t="s">
        <v>524</v>
      </c>
      <c r="B102" s="26" t="s">
        <v>386</v>
      </c>
      <c r="C102" s="18" t="n">
        <v>0</v>
      </c>
      <c r="D102" s="26" t="s">
        <v>525</v>
      </c>
      <c r="E102" s="26" t="str">
        <f aca="false">IF(AND(B102="On",D102&lt;"2024-01-01"),"Yes","No")</f>
        <v>No</v>
      </c>
    </row>
    <row r="103" customFormat="false" ht="15" hidden="false" customHeight="false" outlineLevel="0" collapsed="false">
      <c r="A103" s="13" t="s">
        <v>526</v>
      </c>
      <c r="B103" s="26" t="s">
        <v>386</v>
      </c>
      <c r="C103" s="18" t="n">
        <v>0</v>
      </c>
      <c r="D103" s="26" t="s">
        <v>527</v>
      </c>
      <c r="E103" s="26" t="str">
        <f aca="false">IF(AND(B103="On",D103&lt;"2024-01-01"),"Yes","No")</f>
        <v>No</v>
      </c>
    </row>
    <row r="104" customFormat="false" ht="15" hidden="false" customHeight="false" outlineLevel="0" collapsed="false">
      <c r="A104" s="13" t="s">
        <v>528</v>
      </c>
      <c r="B104" s="26" t="s">
        <v>386</v>
      </c>
      <c r="C104" s="18" t="n">
        <v>0</v>
      </c>
      <c r="D104" s="26" t="s">
        <v>527</v>
      </c>
      <c r="E104" s="26" t="str">
        <f aca="false">IF(AND(B104="On",D104&lt;"2024-01-01"),"Yes","No")</f>
        <v>No</v>
      </c>
    </row>
    <row r="105" customFormat="false" ht="15" hidden="false" customHeight="false" outlineLevel="0" collapsed="false">
      <c r="A105" s="13" t="s">
        <v>529</v>
      </c>
      <c r="B105" s="26" t="s">
        <v>386</v>
      </c>
      <c r="C105" s="18" t="n">
        <v>0</v>
      </c>
      <c r="D105" s="26" t="s">
        <v>527</v>
      </c>
      <c r="E105" s="26" t="str">
        <f aca="false">IF(AND(B105="On",D105&lt;"2024-01-01"),"Yes","No")</f>
        <v>No</v>
      </c>
    </row>
    <row r="106" customFormat="false" ht="15" hidden="false" customHeight="false" outlineLevel="0" collapsed="false">
      <c r="A106" s="13" t="s">
        <v>530</v>
      </c>
      <c r="B106" s="26" t="s">
        <v>386</v>
      </c>
      <c r="C106" s="18" t="n">
        <v>0</v>
      </c>
      <c r="D106" s="26" t="s">
        <v>527</v>
      </c>
      <c r="E106" s="26" t="str">
        <f aca="false">IF(AND(B106="On",D106&lt;"2024-01-01"),"Yes","No")</f>
        <v>No</v>
      </c>
    </row>
    <row r="107" customFormat="false" ht="15" hidden="false" customHeight="false" outlineLevel="0" collapsed="false">
      <c r="A107" s="13" t="s">
        <v>531</v>
      </c>
      <c r="B107" s="26" t="s">
        <v>386</v>
      </c>
      <c r="C107" s="18" t="n">
        <v>0</v>
      </c>
      <c r="D107" s="26" t="s">
        <v>527</v>
      </c>
      <c r="E107" s="26" t="str">
        <f aca="false">IF(AND(B107="On",D107&lt;"2024-01-01"),"Yes","No")</f>
        <v>No</v>
      </c>
    </row>
    <row r="108" customFormat="false" ht="15" hidden="false" customHeight="false" outlineLevel="0" collapsed="false">
      <c r="A108" s="13" t="s">
        <v>532</v>
      </c>
      <c r="B108" s="26" t="s">
        <v>386</v>
      </c>
      <c r="C108" s="18" t="n">
        <v>0</v>
      </c>
      <c r="D108" s="26" t="s">
        <v>527</v>
      </c>
      <c r="E108" s="26" t="str">
        <f aca="false">IF(AND(B108="On",D108&lt;"2024-01-01"),"Yes","No")</f>
        <v>No</v>
      </c>
    </row>
    <row r="109" customFormat="false" ht="15" hidden="false" customHeight="false" outlineLevel="0" collapsed="false">
      <c r="A109" s="13" t="s">
        <v>533</v>
      </c>
      <c r="B109" s="26" t="s">
        <v>386</v>
      </c>
      <c r="C109" s="18" t="n">
        <v>0</v>
      </c>
      <c r="D109" s="26" t="s">
        <v>527</v>
      </c>
      <c r="E109" s="26" t="str">
        <f aca="false">IF(AND(B109="On",D109&lt;"2024-01-01"),"Yes","No")</f>
        <v>No</v>
      </c>
    </row>
    <row r="110" customFormat="false" ht="15" hidden="false" customHeight="false" outlineLevel="0" collapsed="false">
      <c r="A110" s="13" t="s">
        <v>534</v>
      </c>
      <c r="B110" s="26" t="s">
        <v>386</v>
      </c>
      <c r="C110" s="18" t="n">
        <v>0</v>
      </c>
      <c r="D110" s="26" t="s">
        <v>527</v>
      </c>
      <c r="E110" s="26" t="str">
        <f aca="false">IF(AND(B110="On",D110&lt;"2024-01-01"),"Yes","No")</f>
        <v>No</v>
      </c>
    </row>
    <row r="111" customFormat="false" ht="15" hidden="false" customHeight="false" outlineLevel="0" collapsed="false">
      <c r="A111" s="13" t="s">
        <v>535</v>
      </c>
      <c r="B111" s="26" t="s">
        <v>386</v>
      </c>
      <c r="C111" s="18" t="n">
        <v>0</v>
      </c>
      <c r="D111" s="26" t="s">
        <v>527</v>
      </c>
      <c r="E111" s="26" t="str">
        <f aca="false">IF(AND(B111="On",D111&lt;"2024-01-01"),"Yes","No")</f>
        <v>No</v>
      </c>
    </row>
    <row r="112" customFormat="false" ht="15" hidden="false" customHeight="false" outlineLevel="0" collapsed="false">
      <c r="A112" s="13" t="s">
        <v>536</v>
      </c>
      <c r="B112" s="26" t="s">
        <v>386</v>
      </c>
      <c r="C112" s="18" t="n">
        <v>0</v>
      </c>
      <c r="D112" s="26" t="s">
        <v>527</v>
      </c>
      <c r="E112" s="26" t="str">
        <f aca="false">IF(AND(B112="On",D112&lt;"2024-01-01"),"Yes","No")</f>
        <v>No</v>
      </c>
    </row>
    <row r="113" customFormat="false" ht="15" hidden="false" customHeight="false" outlineLevel="0" collapsed="false">
      <c r="A113" s="13" t="s">
        <v>537</v>
      </c>
      <c r="B113" s="26" t="s">
        <v>386</v>
      </c>
      <c r="C113" s="18" t="n">
        <v>0</v>
      </c>
      <c r="D113" s="26" t="s">
        <v>527</v>
      </c>
      <c r="E113" s="26" t="str">
        <f aca="false">IF(AND(B113="On",D113&lt;"2024-01-01"),"Yes","No")</f>
        <v>No</v>
      </c>
    </row>
    <row r="114" customFormat="false" ht="15" hidden="false" customHeight="false" outlineLevel="0" collapsed="false">
      <c r="A114" s="13" t="s">
        <v>538</v>
      </c>
      <c r="B114" s="26" t="s">
        <v>386</v>
      </c>
      <c r="C114" s="18" t="n">
        <v>0</v>
      </c>
      <c r="D114" s="26" t="s">
        <v>527</v>
      </c>
      <c r="E114" s="26" t="str">
        <f aca="false">IF(AND(B114="On",D114&lt;"2024-01-01"),"Yes","No")</f>
        <v>No</v>
      </c>
    </row>
    <row r="115" customFormat="false" ht="15" hidden="false" customHeight="false" outlineLevel="0" collapsed="false">
      <c r="A115" s="13" t="s">
        <v>539</v>
      </c>
      <c r="B115" s="26" t="s">
        <v>386</v>
      </c>
      <c r="C115" s="18" t="n">
        <v>0</v>
      </c>
      <c r="D115" s="26" t="s">
        <v>527</v>
      </c>
      <c r="E115" s="26" t="str">
        <f aca="false">IF(AND(B115="On",D115&lt;"2024-01-01"),"Yes","No")</f>
        <v>No</v>
      </c>
    </row>
    <row r="116" customFormat="false" ht="15" hidden="false" customHeight="false" outlineLevel="0" collapsed="false">
      <c r="A116" s="13" t="s">
        <v>540</v>
      </c>
      <c r="B116" s="26" t="s">
        <v>386</v>
      </c>
      <c r="C116" s="18" t="n">
        <v>0</v>
      </c>
      <c r="D116" s="26" t="s">
        <v>527</v>
      </c>
      <c r="E116" s="26" t="str">
        <f aca="false">IF(AND(B116="On",D116&lt;"2024-01-01"),"Yes","No")</f>
        <v>No</v>
      </c>
    </row>
    <row r="117" customFormat="false" ht="15" hidden="false" customHeight="false" outlineLevel="0" collapsed="false">
      <c r="A117" s="13" t="s">
        <v>541</v>
      </c>
      <c r="B117" s="26" t="s">
        <v>386</v>
      </c>
      <c r="C117" s="18" t="n">
        <v>0</v>
      </c>
      <c r="D117" s="26" t="s">
        <v>527</v>
      </c>
      <c r="E117" s="26" t="str">
        <f aca="false">IF(AND(B117="On",D117&lt;"2024-01-01"),"Yes","No")</f>
        <v>No</v>
      </c>
    </row>
    <row r="118" customFormat="false" ht="15" hidden="false" customHeight="false" outlineLevel="0" collapsed="false">
      <c r="A118" s="13" t="s">
        <v>542</v>
      </c>
      <c r="B118" s="26" t="s">
        <v>386</v>
      </c>
      <c r="C118" s="18" t="n">
        <v>0</v>
      </c>
      <c r="D118" s="26" t="s">
        <v>527</v>
      </c>
      <c r="E118" s="26" t="str">
        <f aca="false">IF(AND(B118="On",D118&lt;"2024-01-01"),"Yes","No")</f>
        <v>No</v>
      </c>
    </row>
    <row r="119" customFormat="false" ht="15" hidden="false" customHeight="false" outlineLevel="0" collapsed="false">
      <c r="A119" s="13" t="s">
        <v>543</v>
      </c>
      <c r="B119" s="26" t="s">
        <v>386</v>
      </c>
      <c r="C119" s="18" t="n">
        <v>0</v>
      </c>
      <c r="D119" s="26" t="s">
        <v>527</v>
      </c>
      <c r="E119" s="26" t="str">
        <f aca="false">IF(AND(B119="On",D119&lt;"2024-01-01"),"Yes","No")</f>
        <v>No</v>
      </c>
    </row>
    <row r="120" customFormat="false" ht="15" hidden="false" customHeight="false" outlineLevel="0" collapsed="false">
      <c r="A120" s="13" t="s">
        <v>544</v>
      </c>
      <c r="B120" s="26" t="s">
        <v>386</v>
      </c>
      <c r="C120" s="18" t="n">
        <v>0</v>
      </c>
      <c r="D120" s="26" t="s">
        <v>527</v>
      </c>
      <c r="E120" s="26" t="str">
        <f aca="false">IF(AND(B120="On",D120&lt;"2024-01-01"),"Yes","No")</f>
        <v>No</v>
      </c>
    </row>
    <row r="121" customFormat="false" ht="15" hidden="false" customHeight="false" outlineLevel="0" collapsed="false">
      <c r="A121" s="13" t="s">
        <v>545</v>
      </c>
      <c r="B121" s="26" t="s">
        <v>386</v>
      </c>
      <c r="C121" s="18" t="n">
        <v>0</v>
      </c>
      <c r="D121" s="26" t="s">
        <v>527</v>
      </c>
      <c r="E121" s="26" t="str">
        <f aca="false">IF(AND(B121="On",D121&lt;"2024-01-01"),"Yes","No")</f>
        <v>No</v>
      </c>
    </row>
    <row r="122" customFormat="false" ht="15" hidden="false" customHeight="false" outlineLevel="0" collapsed="false">
      <c r="A122" s="13" t="s">
        <v>546</v>
      </c>
      <c r="B122" s="26" t="s">
        <v>386</v>
      </c>
      <c r="C122" s="18" t="n">
        <v>0</v>
      </c>
      <c r="D122" s="26" t="s">
        <v>527</v>
      </c>
      <c r="E122" s="26" t="str">
        <f aca="false">IF(AND(B122="On",D122&lt;"2024-01-01"),"Yes","No")</f>
        <v>No</v>
      </c>
    </row>
    <row r="123" customFormat="false" ht="15" hidden="false" customHeight="false" outlineLevel="0" collapsed="false">
      <c r="A123" s="13" t="s">
        <v>547</v>
      </c>
      <c r="B123" s="26" t="s">
        <v>386</v>
      </c>
      <c r="C123" s="18" t="n">
        <v>0</v>
      </c>
      <c r="D123" s="26" t="s">
        <v>527</v>
      </c>
      <c r="E123" s="26" t="str">
        <f aca="false">IF(AND(B123="On",D123&lt;"2024-01-01"),"Yes","No")</f>
        <v>No</v>
      </c>
    </row>
    <row r="124" customFormat="false" ht="15" hidden="false" customHeight="false" outlineLevel="0" collapsed="false">
      <c r="A124" s="13" t="s">
        <v>548</v>
      </c>
      <c r="B124" s="26" t="s">
        <v>386</v>
      </c>
      <c r="C124" s="18" t="n">
        <v>0</v>
      </c>
      <c r="D124" s="26" t="s">
        <v>527</v>
      </c>
      <c r="E124" s="26" t="str">
        <f aca="false">IF(AND(B124="On",D124&lt;"2024-01-01"),"Yes","No")</f>
        <v>No</v>
      </c>
    </row>
    <row r="125" customFormat="false" ht="15" hidden="false" customHeight="false" outlineLevel="0" collapsed="false">
      <c r="A125" s="13" t="s">
        <v>549</v>
      </c>
      <c r="B125" s="26" t="s">
        <v>386</v>
      </c>
      <c r="C125" s="18" t="n">
        <v>0</v>
      </c>
      <c r="D125" s="26" t="s">
        <v>527</v>
      </c>
      <c r="E125" s="26" t="str">
        <f aca="false">IF(AND(B125="On",D125&lt;"2024-01-01"),"Yes","No")</f>
        <v>No</v>
      </c>
    </row>
    <row r="126" customFormat="false" ht="15" hidden="false" customHeight="false" outlineLevel="0" collapsed="false">
      <c r="A126" s="13" t="s">
        <v>550</v>
      </c>
      <c r="B126" s="26" t="s">
        <v>386</v>
      </c>
      <c r="C126" s="18" t="n">
        <v>0</v>
      </c>
      <c r="D126" s="26" t="s">
        <v>527</v>
      </c>
      <c r="E126" s="26" t="str">
        <f aca="false">IF(AND(B126="On",D126&lt;"2024-01-01"),"Yes","No")</f>
        <v>No</v>
      </c>
    </row>
    <row r="127" customFormat="false" ht="15" hidden="false" customHeight="false" outlineLevel="0" collapsed="false">
      <c r="A127" s="13" t="s">
        <v>551</v>
      </c>
      <c r="B127" s="26" t="s">
        <v>386</v>
      </c>
      <c r="C127" s="18" t="n">
        <v>0</v>
      </c>
      <c r="D127" s="26" t="s">
        <v>527</v>
      </c>
      <c r="E127" s="26" t="str">
        <f aca="false">IF(AND(B127="On",D127&lt;"2024-01-01"),"Yes","No")</f>
        <v>No</v>
      </c>
    </row>
    <row r="128" customFormat="false" ht="15" hidden="false" customHeight="false" outlineLevel="0" collapsed="false">
      <c r="A128" s="13" t="s">
        <v>552</v>
      </c>
      <c r="B128" s="26" t="s">
        <v>386</v>
      </c>
      <c r="C128" s="18" t="n">
        <v>0</v>
      </c>
      <c r="D128" s="26" t="s">
        <v>527</v>
      </c>
      <c r="E128" s="26" t="str">
        <f aca="false">IF(AND(B128="On",D128&lt;"2024-01-01"),"Yes","No")</f>
        <v>No</v>
      </c>
    </row>
    <row r="129" customFormat="false" ht="15" hidden="false" customHeight="false" outlineLevel="0" collapsed="false">
      <c r="A129" s="13" t="s">
        <v>553</v>
      </c>
      <c r="B129" s="26" t="s">
        <v>386</v>
      </c>
      <c r="C129" s="18" t="n">
        <v>0</v>
      </c>
      <c r="D129" s="26" t="s">
        <v>527</v>
      </c>
      <c r="E129" s="26" t="str">
        <f aca="false">IF(AND(B129="On",D129&lt;"2024-01-01"),"Yes","No")</f>
        <v>No</v>
      </c>
    </row>
    <row r="130" customFormat="false" ht="15" hidden="false" customHeight="false" outlineLevel="0" collapsed="false">
      <c r="A130" s="13" t="s">
        <v>554</v>
      </c>
      <c r="B130" s="26" t="s">
        <v>386</v>
      </c>
      <c r="C130" s="18" t="n">
        <v>0</v>
      </c>
      <c r="D130" s="26" t="s">
        <v>527</v>
      </c>
      <c r="E130" s="26" t="str">
        <f aca="false">IF(AND(B130="On",D130&lt;"2024-01-01"),"Yes","No")</f>
        <v>No</v>
      </c>
    </row>
    <row r="131" customFormat="false" ht="15" hidden="false" customHeight="false" outlineLevel="0" collapsed="false">
      <c r="A131" s="13" t="s">
        <v>555</v>
      </c>
      <c r="B131" s="26" t="s">
        <v>386</v>
      </c>
      <c r="C131" s="18" t="n">
        <v>0</v>
      </c>
      <c r="D131" s="26" t="s">
        <v>527</v>
      </c>
      <c r="E131" s="26" t="str">
        <f aca="false">IF(AND(B131="On",D131&lt;"2024-01-01"),"Yes","No")</f>
        <v>No</v>
      </c>
    </row>
    <row r="132" customFormat="false" ht="15" hidden="false" customHeight="false" outlineLevel="0" collapsed="false">
      <c r="A132" s="13" t="s">
        <v>556</v>
      </c>
      <c r="B132" s="26" t="s">
        <v>386</v>
      </c>
      <c r="C132" s="18" t="n">
        <v>0</v>
      </c>
      <c r="D132" s="26" t="s">
        <v>527</v>
      </c>
      <c r="E132" s="26" t="str">
        <f aca="false">IF(AND(B132="On",D132&lt;"2024-01-01"),"Yes","No")</f>
        <v>No</v>
      </c>
    </row>
    <row r="133" customFormat="false" ht="15" hidden="false" customHeight="false" outlineLevel="0" collapsed="false">
      <c r="A133" s="13" t="s">
        <v>557</v>
      </c>
      <c r="B133" s="26" t="s">
        <v>386</v>
      </c>
      <c r="C133" s="18" t="n">
        <v>0</v>
      </c>
      <c r="D133" s="26" t="s">
        <v>527</v>
      </c>
      <c r="E133" s="26" t="str">
        <f aca="false">IF(AND(B133="On",D133&lt;"2024-01-01"),"Yes","No")</f>
        <v>No</v>
      </c>
    </row>
    <row r="134" customFormat="false" ht="15" hidden="false" customHeight="false" outlineLevel="0" collapsed="false">
      <c r="A134" s="13" t="s">
        <v>558</v>
      </c>
      <c r="B134" s="26" t="s">
        <v>386</v>
      </c>
      <c r="C134" s="18" t="n">
        <v>0</v>
      </c>
      <c r="D134" s="26" t="s">
        <v>527</v>
      </c>
      <c r="E134" s="26" t="str">
        <f aca="false">IF(AND(B134="On",D134&lt;"2024-01-01"),"Yes","No")</f>
        <v>No</v>
      </c>
    </row>
    <row r="135" customFormat="false" ht="15" hidden="false" customHeight="false" outlineLevel="0" collapsed="false">
      <c r="A135" s="13" t="s">
        <v>559</v>
      </c>
      <c r="B135" s="26" t="s">
        <v>386</v>
      </c>
      <c r="C135" s="18" t="n">
        <v>0</v>
      </c>
      <c r="D135" s="26" t="s">
        <v>527</v>
      </c>
      <c r="E135" s="26" t="str">
        <f aca="false">IF(AND(B135="On",D135&lt;"2024-01-01"),"Yes","No")</f>
        <v>No</v>
      </c>
    </row>
    <row r="136" customFormat="false" ht="15" hidden="false" customHeight="false" outlineLevel="0" collapsed="false">
      <c r="A136" s="13" t="s">
        <v>560</v>
      </c>
      <c r="B136" s="26" t="s">
        <v>386</v>
      </c>
      <c r="C136" s="18" t="n">
        <v>0</v>
      </c>
      <c r="D136" s="26" t="s">
        <v>527</v>
      </c>
      <c r="E136" s="26" t="str">
        <f aca="false">IF(AND(B136="On",D136&lt;"2024-01-01"),"Yes","No")</f>
        <v>No</v>
      </c>
    </row>
    <row r="137" customFormat="false" ht="15" hidden="false" customHeight="false" outlineLevel="0" collapsed="false">
      <c r="A137" s="13" t="s">
        <v>561</v>
      </c>
      <c r="B137" s="26" t="s">
        <v>386</v>
      </c>
      <c r="C137" s="18" t="n">
        <v>0</v>
      </c>
      <c r="D137" s="26" t="s">
        <v>527</v>
      </c>
      <c r="E137" s="26" t="str">
        <f aca="false">IF(AND(B137="On",D137&lt;"2024-01-01"),"Yes","No")</f>
        <v>No</v>
      </c>
    </row>
    <row r="138" customFormat="false" ht="15" hidden="false" customHeight="false" outlineLevel="0" collapsed="false">
      <c r="A138" s="13" t="s">
        <v>562</v>
      </c>
      <c r="B138" s="26" t="s">
        <v>386</v>
      </c>
      <c r="C138" s="18" t="n">
        <v>0</v>
      </c>
      <c r="D138" s="26" t="s">
        <v>527</v>
      </c>
      <c r="E138" s="26" t="str">
        <f aca="false">IF(AND(B138="On",D138&lt;"2024-01-01"),"Yes","No")</f>
        <v>No</v>
      </c>
    </row>
    <row r="139" customFormat="false" ht="15" hidden="false" customHeight="false" outlineLevel="0" collapsed="false">
      <c r="A139" s="13" t="s">
        <v>563</v>
      </c>
      <c r="B139" s="26" t="s">
        <v>386</v>
      </c>
      <c r="C139" s="18" t="n">
        <v>0</v>
      </c>
      <c r="D139" s="26" t="s">
        <v>527</v>
      </c>
      <c r="E139" s="26" t="str">
        <f aca="false">IF(AND(B139="On",D139&lt;"2024-01-01"),"Yes","No")</f>
        <v>No</v>
      </c>
    </row>
    <row r="140" customFormat="false" ht="15" hidden="false" customHeight="false" outlineLevel="0" collapsed="false">
      <c r="A140" s="13" t="s">
        <v>564</v>
      </c>
      <c r="B140" s="26" t="s">
        <v>386</v>
      </c>
      <c r="C140" s="18" t="n">
        <v>0</v>
      </c>
      <c r="D140" s="26" t="s">
        <v>527</v>
      </c>
      <c r="E140" s="26" t="str">
        <f aca="false">IF(AND(B140="On",D140&lt;"2024-01-01"),"Yes","No")</f>
        <v>No</v>
      </c>
    </row>
    <row r="141" customFormat="false" ht="15" hidden="false" customHeight="false" outlineLevel="0" collapsed="false">
      <c r="A141" s="13" t="s">
        <v>565</v>
      </c>
      <c r="B141" s="26" t="s">
        <v>386</v>
      </c>
      <c r="C141" s="18" t="n">
        <v>0</v>
      </c>
      <c r="D141" s="26" t="s">
        <v>527</v>
      </c>
      <c r="E141" s="26" t="str">
        <f aca="false">IF(AND(B141="On",D141&lt;"2024-01-01"),"Yes","No")</f>
        <v>No</v>
      </c>
    </row>
    <row r="142" customFormat="false" ht="15" hidden="false" customHeight="false" outlineLevel="0" collapsed="false">
      <c r="A142" s="13" t="s">
        <v>566</v>
      </c>
      <c r="B142" s="26" t="s">
        <v>386</v>
      </c>
      <c r="C142" s="18" t="n">
        <v>0</v>
      </c>
      <c r="D142" s="26" t="s">
        <v>527</v>
      </c>
      <c r="E142" s="26" t="str">
        <f aca="false">IF(AND(B142="On",D142&lt;"2024-01-01"),"Yes","No")</f>
        <v>No</v>
      </c>
    </row>
    <row r="143" customFormat="false" ht="15" hidden="false" customHeight="false" outlineLevel="0" collapsed="false">
      <c r="A143" s="13" t="s">
        <v>567</v>
      </c>
      <c r="B143" s="26" t="s">
        <v>386</v>
      </c>
      <c r="C143" s="18" t="n">
        <v>0</v>
      </c>
      <c r="D143" s="26" t="s">
        <v>527</v>
      </c>
      <c r="E143" s="26" t="str">
        <f aca="false">IF(AND(B143="On",D143&lt;"2024-01-01"),"Yes","No")</f>
        <v>No</v>
      </c>
    </row>
    <row r="144" customFormat="false" ht="15" hidden="false" customHeight="false" outlineLevel="0" collapsed="false">
      <c r="A144" s="13" t="s">
        <v>568</v>
      </c>
      <c r="B144" s="26" t="s">
        <v>386</v>
      </c>
      <c r="C144" s="18" t="n">
        <v>0</v>
      </c>
      <c r="D144" s="26" t="s">
        <v>527</v>
      </c>
      <c r="E144" s="26" t="str">
        <f aca="false">IF(AND(B144="On",D144&lt;"2024-01-01"),"Yes","No")</f>
        <v>No</v>
      </c>
    </row>
    <row r="145" customFormat="false" ht="15" hidden="false" customHeight="false" outlineLevel="0" collapsed="false">
      <c r="A145" s="13" t="s">
        <v>569</v>
      </c>
      <c r="B145" s="26" t="s">
        <v>386</v>
      </c>
      <c r="C145" s="18" t="n">
        <v>0</v>
      </c>
      <c r="D145" s="26" t="s">
        <v>527</v>
      </c>
      <c r="E145" s="26" t="str">
        <f aca="false">IF(AND(B145="On",D145&lt;"2024-01-01"),"Yes","No")</f>
        <v>No</v>
      </c>
    </row>
    <row r="146" customFormat="false" ht="15" hidden="false" customHeight="false" outlineLevel="0" collapsed="false">
      <c r="A146" s="13" t="s">
        <v>570</v>
      </c>
      <c r="B146" s="26" t="s">
        <v>386</v>
      </c>
      <c r="C146" s="18" t="n">
        <v>0</v>
      </c>
      <c r="D146" s="26" t="s">
        <v>527</v>
      </c>
      <c r="E146" s="26" t="str">
        <f aca="false">IF(AND(B146="On",D146&lt;"2024-01-01"),"Yes","No")</f>
        <v>No</v>
      </c>
    </row>
    <row r="147" customFormat="false" ht="15" hidden="false" customHeight="false" outlineLevel="0" collapsed="false">
      <c r="A147" s="13" t="s">
        <v>571</v>
      </c>
      <c r="B147" s="26" t="s">
        <v>386</v>
      </c>
      <c r="C147" s="18" t="n">
        <v>0</v>
      </c>
      <c r="D147" s="26" t="s">
        <v>527</v>
      </c>
      <c r="E147" s="26" t="str">
        <f aca="false">IF(AND(B147="On",D147&lt;"2024-01-01"),"Yes","No")</f>
        <v>No</v>
      </c>
    </row>
    <row r="148" customFormat="false" ht="15" hidden="false" customHeight="false" outlineLevel="0" collapsed="false">
      <c r="A148" s="13" t="s">
        <v>572</v>
      </c>
      <c r="B148" s="26" t="s">
        <v>386</v>
      </c>
      <c r="C148" s="18" t="n">
        <v>0</v>
      </c>
      <c r="D148" s="26" t="s">
        <v>527</v>
      </c>
      <c r="E148" s="26" t="str">
        <f aca="false">IF(AND(B148="On",D148&lt;"2024-01-01"),"Yes","No")</f>
        <v>No</v>
      </c>
    </row>
    <row r="149" customFormat="false" ht="15" hidden="false" customHeight="false" outlineLevel="0" collapsed="false">
      <c r="A149" s="13" t="s">
        <v>573</v>
      </c>
      <c r="B149" s="26" t="s">
        <v>386</v>
      </c>
      <c r="C149" s="18" t="n">
        <v>0</v>
      </c>
      <c r="D149" s="26" t="s">
        <v>527</v>
      </c>
      <c r="E149" s="26" t="str">
        <f aca="false">IF(AND(B149="On",D149&lt;"2024-01-01"),"Yes","No")</f>
        <v>No</v>
      </c>
    </row>
    <row r="150" customFormat="false" ht="15" hidden="false" customHeight="false" outlineLevel="0" collapsed="false">
      <c r="A150" s="13" t="s">
        <v>574</v>
      </c>
      <c r="B150" s="26" t="s">
        <v>386</v>
      </c>
      <c r="C150" s="18" t="n">
        <v>0</v>
      </c>
      <c r="D150" s="26" t="s">
        <v>527</v>
      </c>
      <c r="E150" s="26" t="str">
        <f aca="false">IF(AND(B150="On",D150&lt;"2024-01-01"),"Yes","No")</f>
        <v>No</v>
      </c>
    </row>
    <row r="151" customFormat="false" ht="15" hidden="false" customHeight="false" outlineLevel="0" collapsed="false">
      <c r="A151" s="13" t="s">
        <v>575</v>
      </c>
      <c r="B151" s="26" t="s">
        <v>386</v>
      </c>
      <c r="C151" s="18" t="n">
        <v>0</v>
      </c>
      <c r="D151" s="26" t="s">
        <v>527</v>
      </c>
      <c r="E151" s="26" t="str">
        <f aca="false">IF(AND(B151="On",D151&lt;"2024-01-01"),"Yes","No")</f>
        <v>No</v>
      </c>
    </row>
    <row r="152" customFormat="false" ht="15" hidden="false" customHeight="false" outlineLevel="0" collapsed="false">
      <c r="A152" s="13" t="s">
        <v>576</v>
      </c>
      <c r="B152" s="26" t="s">
        <v>386</v>
      </c>
      <c r="C152" s="18" t="n">
        <v>0</v>
      </c>
      <c r="D152" s="26" t="s">
        <v>527</v>
      </c>
      <c r="E152" s="26" t="str">
        <f aca="false">IF(AND(B152="On",D152&lt;"2024-01-01"),"Yes","No")</f>
        <v>No</v>
      </c>
    </row>
    <row r="153" customFormat="false" ht="15" hidden="false" customHeight="false" outlineLevel="0" collapsed="false">
      <c r="A153" s="13" t="s">
        <v>577</v>
      </c>
      <c r="B153" s="26" t="s">
        <v>386</v>
      </c>
      <c r="C153" s="18" t="n">
        <v>0</v>
      </c>
      <c r="D153" s="26" t="s">
        <v>527</v>
      </c>
      <c r="E153" s="26" t="str">
        <f aca="false">IF(AND(B153="On",D153&lt;"2024-01-01"),"Yes","No")</f>
        <v>No</v>
      </c>
    </row>
    <row r="154" customFormat="false" ht="15" hidden="false" customHeight="false" outlineLevel="0" collapsed="false">
      <c r="A154" s="13" t="s">
        <v>578</v>
      </c>
      <c r="B154" s="26" t="s">
        <v>386</v>
      </c>
      <c r="C154" s="18" t="n">
        <v>0</v>
      </c>
      <c r="D154" s="26" t="s">
        <v>527</v>
      </c>
      <c r="E154" s="26" t="str">
        <f aca="false">IF(AND(B154="On",D154&lt;"2024-01-01"),"Yes","No")</f>
        <v>No</v>
      </c>
    </row>
    <row r="155" customFormat="false" ht="15" hidden="false" customHeight="false" outlineLevel="0" collapsed="false">
      <c r="A155" s="13" t="s">
        <v>579</v>
      </c>
      <c r="B155" s="26" t="s">
        <v>386</v>
      </c>
      <c r="C155" s="18" t="n">
        <v>0</v>
      </c>
      <c r="D155" s="26" t="s">
        <v>527</v>
      </c>
      <c r="E155" s="26" t="str">
        <f aca="false">IF(AND(B155="On",D155&lt;"2024-01-01"),"Yes","No")</f>
        <v>No</v>
      </c>
    </row>
    <row r="156" customFormat="false" ht="15" hidden="false" customHeight="false" outlineLevel="0" collapsed="false">
      <c r="A156" s="13" t="s">
        <v>580</v>
      </c>
      <c r="B156" s="26" t="s">
        <v>386</v>
      </c>
      <c r="C156" s="18" t="n">
        <v>0</v>
      </c>
      <c r="D156" s="26" t="s">
        <v>527</v>
      </c>
      <c r="E156" s="26" t="str">
        <f aca="false">IF(AND(B156="On",D156&lt;"2024-01-01"),"Yes","No")</f>
        <v>No</v>
      </c>
    </row>
    <row r="157" customFormat="false" ht="15" hidden="false" customHeight="false" outlineLevel="0" collapsed="false">
      <c r="A157" s="13" t="s">
        <v>581</v>
      </c>
      <c r="B157" s="26" t="s">
        <v>386</v>
      </c>
      <c r="C157" s="18" t="n">
        <v>0</v>
      </c>
      <c r="D157" s="26" t="s">
        <v>527</v>
      </c>
      <c r="E157" s="26" t="str">
        <f aca="false">IF(AND(B157="On",D157&lt;"2024-01-01"),"Yes","No")</f>
        <v>No</v>
      </c>
    </row>
    <row r="158" customFormat="false" ht="15" hidden="false" customHeight="false" outlineLevel="0" collapsed="false">
      <c r="A158" s="13" t="s">
        <v>582</v>
      </c>
      <c r="B158" s="26" t="s">
        <v>386</v>
      </c>
      <c r="C158" s="18" t="n">
        <v>0</v>
      </c>
      <c r="D158" s="26" t="s">
        <v>527</v>
      </c>
      <c r="E158" s="26" t="str">
        <f aca="false">IF(AND(B158="On",D158&lt;"2024-01-01"),"Yes","No")</f>
        <v>No</v>
      </c>
    </row>
    <row r="159" customFormat="false" ht="15" hidden="false" customHeight="false" outlineLevel="0" collapsed="false">
      <c r="A159" s="13" t="s">
        <v>583</v>
      </c>
      <c r="B159" s="26" t="s">
        <v>386</v>
      </c>
      <c r="C159" s="18" t="n">
        <v>0</v>
      </c>
      <c r="D159" s="26" t="s">
        <v>527</v>
      </c>
      <c r="E159" s="26" t="str">
        <f aca="false">IF(AND(B159="On",D159&lt;"2024-01-01"),"Yes","No")</f>
        <v>No</v>
      </c>
    </row>
    <row r="160" customFormat="false" ht="15" hidden="false" customHeight="false" outlineLevel="0" collapsed="false">
      <c r="A160" s="13" t="s">
        <v>584</v>
      </c>
      <c r="B160" s="26" t="s">
        <v>386</v>
      </c>
      <c r="C160" s="18" t="n">
        <v>0</v>
      </c>
      <c r="D160" s="26" t="s">
        <v>527</v>
      </c>
      <c r="E160" s="26" t="str">
        <f aca="false">IF(AND(B160="On",D160&lt;"2024-01-01"),"Yes","No")</f>
        <v>No</v>
      </c>
    </row>
    <row r="161" customFormat="false" ht="15" hidden="false" customHeight="false" outlineLevel="0" collapsed="false">
      <c r="A161" s="13" t="s">
        <v>585</v>
      </c>
      <c r="B161" s="26" t="s">
        <v>386</v>
      </c>
      <c r="C161" s="18" t="n">
        <v>0</v>
      </c>
      <c r="D161" s="26" t="s">
        <v>527</v>
      </c>
      <c r="E161" s="26" t="str">
        <f aca="false">IF(AND(B161="On",D161&lt;"2024-01-01"),"Yes","No")</f>
        <v>No</v>
      </c>
    </row>
    <row r="162" customFormat="false" ht="15" hidden="false" customHeight="false" outlineLevel="0" collapsed="false">
      <c r="A162" s="13" t="s">
        <v>586</v>
      </c>
      <c r="B162" s="26" t="s">
        <v>386</v>
      </c>
      <c r="C162" s="18" t="n">
        <v>0</v>
      </c>
      <c r="D162" s="26" t="s">
        <v>527</v>
      </c>
      <c r="E162" s="26" t="str">
        <f aca="false">IF(AND(B162="On",D162&lt;"2024-01-01"),"Yes","No")</f>
        <v>No</v>
      </c>
    </row>
    <row r="163" customFormat="false" ht="15" hidden="false" customHeight="false" outlineLevel="0" collapsed="false">
      <c r="A163" s="13" t="s">
        <v>587</v>
      </c>
      <c r="B163" s="26" t="s">
        <v>386</v>
      </c>
      <c r="C163" s="18" t="n">
        <v>0</v>
      </c>
      <c r="D163" s="26" t="s">
        <v>527</v>
      </c>
      <c r="E163" s="26" t="str">
        <f aca="false">IF(AND(B163="On",D163&lt;"2024-01-01"),"Yes","No")</f>
        <v>No</v>
      </c>
    </row>
    <row r="164" customFormat="false" ht="15" hidden="false" customHeight="false" outlineLevel="0" collapsed="false">
      <c r="A164" s="13" t="s">
        <v>588</v>
      </c>
      <c r="B164" s="26" t="s">
        <v>386</v>
      </c>
      <c r="C164" s="18" t="n">
        <v>0</v>
      </c>
      <c r="D164" s="26" t="s">
        <v>527</v>
      </c>
      <c r="E164" s="26" t="str">
        <f aca="false">IF(AND(B164="On",D164&lt;"2024-01-01"),"Yes","No")</f>
        <v>No</v>
      </c>
    </row>
    <row r="165" customFormat="false" ht="15" hidden="false" customHeight="false" outlineLevel="0" collapsed="false">
      <c r="A165" s="13" t="s">
        <v>589</v>
      </c>
      <c r="B165" s="26" t="s">
        <v>386</v>
      </c>
      <c r="C165" s="18" t="n">
        <v>0</v>
      </c>
      <c r="D165" s="26" t="s">
        <v>527</v>
      </c>
      <c r="E165" s="26" t="str">
        <f aca="false">IF(AND(B165="On",D165&lt;"2024-01-01"),"Yes","No")</f>
        <v>No</v>
      </c>
    </row>
    <row r="166" customFormat="false" ht="15" hidden="false" customHeight="false" outlineLevel="0" collapsed="false">
      <c r="A166" s="13" t="s">
        <v>590</v>
      </c>
      <c r="B166" s="26" t="s">
        <v>386</v>
      </c>
      <c r="C166" s="18" t="n">
        <v>0</v>
      </c>
      <c r="D166" s="26" t="s">
        <v>527</v>
      </c>
      <c r="E166" s="26" t="str">
        <f aca="false">IF(AND(B166="On",D166&lt;"2024-01-01"),"Yes","No")</f>
        <v>No</v>
      </c>
    </row>
    <row r="167" customFormat="false" ht="15" hidden="false" customHeight="false" outlineLevel="0" collapsed="false">
      <c r="A167" s="13" t="s">
        <v>591</v>
      </c>
      <c r="B167" s="26" t="s">
        <v>386</v>
      </c>
      <c r="C167" s="18" t="n">
        <v>0</v>
      </c>
      <c r="D167" s="26" t="s">
        <v>527</v>
      </c>
      <c r="E167" s="26" t="str">
        <f aca="false">IF(AND(B167="On",D167&lt;"2024-01-01"),"Yes","No")</f>
        <v>No</v>
      </c>
    </row>
    <row r="168" customFormat="false" ht="15" hidden="false" customHeight="false" outlineLevel="0" collapsed="false">
      <c r="A168" s="13" t="s">
        <v>592</v>
      </c>
      <c r="B168" s="26" t="s">
        <v>386</v>
      </c>
      <c r="C168" s="18" t="n">
        <v>0</v>
      </c>
      <c r="D168" s="26" t="s">
        <v>527</v>
      </c>
      <c r="E168" s="26" t="str">
        <f aca="false">IF(AND(B168="On",D168&lt;"2024-01-01"),"Yes","No")</f>
        <v>No</v>
      </c>
    </row>
    <row r="169" customFormat="false" ht="15" hidden="false" customHeight="false" outlineLevel="0" collapsed="false">
      <c r="A169" s="13" t="s">
        <v>593</v>
      </c>
      <c r="B169" s="26" t="s">
        <v>386</v>
      </c>
      <c r="C169" s="18" t="n">
        <v>0</v>
      </c>
      <c r="D169" s="26" t="s">
        <v>527</v>
      </c>
      <c r="E169" s="26" t="str">
        <f aca="false">IF(AND(B169="On",D169&lt;"2024-01-01"),"Yes","No")</f>
        <v>No</v>
      </c>
    </row>
    <row r="170" customFormat="false" ht="15" hidden="false" customHeight="false" outlineLevel="0" collapsed="false">
      <c r="A170" s="13" t="s">
        <v>594</v>
      </c>
      <c r="B170" s="26" t="s">
        <v>386</v>
      </c>
      <c r="C170" s="18" t="n">
        <v>0</v>
      </c>
      <c r="D170" s="26" t="s">
        <v>527</v>
      </c>
      <c r="E170" s="26" t="str">
        <f aca="false">IF(AND(B170="On",D170&lt;"2024-01-01"),"Yes","No")</f>
        <v>No</v>
      </c>
    </row>
    <row r="171" customFormat="false" ht="15" hidden="false" customHeight="false" outlineLevel="0" collapsed="false">
      <c r="A171" s="13" t="s">
        <v>595</v>
      </c>
      <c r="B171" s="26" t="s">
        <v>386</v>
      </c>
      <c r="C171" s="18" t="n">
        <v>0</v>
      </c>
      <c r="D171" s="26" t="s">
        <v>527</v>
      </c>
      <c r="E171" s="26" t="str">
        <f aca="false">IF(AND(B171="On",D171&lt;"2024-01-01"),"Yes","No")</f>
        <v>No</v>
      </c>
    </row>
    <row r="172" customFormat="false" ht="15" hidden="false" customHeight="false" outlineLevel="0" collapsed="false">
      <c r="A172" s="13" t="s">
        <v>596</v>
      </c>
      <c r="B172" s="26" t="s">
        <v>386</v>
      </c>
      <c r="C172" s="18" t="n">
        <v>0</v>
      </c>
      <c r="D172" s="26" t="s">
        <v>527</v>
      </c>
      <c r="E172" s="26" t="str">
        <f aca="false">IF(AND(B172="On",D172&lt;"2024-01-01"),"Yes","No")</f>
        <v>No</v>
      </c>
    </row>
    <row r="173" customFormat="false" ht="15" hidden="false" customHeight="false" outlineLevel="0" collapsed="false">
      <c r="A173" s="13" t="s">
        <v>597</v>
      </c>
      <c r="B173" s="26" t="s">
        <v>386</v>
      </c>
      <c r="C173" s="18" t="n">
        <v>0</v>
      </c>
      <c r="D173" s="26" t="s">
        <v>527</v>
      </c>
      <c r="E173" s="26" t="str">
        <f aca="false">IF(AND(B173="On",D173&lt;"2024-01-01"),"Yes","No")</f>
        <v>No</v>
      </c>
    </row>
    <row r="174" customFormat="false" ht="15" hidden="false" customHeight="false" outlineLevel="0" collapsed="false">
      <c r="A174" s="13" t="s">
        <v>598</v>
      </c>
      <c r="B174" s="26" t="s">
        <v>386</v>
      </c>
      <c r="C174" s="18" t="n">
        <v>0</v>
      </c>
      <c r="D174" s="26" t="s">
        <v>527</v>
      </c>
      <c r="E174" s="26" t="str">
        <f aca="false">IF(AND(B174="On",D174&lt;"2024-01-01"),"Yes","No")</f>
        <v>No</v>
      </c>
    </row>
    <row r="175" customFormat="false" ht="15" hidden="false" customHeight="false" outlineLevel="0" collapsed="false">
      <c r="A175" s="13" t="s">
        <v>599</v>
      </c>
      <c r="B175" s="26" t="s">
        <v>386</v>
      </c>
      <c r="C175" s="18" t="n">
        <v>0</v>
      </c>
      <c r="D175" s="26" t="s">
        <v>527</v>
      </c>
      <c r="E175" s="26" t="str">
        <f aca="false">IF(AND(B175="On",D175&lt;"2024-01-01"),"Yes","No")</f>
        <v>No</v>
      </c>
    </row>
    <row r="176" customFormat="false" ht="15" hidden="false" customHeight="false" outlineLevel="0" collapsed="false">
      <c r="A176" s="13" t="s">
        <v>600</v>
      </c>
      <c r="B176" s="26" t="s">
        <v>386</v>
      </c>
      <c r="C176" s="18" t="n">
        <v>0</v>
      </c>
      <c r="D176" s="26" t="s">
        <v>527</v>
      </c>
      <c r="E176" s="26" t="str">
        <f aca="false">IF(AND(B176="On",D176&lt;"2024-01-01"),"Yes","No")</f>
        <v>No</v>
      </c>
    </row>
    <row r="177" customFormat="false" ht="15" hidden="false" customHeight="false" outlineLevel="0" collapsed="false">
      <c r="A177" s="13" t="s">
        <v>396</v>
      </c>
      <c r="B177" s="26" t="s">
        <v>386</v>
      </c>
      <c r="C177" s="18" t="n">
        <v>0</v>
      </c>
      <c r="D177" s="26" t="s">
        <v>601</v>
      </c>
      <c r="E177" s="26" t="str">
        <f aca="false">IF(AND(B177="On",D177&lt;"2024-01-01"),"Yes","No")</f>
        <v>No</v>
      </c>
    </row>
    <row r="178" customFormat="false" ht="15" hidden="false" customHeight="false" outlineLevel="0" collapsed="false">
      <c r="A178" s="13" t="s">
        <v>602</v>
      </c>
      <c r="B178" s="26" t="s">
        <v>386</v>
      </c>
      <c r="C178" s="18" t="n">
        <v>0</v>
      </c>
      <c r="D178" s="26" t="s">
        <v>603</v>
      </c>
      <c r="E178" s="26" t="str">
        <f aca="false">IF(AND(B178="On",D178&lt;"2024-01-01"),"Yes","No")</f>
        <v>No</v>
      </c>
    </row>
    <row r="179" customFormat="false" ht="15" hidden="false" customHeight="false" outlineLevel="0" collapsed="false">
      <c r="A179" s="13" t="s">
        <v>396</v>
      </c>
      <c r="B179" s="26" t="s">
        <v>386</v>
      </c>
      <c r="C179" s="18" t="n">
        <v>0</v>
      </c>
      <c r="D179" s="26" t="s">
        <v>604</v>
      </c>
      <c r="E179" s="26" t="str">
        <f aca="false">IF(AND(B179="On",D179&lt;"2024-01-01"),"Yes","No")</f>
        <v>No</v>
      </c>
    </row>
    <row r="180" customFormat="false" ht="15" hidden="false" customHeight="false" outlineLevel="0" collapsed="false">
      <c r="A180" s="13" t="s">
        <v>605</v>
      </c>
      <c r="B180" s="26" t="s">
        <v>386</v>
      </c>
      <c r="C180" s="18" t="n">
        <v>0</v>
      </c>
      <c r="D180" s="26" t="s">
        <v>604</v>
      </c>
      <c r="E180" s="26" t="str">
        <f aca="false">IF(AND(B180="On",D180&lt;"2024-01-01"),"Yes","No")</f>
        <v>No</v>
      </c>
    </row>
    <row r="181" customFormat="false" ht="15" hidden="false" customHeight="false" outlineLevel="0" collapsed="false">
      <c r="A181" s="13" t="s">
        <v>606</v>
      </c>
      <c r="B181" s="26" t="s">
        <v>386</v>
      </c>
      <c r="C181" s="18" t="n">
        <v>0</v>
      </c>
      <c r="D181" s="26" t="s">
        <v>604</v>
      </c>
      <c r="E181" s="26" t="str">
        <f aca="false">IF(AND(B181="On",D181&lt;"2024-01-01"),"Yes","No")</f>
        <v>No</v>
      </c>
    </row>
    <row r="182" customFormat="false" ht="15" hidden="false" customHeight="false" outlineLevel="0" collapsed="false">
      <c r="A182" s="13" t="s">
        <v>607</v>
      </c>
      <c r="B182" s="26" t="s">
        <v>386</v>
      </c>
      <c r="C182" s="18" t="n">
        <v>0</v>
      </c>
      <c r="D182" s="26" t="s">
        <v>604</v>
      </c>
      <c r="E182" s="26" t="str">
        <f aca="false">IF(AND(B182="On",D182&lt;"2024-01-01"),"Yes","No")</f>
        <v>No</v>
      </c>
    </row>
    <row r="183" customFormat="false" ht="15" hidden="false" customHeight="false" outlineLevel="0" collapsed="false">
      <c r="A183" s="13" t="s">
        <v>608</v>
      </c>
      <c r="B183" s="26" t="s">
        <v>386</v>
      </c>
      <c r="C183" s="18" t="n">
        <v>0</v>
      </c>
      <c r="D183" s="26" t="s">
        <v>609</v>
      </c>
      <c r="E183" s="26" t="str">
        <f aca="false">IF(AND(B183="On",D183&lt;"2024-01-01"),"Yes","No")</f>
        <v>No</v>
      </c>
    </row>
    <row r="184" customFormat="false" ht="15" hidden="false" customHeight="false" outlineLevel="0" collapsed="false">
      <c r="A184" s="13" t="s">
        <v>396</v>
      </c>
      <c r="B184" s="26" t="s">
        <v>386</v>
      </c>
      <c r="C184" s="18" t="n">
        <v>0</v>
      </c>
      <c r="D184" s="26" t="s">
        <v>610</v>
      </c>
      <c r="E184" s="26" t="str">
        <f aca="false">IF(AND(B184="On",D184&lt;"2024-01-01"),"Yes","No")</f>
        <v>No</v>
      </c>
    </row>
    <row r="185" customFormat="false" ht="15" hidden="false" customHeight="false" outlineLevel="0" collapsed="false">
      <c r="A185" s="13" t="s">
        <v>396</v>
      </c>
      <c r="B185" s="26" t="s">
        <v>386</v>
      </c>
      <c r="C185" s="18" t="n">
        <v>0</v>
      </c>
      <c r="D185" s="26" t="s">
        <v>611</v>
      </c>
      <c r="E185" s="26" t="str">
        <f aca="false">IF(AND(B185="On",D185&lt;"2024-01-01"),"Yes","No")</f>
        <v>No</v>
      </c>
    </row>
    <row r="186" customFormat="false" ht="15" hidden="false" customHeight="false" outlineLevel="0" collapsed="false">
      <c r="A186" s="13" t="s">
        <v>612</v>
      </c>
      <c r="B186" s="26" t="s">
        <v>386</v>
      </c>
      <c r="C186" s="18" t="n">
        <v>0</v>
      </c>
      <c r="D186" s="26" t="s">
        <v>613</v>
      </c>
      <c r="E186" s="26" t="str">
        <f aca="false">IF(AND(B186="On",D186&lt;"2024-01-01"),"Yes","No")</f>
        <v>No</v>
      </c>
    </row>
    <row r="187" customFormat="false" ht="15" hidden="false" customHeight="false" outlineLevel="0" collapsed="false">
      <c r="A187" s="13" t="s">
        <v>396</v>
      </c>
      <c r="B187" s="26" t="s">
        <v>386</v>
      </c>
      <c r="C187" s="18" t="n">
        <v>0</v>
      </c>
      <c r="D187" s="26" t="s">
        <v>614</v>
      </c>
      <c r="E187" s="26" t="str">
        <f aca="false">IF(AND(B187="On",D187&lt;"2024-01-01"),"Yes","No")</f>
        <v>No</v>
      </c>
    </row>
    <row r="188" customFormat="false" ht="15" hidden="false" customHeight="false" outlineLevel="0" collapsed="false">
      <c r="A188" s="13" t="s">
        <v>615</v>
      </c>
      <c r="B188" s="26" t="s">
        <v>386</v>
      </c>
      <c r="C188" s="18" t="n">
        <v>0</v>
      </c>
      <c r="D188" s="26" t="s">
        <v>616</v>
      </c>
      <c r="E188" s="26" t="str">
        <f aca="false">IF(AND(B188="On",D188&lt;"2024-01-01"),"Yes","No")</f>
        <v>No</v>
      </c>
    </row>
    <row r="189" customFormat="false" ht="15" hidden="false" customHeight="false" outlineLevel="0" collapsed="false">
      <c r="A189" s="13" t="s">
        <v>617</v>
      </c>
      <c r="B189" s="26" t="s">
        <v>386</v>
      </c>
      <c r="C189" s="18" t="n">
        <v>0</v>
      </c>
      <c r="D189" s="26" t="s">
        <v>616</v>
      </c>
      <c r="E189" s="26" t="str">
        <f aca="false">IF(AND(B189="On",D189&lt;"2024-01-01"),"Yes","No")</f>
        <v>No</v>
      </c>
    </row>
    <row r="190" customFormat="false" ht="15" hidden="false" customHeight="false" outlineLevel="0" collapsed="false">
      <c r="A190" s="13" t="s">
        <v>618</v>
      </c>
      <c r="B190" s="26" t="s">
        <v>386</v>
      </c>
      <c r="C190" s="18" t="n">
        <v>0</v>
      </c>
      <c r="D190" s="26" t="s">
        <v>616</v>
      </c>
      <c r="E190" s="26" t="str">
        <f aca="false">IF(AND(B190="On",D190&lt;"2024-01-01"),"Yes","No")</f>
        <v>No</v>
      </c>
    </row>
    <row r="191" customFormat="false" ht="15" hidden="false" customHeight="false" outlineLevel="0" collapsed="false">
      <c r="A191" s="13" t="s">
        <v>619</v>
      </c>
      <c r="B191" s="26" t="s">
        <v>386</v>
      </c>
      <c r="C191" s="18" t="n">
        <v>0</v>
      </c>
      <c r="D191" s="26" t="s">
        <v>620</v>
      </c>
      <c r="E191" s="26" t="str">
        <f aca="false">IF(AND(B191="On",D191&lt;"2024-01-01"),"Yes","No")</f>
        <v>Yes</v>
      </c>
    </row>
    <row r="192" customFormat="false" ht="15" hidden="false" customHeight="false" outlineLevel="0" collapsed="false">
      <c r="A192" s="13" t="s">
        <v>621</v>
      </c>
      <c r="B192" s="26" t="s">
        <v>386</v>
      </c>
      <c r="C192" s="18" t="n">
        <v>0</v>
      </c>
      <c r="D192" s="26" t="s">
        <v>622</v>
      </c>
      <c r="E192" s="26" t="str">
        <f aca="false">IF(AND(B192="On",D192&lt;"2024-01-01"),"Yes","No")</f>
        <v>Yes</v>
      </c>
    </row>
    <row r="193" customFormat="false" ht="15" hidden="false" customHeight="false" outlineLevel="0" collapsed="false">
      <c r="A193" s="13" t="s">
        <v>623</v>
      </c>
      <c r="B193" s="26" t="s">
        <v>386</v>
      </c>
      <c r="C193" s="18" t="n">
        <v>0</v>
      </c>
      <c r="D193" s="26" t="s">
        <v>624</v>
      </c>
      <c r="E193" s="26" t="str">
        <f aca="false">IF(AND(B193="On",D193&lt;"2024-01-01"),"Yes","No")</f>
        <v>Yes</v>
      </c>
    </row>
    <row r="194" customFormat="false" ht="15" hidden="false" customHeight="false" outlineLevel="0" collapsed="false">
      <c r="A194" s="13" t="s">
        <v>625</v>
      </c>
      <c r="B194" s="26" t="s">
        <v>386</v>
      </c>
      <c r="C194" s="18" t="n">
        <v>0</v>
      </c>
      <c r="D194" s="26" t="s">
        <v>624</v>
      </c>
      <c r="E194" s="26" t="str">
        <f aca="false">IF(AND(B194="On",D194&lt;"2024-01-01"),"Yes","No")</f>
        <v>Yes</v>
      </c>
    </row>
    <row r="195" customFormat="false" ht="15" hidden="false" customHeight="false" outlineLevel="0" collapsed="false">
      <c r="A195" s="13" t="s">
        <v>626</v>
      </c>
      <c r="B195" s="26" t="s">
        <v>386</v>
      </c>
      <c r="C195" s="18" t="n">
        <v>0</v>
      </c>
      <c r="D195" s="26" t="s">
        <v>624</v>
      </c>
      <c r="E195" s="26" t="str">
        <f aca="false">IF(AND(B195="On",D195&lt;"2024-01-01"),"Yes","No")</f>
        <v>Yes</v>
      </c>
    </row>
    <row r="196" customFormat="false" ht="15" hidden="false" customHeight="false" outlineLevel="0" collapsed="false">
      <c r="A196" s="13" t="s">
        <v>627</v>
      </c>
      <c r="B196" s="26" t="s">
        <v>386</v>
      </c>
      <c r="C196" s="18" t="n">
        <v>0</v>
      </c>
      <c r="D196" s="26" t="s">
        <v>624</v>
      </c>
      <c r="E196" s="26" t="str">
        <f aca="false">IF(AND(B196="On",D196&lt;"2024-01-01"),"Yes","No")</f>
        <v>Yes</v>
      </c>
    </row>
    <row r="197" customFormat="false" ht="15" hidden="false" customHeight="false" outlineLevel="0" collapsed="false">
      <c r="A197" s="13" t="s">
        <v>628</v>
      </c>
      <c r="B197" s="26" t="s">
        <v>386</v>
      </c>
      <c r="C197" s="18" t="n">
        <v>0</v>
      </c>
      <c r="D197" s="26" t="s">
        <v>624</v>
      </c>
      <c r="E197" s="26" t="str">
        <f aca="false">IF(AND(B197="On",D197&lt;"2024-01-01"),"Yes","No")</f>
        <v>Yes</v>
      </c>
    </row>
    <row r="198" customFormat="false" ht="15" hidden="false" customHeight="false" outlineLevel="0" collapsed="false">
      <c r="A198" s="13" t="s">
        <v>629</v>
      </c>
      <c r="B198" s="26" t="s">
        <v>386</v>
      </c>
      <c r="C198" s="18" t="n">
        <v>0</v>
      </c>
      <c r="D198" s="26" t="s">
        <v>624</v>
      </c>
      <c r="E198" s="26" t="str">
        <f aca="false">IF(AND(B198="On",D198&lt;"2024-01-01"),"Yes","No")</f>
        <v>Yes</v>
      </c>
    </row>
    <row r="199" customFormat="false" ht="15" hidden="false" customHeight="false" outlineLevel="0" collapsed="false">
      <c r="A199" s="13" t="s">
        <v>630</v>
      </c>
      <c r="B199" s="26" t="s">
        <v>386</v>
      </c>
      <c r="C199" s="18" t="n">
        <v>0</v>
      </c>
      <c r="D199" s="26" t="s">
        <v>624</v>
      </c>
      <c r="E199" s="26" t="str">
        <f aca="false">IF(AND(B199="On",D199&lt;"2024-01-01"),"Yes","No")</f>
        <v>Yes</v>
      </c>
    </row>
    <row r="200" customFormat="false" ht="15" hidden="false" customHeight="false" outlineLevel="0" collapsed="false">
      <c r="A200" s="13" t="s">
        <v>631</v>
      </c>
      <c r="B200" s="26" t="s">
        <v>386</v>
      </c>
      <c r="C200" s="18" t="n">
        <v>0</v>
      </c>
      <c r="D200" s="26" t="s">
        <v>632</v>
      </c>
      <c r="E200" s="26" t="str">
        <f aca="false">IF(AND(B200="On",D200&lt;"2024-01-01"),"Yes","No")</f>
        <v>Yes</v>
      </c>
    </row>
    <row r="201" customFormat="false" ht="15" hidden="false" customHeight="false" outlineLevel="0" collapsed="false">
      <c r="A201" s="13" t="s">
        <v>633</v>
      </c>
      <c r="B201" s="26" t="s">
        <v>386</v>
      </c>
      <c r="C201" s="18" t="n">
        <v>0</v>
      </c>
      <c r="D201" s="26" t="s">
        <v>634</v>
      </c>
      <c r="E201" s="26" t="str">
        <f aca="false">IF(AND(B201="On",D201&lt;"2024-01-01"),"Yes","No")</f>
        <v>Yes</v>
      </c>
    </row>
    <row r="202" customFormat="false" ht="15" hidden="false" customHeight="false" outlineLevel="0" collapsed="false">
      <c r="A202" s="13" t="s">
        <v>635</v>
      </c>
      <c r="B202" s="26" t="s">
        <v>386</v>
      </c>
      <c r="C202" s="18" t="n">
        <v>0</v>
      </c>
      <c r="D202" s="26" t="s">
        <v>636</v>
      </c>
      <c r="E202" s="26" t="str">
        <f aca="false">IF(AND(B202="On",D202&lt;"2024-01-01"),"Yes","No")</f>
        <v>Yes</v>
      </c>
    </row>
    <row r="203" customFormat="false" ht="15" hidden="false" customHeight="false" outlineLevel="0" collapsed="false">
      <c r="A203" s="13" t="s">
        <v>637</v>
      </c>
      <c r="B203" s="26" t="s">
        <v>386</v>
      </c>
      <c r="C203" s="18" t="n">
        <v>0</v>
      </c>
      <c r="D203" s="26" t="s">
        <v>638</v>
      </c>
      <c r="E203" s="26" t="str">
        <f aca="false">IF(AND(B203="On",D203&lt;"2024-01-01"),"Yes","No")</f>
        <v>Yes</v>
      </c>
    </row>
    <row r="204" customFormat="false" ht="15" hidden="false" customHeight="false" outlineLevel="0" collapsed="false">
      <c r="A204" s="13" t="s">
        <v>639</v>
      </c>
      <c r="B204" s="26" t="s">
        <v>386</v>
      </c>
      <c r="C204" s="18" t="n">
        <v>0</v>
      </c>
      <c r="D204" s="26" t="s">
        <v>638</v>
      </c>
      <c r="E204" s="26" t="str">
        <f aca="false">IF(AND(B204="On",D204&lt;"2024-01-01"),"Yes","No")</f>
        <v>Yes</v>
      </c>
    </row>
    <row r="205" customFormat="false" ht="15" hidden="false" customHeight="false" outlineLevel="0" collapsed="false">
      <c r="A205" s="13" t="s">
        <v>640</v>
      </c>
      <c r="B205" s="26" t="s">
        <v>386</v>
      </c>
      <c r="C205" s="18" t="n">
        <v>0</v>
      </c>
      <c r="D205" s="26" t="s">
        <v>638</v>
      </c>
      <c r="E205" s="26" t="str">
        <f aca="false">IF(AND(B205="On",D205&lt;"2024-01-01"),"Yes","No")</f>
        <v>Yes</v>
      </c>
    </row>
    <row r="206" customFormat="false" ht="15" hidden="false" customHeight="false" outlineLevel="0" collapsed="false">
      <c r="A206" s="13" t="s">
        <v>641</v>
      </c>
      <c r="B206" s="26" t="s">
        <v>386</v>
      </c>
      <c r="C206" s="18" t="n">
        <v>0</v>
      </c>
      <c r="D206" s="26" t="s">
        <v>638</v>
      </c>
      <c r="E206" s="26" t="str">
        <f aca="false">IF(AND(B206="On",D206&lt;"2024-01-01"),"Yes","No")</f>
        <v>Yes</v>
      </c>
    </row>
    <row r="207" customFormat="false" ht="15" hidden="false" customHeight="false" outlineLevel="0" collapsed="false">
      <c r="A207" s="13" t="s">
        <v>642</v>
      </c>
      <c r="B207" s="26" t="s">
        <v>386</v>
      </c>
      <c r="C207" s="18" t="n">
        <v>0</v>
      </c>
      <c r="D207" s="26" t="s">
        <v>638</v>
      </c>
      <c r="E207" s="26" t="str">
        <f aca="false">IF(AND(B207="On",D207&lt;"2024-01-01"),"Yes","No")</f>
        <v>Yes</v>
      </c>
    </row>
    <row r="208" customFormat="false" ht="15" hidden="false" customHeight="false" outlineLevel="0" collapsed="false">
      <c r="A208" s="13" t="s">
        <v>643</v>
      </c>
      <c r="B208" s="26" t="s">
        <v>386</v>
      </c>
      <c r="C208" s="18" t="n">
        <v>0</v>
      </c>
      <c r="D208" s="26" t="s">
        <v>638</v>
      </c>
      <c r="E208" s="26" t="str">
        <f aca="false">IF(AND(B208="On",D208&lt;"2024-01-01"),"Yes","No")</f>
        <v>Yes</v>
      </c>
    </row>
    <row r="209" customFormat="false" ht="15" hidden="false" customHeight="false" outlineLevel="0" collapsed="false">
      <c r="A209" s="13" t="s">
        <v>644</v>
      </c>
      <c r="B209" s="26" t="s">
        <v>386</v>
      </c>
      <c r="C209" s="18" t="n">
        <v>0</v>
      </c>
      <c r="D209" s="26" t="s">
        <v>638</v>
      </c>
      <c r="E209" s="26" t="str">
        <f aca="false">IF(AND(B209="On",D209&lt;"2024-01-01"),"Yes","No")</f>
        <v>Yes</v>
      </c>
    </row>
    <row r="210" customFormat="false" ht="15" hidden="false" customHeight="false" outlineLevel="0" collapsed="false">
      <c r="A210" s="13" t="s">
        <v>645</v>
      </c>
      <c r="B210" s="26" t="s">
        <v>386</v>
      </c>
      <c r="C210" s="18" t="n">
        <v>0</v>
      </c>
      <c r="D210" s="26" t="s">
        <v>638</v>
      </c>
      <c r="E210" s="26" t="str">
        <f aca="false">IF(AND(B210="On",D210&lt;"2024-01-01"),"Yes","No")</f>
        <v>Yes</v>
      </c>
    </row>
    <row r="211" customFormat="false" ht="15" hidden="false" customHeight="false" outlineLevel="0" collapsed="false">
      <c r="A211" s="13" t="s">
        <v>396</v>
      </c>
      <c r="B211" s="26" t="s">
        <v>386</v>
      </c>
      <c r="C211" s="18" t="n">
        <v>0</v>
      </c>
      <c r="D211" s="26" t="s">
        <v>646</v>
      </c>
      <c r="E211" s="26" t="str">
        <f aca="false">IF(AND(B211="On",D211&lt;"2024-01-01"),"Yes","No")</f>
        <v>Yes</v>
      </c>
    </row>
    <row r="212" customFormat="false" ht="15" hidden="false" customHeight="false" outlineLevel="0" collapsed="false">
      <c r="A212" s="13" t="s">
        <v>647</v>
      </c>
      <c r="B212" s="26" t="s">
        <v>386</v>
      </c>
      <c r="C212" s="18" t="n">
        <v>0</v>
      </c>
      <c r="D212" s="26" t="s">
        <v>648</v>
      </c>
      <c r="E212" s="26" t="str">
        <f aca="false">IF(AND(B212="On",D212&lt;"2024-01-01"),"Yes","No")</f>
        <v>Yes</v>
      </c>
    </row>
    <row r="213" customFormat="false" ht="15" hidden="false" customHeight="false" outlineLevel="0" collapsed="false">
      <c r="A213" s="13" t="s">
        <v>649</v>
      </c>
      <c r="B213" s="26" t="s">
        <v>386</v>
      </c>
      <c r="C213" s="18" t="n">
        <v>0</v>
      </c>
      <c r="D213" s="26" t="s">
        <v>648</v>
      </c>
      <c r="E213" s="26" t="str">
        <f aca="false">IF(AND(B213="On",D213&lt;"2024-01-01"),"Yes","No")</f>
        <v>Yes</v>
      </c>
    </row>
    <row r="214" customFormat="false" ht="15" hidden="false" customHeight="false" outlineLevel="0" collapsed="false">
      <c r="A214" s="13" t="s">
        <v>650</v>
      </c>
      <c r="B214" s="26" t="s">
        <v>386</v>
      </c>
      <c r="C214" s="18" t="n">
        <v>0</v>
      </c>
      <c r="D214" s="26" t="s">
        <v>648</v>
      </c>
      <c r="E214" s="26" t="str">
        <f aca="false">IF(AND(B214="On",D214&lt;"2024-01-01"),"Yes","No")</f>
        <v>Yes</v>
      </c>
    </row>
    <row r="215" customFormat="false" ht="15" hidden="false" customHeight="false" outlineLevel="0" collapsed="false">
      <c r="A215" s="13" t="s">
        <v>651</v>
      </c>
      <c r="B215" s="26" t="s">
        <v>386</v>
      </c>
      <c r="C215" s="18" t="n">
        <v>0</v>
      </c>
      <c r="D215" s="26" t="s">
        <v>648</v>
      </c>
      <c r="E215" s="26" t="str">
        <f aca="false">IF(AND(B215="On",D215&lt;"2024-01-01"),"Yes","No")</f>
        <v>Yes</v>
      </c>
    </row>
    <row r="216" customFormat="false" ht="15" hidden="false" customHeight="false" outlineLevel="0" collapsed="false">
      <c r="A216" s="13" t="s">
        <v>652</v>
      </c>
      <c r="B216" s="26" t="s">
        <v>386</v>
      </c>
      <c r="C216" s="18" t="n">
        <v>0</v>
      </c>
      <c r="D216" s="26" t="s">
        <v>648</v>
      </c>
      <c r="E216" s="26" t="str">
        <f aca="false">IF(AND(B216="On",D216&lt;"2024-01-01"),"Yes","No")</f>
        <v>Yes</v>
      </c>
    </row>
    <row r="217" customFormat="false" ht="15" hidden="false" customHeight="false" outlineLevel="0" collapsed="false">
      <c r="A217" s="13" t="s">
        <v>653</v>
      </c>
      <c r="B217" s="26" t="s">
        <v>386</v>
      </c>
      <c r="C217" s="18" t="n">
        <v>0</v>
      </c>
      <c r="D217" s="26" t="s">
        <v>648</v>
      </c>
      <c r="E217" s="26" t="str">
        <f aca="false">IF(AND(B217="On",D217&lt;"2024-01-01"),"Yes","No")</f>
        <v>Yes</v>
      </c>
    </row>
    <row r="218" customFormat="false" ht="15" hidden="false" customHeight="false" outlineLevel="0" collapsed="false">
      <c r="A218" s="13" t="s">
        <v>654</v>
      </c>
      <c r="B218" s="26" t="s">
        <v>386</v>
      </c>
      <c r="C218" s="18" t="n">
        <v>0</v>
      </c>
      <c r="D218" s="26" t="s">
        <v>648</v>
      </c>
      <c r="E218" s="26" t="str">
        <f aca="false">IF(AND(B218="On",D218&lt;"2024-01-01"),"Yes","No")</f>
        <v>Yes</v>
      </c>
    </row>
    <row r="219" customFormat="false" ht="15" hidden="false" customHeight="false" outlineLevel="0" collapsed="false">
      <c r="A219" s="13" t="s">
        <v>655</v>
      </c>
      <c r="B219" s="26" t="s">
        <v>386</v>
      </c>
      <c r="C219" s="18" t="n">
        <v>0</v>
      </c>
      <c r="D219" s="26" t="s">
        <v>648</v>
      </c>
      <c r="E219" s="26" t="str">
        <f aca="false">IF(AND(B219="On",D219&lt;"2024-01-01"),"Yes","No")</f>
        <v>Yes</v>
      </c>
    </row>
    <row r="220" customFormat="false" ht="15" hidden="false" customHeight="false" outlineLevel="0" collapsed="false">
      <c r="A220" s="13" t="s">
        <v>656</v>
      </c>
      <c r="B220" s="26" t="s">
        <v>386</v>
      </c>
      <c r="C220" s="18" t="n">
        <v>0</v>
      </c>
      <c r="D220" s="26" t="s">
        <v>648</v>
      </c>
      <c r="E220" s="26" t="str">
        <f aca="false">IF(AND(B220="On",D220&lt;"2024-01-01"),"Yes","No")</f>
        <v>Yes</v>
      </c>
    </row>
    <row r="221" customFormat="false" ht="15" hidden="false" customHeight="false" outlineLevel="0" collapsed="false">
      <c r="A221" s="13" t="s">
        <v>657</v>
      </c>
      <c r="B221" s="26" t="s">
        <v>386</v>
      </c>
      <c r="C221" s="18" t="n">
        <v>0</v>
      </c>
      <c r="D221" s="26" t="s">
        <v>648</v>
      </c>
      <c r="E221" s="26" t="str">
        <f aca="false">IF(AND(B221="On",D221&lt;"2024-01-01"),"Yes","No")</f>
        <v>Yes</v>
      </c>
    </row>
    <row r="222" customFormat="false" ht="15" hidden="false" customHeight="false" outlineLevel="0" collapsed="false">
      <c r="A222" s="13" t="s">
        <v>658</v>
      </c>
      <c r="B222" s="26" t="s">
        <v>386</v>
      </c>
      <c r="C222" s="18" t="n">
        <v>0</v>
      </c>
      <c r="D222" s="26" t="s">
        <v>648</v>
      </c>
      <c r="E222" s="26" t="str">
        <f aca="false">IF(AND(B222="On",D222&lt;"2024-01-01"),"Yes","No")</f>
        <v>Yes</v>
      </c>
    </row>
    <row r="223" customFormat="false" ht="15" hidden="false" customHeight="false" outlineLevel="0" collapsed="false">
      <c r="A223" s="13" t="s">
        <v>659</v>
      </c>
      <c r="B223" s="26" t="s">
        <v>386</v>
      </c>
      <c r="C223" s="18" t="n">
        <v>0</v>
      </c>
      <c r="D223" s="26" t="s">
        <v>648</v>
      </c>
      <c r="E223" s="26" t="str">
        <f aca="false">IF(AND(B223="On",D223&lt;"2024-01-01"),"Yes","No")</f>
        <v>Yes</v>
      </c>
    </row>
    <row r="224" customFormat="false" ht="15" hidden="false" customHeight="false" outlineLevel="0" collapsed="false">
      <c r="A224" s="13" t="s">
        <v>660</v>
      </c>
      <c r="B224" s="26" t="s">
        <v>386</v>
      </c>
      <c r="C224" s="18" t="n">
        <v>0</v>
      </c>
      <c r="D224" s="26" t="s">
        <v>648</v>
      </c>
      <c r="E224" s="26" t="str">
        <f aca="false">IF(AND(B224="On",D224&lt;"2024-01-01"),"Yes","No")</f>
        <v>Yes</v>
      </c>
    </row>
    <row r="225" customFormat="false" ht="15" hidden="false" customHeight="false" outlineLevel="0" collapsed="false">
      <c r="A225" s="13" t="s">
        <v>661</v>
      </c>
      <c r="B225" s="26" t="s">
        <v>386</v>
      </c>
      <c r="C225" s="18" t="n">
        <v>0</v>
      </c>
      <c r="D225" s="26" t="s">
        <v>648</v>
      </c>
      <c r="E225" s="26" t="str">
        <f aca="false">IF(AND(B225="On",D225&lt;"2024-01-01"),"Yes","No")</f>
        <v>Yes</v>
      </c>
    </row>
    <row r="226" customFormat="false" ht="15" hidden="false" customHeight="false" outlineLevel="0" collapsed="false">
      <c r="A226" s="13" t="s">
        <v>662</v>
      </c>
      <c r="B226" s="26" t="s">
        <v>386</v>
      </c>
      <c r="C226" s="18" t="n">
        <v>0</v>
      </c>
      <c r="D226" s="26" t="s">
        <v>648</v>
      </c>
      <c r="E226" s="26" t="str">
        <f aca="false">IF(AND(B226="On",D226&lt;"2024-01-01"),"Yes","No")</f>
        <v>Yes</v>
      </c>
    </row>
    <row r="227" customFormat="false" ht="15" hidden="false" customHeight="false" outlineLevel="0" collapsed="false">
      <c r="A227" s="13" t="s">
        <v>663</v>
      </c>
      <c r="B227" s="26" t="s">
        <v>386</v>
      </c>
      <c r="C227" s="18" t="n">
        <v>0</v>
      </c>
      <c r="D227" s="26" t="s">
        <v>664</v>
      </c>
      <c r="E227" s="26" t="str">
        <f aca="false">IF(AND(B227="On",D227&lt;"2024-01-01"),"Yes","No")</f>
        <v>Yes</v>
      </c>
    </row>
    <row r="228" customFormat="false" ht="15" hidden="false" customHeight="false" outlineLevel="0" collapsed="false">
      <c r="A228" s="13" t="s">
        <v>396</v>
      </c>
      <c r="B228" s="26" t="s">
        <v>386</v>
      </c>
      <c r="C228" s="18" t="n">
        <v>0</v>
      </c>
      <c r="D228" s="26" t="s">
        <v>664</v>
      </c>
      <c r="E228" s="26" t="str">
        <f aca="false">IF(AND(B228="On",D228&lt;"2024-01-01"),"Yes","No")</f>
        <v>Yes</v>
      </c>
    </row>
    <row r="229" customFormat="false" ht="15" hidden="false" customHeight="false" outlineLevel="0" collapsed="false">
      <c r="A229" s="13" t="s">
        <v>665</v>
      </c>
      <c r="B229" s="26" t="s">
        <v>386</v>
      </c>
      <c r="C229" s="18" t="n">
        <v>0</v>
      </c>
      <c r="D229" s="26" t="s">
        <v>664</v>
      </c>
      <c r="E229" s="26" t="str">
        <f aca="false">IF(AND(B229="On",D229&lt;"2024-01-01"),"Yes","No")</f>
        <v>Yes</v>
      </c>
    </row>
    <row r="230" customFormat="false" ht="15" hidden="false" customHeight="false" outlineLevel="0" collapsed="false">
      <c r="A230" s="13" t="s">
        <v>396</v>
      </c>
      <c r="B230" s="26" t="s">
        <v>386</v>
      </c>
      <c r="C230" s="18" t="n">
        <v>0</v>
      </c>
      <c r="D230" s="26" t="s">
        <v>664</v>
      </c>
      <c r="E230" s="26" t="str">
        <f aca="false">IF(AND(B230="On",D230&lt;"2024-01-01"),"Yes","No")</f>
        <v>Yes</v>
      </c>
    </row>
    <row r="231" customFormat="false" ht="15" hidden="false" customHeight="false" outlineLevel="0" collapsed="false">
      <c r="A231" s="13" t="s">
        <v>666</v>
      </c>
      <c r="B231" s="26" t="s">
        <v>386</v>
      </c>
      <c r="C231" s="18" t="n">
        <v>0</v>
      </c>
      <c r="D231" s="26" t="s">
        <v>667</v>
      </c>
      <c r="E231" s="26" t="str">
        <f aca="false">IF(AND(B231="On",D231&lt;"2024-01-01"),"Yes","No")</f>
        <v>Yes</v>
      </c>
    </row>
    <row r="232" customFormat="false" ht="15" hidden="false" customHeight="false" outlineLevel="0" collapsed="false">
      <c r="A232" s="13" t="s">
        <v>668</v>
      </c>
      <c r="B232" s="26" t="s">
        <v>386</v>
      </c>
      <c r="C232" s="18" t="n">
        <v>0</v>
      </c>
      <c r="D232" s="26" t="s">
        <v>669</v>
      </c>
      <c r="E232" s="26" t="str">
        <f aca="false">IF(AND(B232="On",D232&lt;"2024-01-01"),"Yes","No")</f>
        <v>Yes</v>
      </c>
    </row>
    <row r="233" customFormat="false" ht="15" hidden="false" customHeight="false" outlineLevel="0" collapsed="false">
      <c r="A233" s="13" t="s">
        <v>670</v>
      </c>
      <c r="B233" s="26" t="s">
        <v>386</v>
      </c>
      <c r="C233" s="18" t="n">
        <v>0</v>
      </c>
      <c r="D233" s="26" t="s">
        <v>671</v>
      </c>
      <c r="E233" s="26" t="str">
        <f aca="false">IF(AND(B233="On",D233&lt;"2024-01-01"),"Yes","No")</f>
        <v>Yes</v>
      </c>
    </row>
    <row r="234" customFormat="false" ht="15" hidden="false" customHeight="false" outlineLevel="0" collapsed="false">
      <c r="A234" s="13" t="s">
        <v>672</v>
      </c>
      <c r="B234" s="26" t="s">
        <v>386</v>
      </c>
      <c r="C234" s="18" t="n">
        <v>0</v>
      </c>
      <c r="D234" s="26" t="s">
        <v>673</v>
      </c>
      <c r="E234" s="26" t="str">
        <f aca="false">IF(AND(B234="On",D234&lt;"2024-01-01"),"Yes","No")</f>
        <v>Yes</v>
      </c>
    </row>
    <row r="235" customFormat="false" ht="15" hidden="false" customHeight="false" outlineLevel="0" collapsed="false">
      <c r="A235" s="13" t="s">
        <v>674</v>
      </c>
      <c r="B235" s="26" t="s">
        <v>386</v>
      </c>
      <c r="C235" s="18" t="n">
        <v>0</v>
      </c>
      <c r="D235" s="26" t="s">
        <v>675</v>
      </c>
      <c r="E235" s="26" t="str">
        <f aca="false">IF(AND(B235="On",D235&lt;"2024-01-01"),"Yes","No")</f>
        <v>Yes</v>
      </c>
    </row>
    <row r="236" customFormat="false" ht="15" hidden="false" customHeight="false" outlineLevel="0" collapsed="false">
      <c r="A236" s="13" t="s">
        <v>676</v>
      </c>
      <c r="B236" s="26" t="s">
        <v>386</v>
      </c>
      <c r="C236" s="18" t="n">
        <v>0</v>
      </c>
      <c r="D236" s="26" t="s">
        <v>677</v>
      </c>
      <c r="E236" s="26" t="str">
        <f aca="false">IF(AND(B236="On",D236&lt;"2024-01-01"),"Yes","No")</f>
        <v>Yes</v>
      </c>
    </row>
    <row r="237" customFormat="false" ht="15" hidden="false" customHeight="false" outlineLevel="0" collapsed="false">
      <c r="A237" s="13" t="s">
        <v>678</v>
      </c>
      <c r="B237" s="26" t="s">
        <v>386</v>
      </c>
      <c r="C237" s="18" t="n">
        <v>0</v>
      </c>
      <c r="D237" s="26" t="s">
        <v>677</v>
      </c>
      <c r="E237" s="26" t="str">
        <f aca="false">IF(AND(B237="On",D237&lt;"2024-01-01"),"Yes","No")</f>
        <v>Yes</v>
      </c>
    </row>
    <row r="238" customFormat="false" ht="15" hidden="false" customHeight="false" outlineLevel="0" collapsed="false">
      <c r="A238" s="13" t="s">
        <v>679</v>
      </c>
      <c r="B238" s="26" t="s">
        <v>386</v>
      </c>
      <c r="C238" s="18" t="n">
        <v>0</v>
      </c>
      <c r="D238" s="26" t="s">
        <v>677</v>
      </c>
      <c r="E238" s="26" t="str">
        <f aca="false">IF(AND(B238="On",D238&lt;"2024-01-01"),"Yes","No")</f>
        <v>Yes</v>
      </c>
    </row>
    <row r="239" customFormat="false" ht="15" hidden="false" customHeight="false" outlineLevel="0" collapsed="false">
      <c r="A239" s="13" t="s">
        <v>680</v>
      </c>
      <c r="B239" s="26" t="s">
        <v>386</v>
      </c>
      <c r="C239" s="18" t="n">
        <v>0</v>
      </c>
      <c r="D239" s="26" t="s">
        <v>677</v>
      </c>
      <c r="E239" s="26" t="str">
        <f aca="false">IF(AND(B239="On",D239&lt;"2024-01-01"),"Yes","No")</f>
        <v>Yes</v>
      </c>
    </row>
    <row r="240" customFormat="false" ht="15" hidden="false" customHeight="false" outlineLevel="0" collapsed="false">
      <c r="A240" s="13" t="s">
        <v>681</v>
      </c>
      <c r="B240" s="26" t="s">
        <v>386</v>
      </c>
      <c r="C240" s="18" t="n">
        <v>0</v>
      </c>
      <c r="D240" s="26" t="s">
        <v>677</v>
      </c>
      <c r="E240" s="26" t="str">
        <f aca="false">IF(AND(B240="On",D240&lt;"2024-01-01"),"Yes","No")</f>
        <v>Yes</v>
      </c>
    </row>
    <row r="241" customFormat="false" ht="15" hidden="false" customHeight="false" outlineLevel="0" collapsed="false">
      <c r="A241" s="13" t="s">
        <v>682</v>
      </c>
      <c r="B241" s="26" t="s">
        <v>386</v>
      </c>
      <c r="C241" s="18" t="n">
        <v>0</v>
      </c>
      <c r="D241" s="26" t="s">
        <v>677</v>
      </c>
      <c r="E241" s="26" t="str">
        <f aca="false">IF(AND(B241="On",D241&lt;"2024-01-01"),"Yes","No")</f>
        <v>Yes</v>
      </c>
    </row>
    <row r="242" customFormat="false" ht="15" hidden="false" customHeight="false" outlineLevel="0" collapsed="false">
      <c r="A242" s="13" t="s">
        <v>683</v>
      </c>
      <c r="B242" s="26" t="s">
        <v>386</v>
      </c>
      <c r="C242" s="18" t="n">
        <v>0</v>
      </c>
      <c r="D242" s="26" t="s">
        <v>677</v>
      </c>
      <c r="E242" s="26" t="str">
        <f aca="false">IF(AND(B242="On",D242&lt;"2024-01-01"),"Yes","No")</f>
        <v>Yes</v>
      </c>
    </row>
    <row r="243" customFormat="false" ht="15" hidden="false" customHeight="false" outlineLevel="0" collapsed="false">
      <c r="A243" s="13" t="s">
        <v>684</v>
      </c>
      <c r="B243" s="26" t="s">
        <v>386</v>
      </c>
      <c r="C243" s="18" t="n">
        <v>0</v>
      </c>
      <c r="D243" s="26" t="s">
        <v>677</v>
      </c>
      <c r="E243" s="26" t="str">
        <f aca="false">IF(AND(B243="On",D243&lt;"2024-01-01"),"Yes","No")</f>
        <v>Yes</v>
      </c>
    </row>
    <row r="244" customFormat="false" ht="15" hidden="false" customHeight="false" outlineLevel="0" collapsed="false">
      <c r="A244" s="13" t="s">
        <v>685</v>
      </c>
      <c r="B244" s="26" t="s">
        <v>386</v>
      </c>
      <c r="C244" s="18" t="n">
        <v>0</v>
      </c>
      <c r="D244" s="26" t="s">
        <v>677</v>
      </c>
      <c r="E244" s="26" t="str">
        <f aca="false">IF(AND(B244="On",D244&lt;"2024-01-01"),"Yes","No")</f>
        <v>Yes</v>
      </c>
    </row>
    <row r="245" customFormat="false" ht="15" hidden="false" customHeight="false" outlineLevel="0" collapsed="false">
      <c r="A245" s="13" t="s">
        <v>686</v>
      </c>
      <c r="B245" s="26" t="s">
        <v>386</v>
      </c>
      <c r="C245" s="18" t="n">
        <v>0</v>
      </c>
      <c r="D245" s="26" t="s">
        <v>677</v>
      </c>
      <c r="E245" s="26" t="str">
        <f aca="false">IF(AND(B245="On",D245&lt;"2024-01-01"),"Yes","No")</f>
        <v>Yes</v>
      </c>
    </row>
    <row r="246" customFormat="false" ht="15" hidden="false" customHeight="false" outlineLevel="0" collapsed="false">
      <c r="A246" s="13" t="s">
        <v>687</v>
      </c>
      <c r="B246" s="26" t="s">
        <v>386</v>
      </c>
      <c r="C246" s="18" t="n">
        <v>0</v>
      </c>
      <c r="D246" s="26" t="s">
        <v>677</v>
      </c>
      <c r="E246" s="26" t="str">
        <f aca="false">IF(AND(B246="On",D246&lt;"2024-01-01"),"Yes","No")</f>
        <v>Yes</v>
      </c>
    </row>
    <row r="247" customFormat="false" ht="15" hidden="false" customHeight="false" outlineLevel="0" collapsed="false">
      <c r="A247" s="13" t="s">
        <v>688</v>
      </c>
      <c r="B247" s="26" t="s">
        <v>386</v>
      </c>
      <c r="C247" s="18" t="n">
        <v>0</v>
      </c>
      <c r="D247" s="26" t="s">
        <v>677</v>
      </c>
      <c r="E247" s="26" t="str">
        <f aca="false">IF(AND(B247="On",D247&lt;"2024-01-01"),"Yes","No")</f>
        <v>Yes</v>
      </c>
    </row>
    <row r="248" customFormat="false" ht="15" hidden="false" customHeight="false" outlineLevel="0" collapsed="false">
      <c r="A248" s="13" t="s">
        <v>689</v>
      </c>
      <c r="B248" s="26" t="s">
        <v>386</v>
      </c>
      <c r="C248" s="18" t="n">
        <v>0</v>
      </c>
      <c r="D248" s="26" t="s">
        <v>690</v>
      </c>
      <c r="E248" s="26" t="str">
        <f aca="false">IF(AND(B248="On",D248&lt;"2024-01-01"),"Yes","No")</f>
        <v>Yes</v>
      </c>
    </row>
    <row r="249" customFormat="false" ht="15" hidden="false" customHeight="false" outlineLevel="0" collapsed="false">
      <c r="A249" s="13" t="s">
        <v>691</v>
      </c>
      <c r="B249" s="26" t="s">
        <v>386</v>
      </c>
      <c r="C249" s="18" t="n">
        <v>0</v>
      </c>
      <c r="D249" s="26" t="s">
        <v>690</v>
      </c>
      <c r="E249" s="26" t="str">
        <f aca="false">IF(AND(B249="On",D249&lt;"2024-01-01"),"Yes","No")</f>
        <v>Yes</v>
      </c>
    </row>
    <row r="250" customFormat="false" ht="15" hidden="false" customHeight="false" outlineLevel="0" collapsed="false">
      <c r="A250" s="13" t="s">
        <v>692</v>
      </c>
      <c r="B250" s="26" t="s">
        <v>386</v>
      </c>
      <c r="C250" s="18" t="n">
        <v>0</v>
      </c>
      <c r="D250" s="26" t="s">
        <v>690</v>
      </c>
      <c r="E250" s="26" t="str">
        <f aca="false">IF(AND(B250="On",D250&lt;"2024-01-01"),"Yes","No")</f>
        <v>Yes</v>
      </c>
    </row>
    <row r="251" customFormat="false" ht="15" hidden="false" customHeight="false" outlineLevel="0" collapsed="false">
      <c r="A251" s="13" t="s">
        <v>693</v>
      </c>
      <c r="B251" s="26" t="s">
        <v>386</v>
      </c>
      <c r="C251" s="18" t="n">
        <v>0</v>
      </c>
      <c r="D251" s="26" t="s">
        <v>690</v>
      </c>
      <c r="E251" s="26" t="str">
        <f aca="false">IF(AND(B251="On",D251&lt;"2024-01-01"),"Yes","No")</f>
        <v>Yes</v>
      </c>
    </row>
    <row r="252" customFormat="false" ht="15" hidden="false" customHeight="false" outlineLevel="0" collapsed="false">
      <c r="A252" s="13" t="s">
        <v>694</v>
      </c>
      <c r="B252" s="26" t="s">
        <v>386</v>
      </c>
      <c r="C252" s="18" t="n">
        <v>0</v>
      </c>
      <c r="D252" s="26" t="s">
        <v>690</v>
      </c>
      <c r="E252" s="26" t="str">
        <f aca="false">IF(AND(B252="On",D252&lt;"2024-01-01"),"Yes","No")</f>
        <v>Yes</v>
      </c>
    </row>
    <row r="253" customFormat="false" ht="15" hidden="false" customHeight="false" outlineLevel="0" collapsed="false">
      <c r="A253" s="13" t="s">
        <v>695</v>
      </c>
      <c r="B253" s="26" t="s">
        <v>386</v>
      </c>
      <c r="C253" s="18" t="n">
        <v>0</v>
      </c>
      <c r="D253" s="26" t="s">
        <v>690</v>
      </c>
      <c r="E253" s="26" t="str">
        <f aca="false">IF(AND(B253="On",D253&lt;"2024-01-01"),"Yes","No")</f>
        <v>Yes</v>
      </c>
    </row>
    <row r="254" customFormat="false" ht="15" hidden="false" customHeight="false" outlineLevel="0" collapsed="false">
      <c r="A254" s="13" t="s">
        <v>696</v>
      </c>
      <c r="B254" s="26" t="s">
        <v>386</v>
      </c>
      <c r="C254" s="18" t="n">
        <v>0</v>
      </c>
      <c r="D254" s="26" t="s">
        <v>690</v>
      </c>
      <c r="E254" s="26" t="str">
        <f aca="false">IF(AND(B254="On",D254&lt;"2024-01-01"),"Yes","No")</f>
        <v>Yes</v>
      </c>
    </row>
    <row r="255" customFormat="false" ht="15" hidden="false" customHeight="false" outlineLevel="0" collapsed="false">
      <c r="A255" s="13" t="s">
        <v>697</v>
      </c>
      <c r="B255" s="26" t="s">
        <v>386</v>
      </c>
      <c r="C255" s="18" t="n">
        <v>0</v>
      </c>
      <c r="D255" s="26" t="s">
        <v>698</v>
      </c>
      <c r="E255" s="26" t="str">
        <f aca="false">IF(AND(B255="On",D255&lt;"2024-01-01"),"Yes","No")</f>
        <v>Yes</v>
      </c>
    </row>
    <row r="256" customFormat="false" ht="15" hidden="false" customHeight="false" outlineLevel="0" collapsed="false">
      <c r="A256" s="13" t="s">
        <v>396</v>
      </c>
      <c r="B256" s="26" t="s">
        <v>699</v>
      </c>
      <c r="C256" s="18" t="n">
        <v>0</v>
      </c>
      <c r="D256" s="26" t="s">
        <v>700</v>
      </c>
      <c r="E256" s="26" t="str">
        <f aca="false">IF(AND(B256="On",D256&lt;"2024-01-01"),"Yes","No")</f>
        <v>No</v>
      </c>
    </row>
    <row r="257" customFormat="false" ht="15" hidden="false" customHeight="false" outlineLevel="0" collapsed="false">
      <c r="A257" s="13" t="s">
        <v>701</v>
      </c>
      <c r="B257" s="26" t="s">
        <v>699</v>
      </c>
      <c r="C257" s="18" t="n">
        <v>0</v>
      </c>
      <c r="D257" s="26" t="s">
        <v>702</v>
      </c>
      <c r="E257" s="26" t="str">
        <f aca="false">IF(AND(B257="On",D257&lt;"2024-01-01"),"Yes","No")</f>
        <v>No</v>
      </c>
    </row>
    <row r="258" customFormat="false" ht="15" hidden="false" customHeight="false" outlineLevel="0" collapsed="false">
      <c r="A258" s="13" t="s">
        <v>703</v>
      </c>
      <c r="B258" s="26" t="s">
        <v>699</v>
      </c>
      <c r="C258" s="18" t="n">
        <v>0</v>
      </c>
      <c r="D258" s="26" t="s">
        <v>702</v>
      </c>
      <c r="E258" s="26" t="str">
        <f aca="false">IF(AND(B258="On",D258&lt;"2024-01-01"),"Yes","No")</f>
        <v>No</v>
      </c>
    </row>
    <row r="259" customFormat="false" ht="15" hidden="false" customHeight="false" outlineLevel="0" collapsed="false">
      <c r="A259" s="13" t="s">
        <v>704</v>
      </c>
      <c r="B259" s="26" t="s">
        <v>699</v>
      </c>
      <c r="C259" s="18" t="n">
        <v>0</v>
      </c>
      <c r="D259" s="26" t="s">
        <v>702</v>
      </c>
      <c r="E259" s="26" t="str">
        <f aca="false">IF(AND(B259="On",D259&lt;"2024-01-01"),"Yes","No")</f>
        <v>No</v>
      </c>
    </row>
    <row r="260" customFormat="false" ht="15" hidden="false" customHeight="false" outlineLevel="0" collapsed="false">
      <c r="A260" s="13" t="s">
        <v>396</v>
      </c>
      <c r="B260" s="26" t="s">
        <v>699</v>
      </c>
      <c r="C260" s="18" t="n">
        <v>0</v>
      </c>
      <c r="D260" s="26" t="s">
        <v>702</v>
      </c>
      <c r="E260" s="26" t="str">
        <f aca="false">IF(AND(B260="On",D260&lt;"2024-01-01"),"Yes","No")</f>
        <v>No</v>
      </c>
    </row>
    <row r="261" customFormat="false" ht="15" hidden="false" customHeight="false" outlineLevel="0" collapsed="false">
      <c r="A261" s="13" t="s">
        <v>705</v>
      </c>
      <c r="B261" s="26" t="s">
        <v>699</v>
      </c>
      <c r="C261" s="18" t="n">
        <v>0</v>
      </c>
      <c r="D261" s="26" t="s">
        <v>706</v>
      </c>
      <c r="E261" s="26" t="str">
        <f aca="false">IF(AND(B261="On",D261&lt;"2024-01-01"),"Yes","No")</f>
        <v>No</v>
      </c>
    </row>
    <row r="262" customFormat="false" ht="15" hidden="false" customHeight="false" outlineLevel="0" collapsed="false">
      <c r="A262" s="31" t="s">
        <v>707</v>
      </c>
      <c r="B262" s="26" t="s">
        <v>699</v>
      </c>
      <c r="C262" s="18" t="n">
        <v>0</v>
      </c>
      <c r="D262" s="26" t="s">
        <v>708</v>
      </c>
      <c r="E262" s="26" t="str">
        <f aca="false">IF(AND(B262="On",D262&lt;"2024-01-01"),"Yes","No")</f>
        <v>No</v>
      </c>
    </row>
    <row r="263" customFormat="false" ht="15" hidden="false" customHeight="false" outlineLevel="0" collapsed="false">
      <c r="A263" s="13" t="s">
        <v>709</v>
      </c>
      <c r="B263" s="26" t="s">
        <v>699</v>
      </c>
      <c r="C263" s="18" t="n">
        <v>0</v>
      </c>
      <c r="D263" s="26" t="s">
        <v>710</v>
      </c>
      <c r="E263" s="26" t="str">
        <f aca="false">IF(AND(B263="On",D263&lt;"2024-01-01"),"Yes","No")</f>
        <v>No</v>
      </c>
    </row>
    <row r="264" customFormat="false" ht="15" hidden="false" customHeight="false" outlineLevel="0" collapsed="false">
      <c r="A264" s="13" t="s">
        <v>396</v>
      </c>
      <c r="B264" s="26" t="s">
        <v>699</v>
      </c>
      <c r="C264" s="18" t="n">
        <v>0</v>
      </c>
      <c r="D264" s="26" t="s">
        <v>711</v>
      </c>
      <c r="E264" s="26" t="str">
        <f aca="false">IF(AND(B264="On",D264&lt;"2024-01-01"),"Yes","No")</f>
        <v>No</v>
      </c>
    </row>
    <row r="265" customFormat="false" ht="15" hidden="false" customHeight="false" outlineLevel="0" collapsed="false">
      <c r="A265" s="13" t="s">
        <v>712</v>
      </c>
      <c r="B265" s="26" t="s">
        <v>699</v>
      </c>
      <c r="C265" s="18" t="n">
        <v>0</v>
      </c>
      <c r="D265" s="26" t="s">
        <v>421</v>
      </c>
      <c r="E265" s="26" t="str">
        <f aca="false">IF(AND(B265="On",D265&lt;"2024-01-01"),"Yes","No")</f>
        <v>No</v>
      </c>
    </row>
    <row r="266" customFormat="false" ht="15" hidden="false" customHeight="false" outlineLevel="0" collapsed="false">
      <c r="A266" s="13" t="s">
        <v>713</v>
      </c>
      <c r="B266" s="26" t="s">
        <v>699</v>
      </c>
      <c r="C266" s="18" t="n">
        <v>0</v>
      </c>
      <c r="D266" s="26" t="s">
        <v>714</v>
      </c>
      <c r="E266" s="26" t="str">
        <f aca="false">IF(AND(B266="On",D266&lt;"2024-01-01"),"Yes","No")</f>
        <v>No</v>
      </c>
    </row>
    <row r="267" customFormat="false" ht="15" hidden="false" customHeight="false" outlineLevel="0" collapsed="false">
      <c r="A267" s="13" t="s">
        <v>715</v>
      </c>
      <c r="B267" s="26" t="s">
        <v>699</v>
      </c>
      <c r="C267" s="18" t="n">
        <v>0</v>
      </c>
      <c r="D267" s="26" t="s">
        <v>716</v>
      </c>
      <c r="E267" s="26" t="str">
        <f aca="false">IF(AND(B267="On",D267&lt;"2024-01-01"),"Yes","No")</f>
        <v>No</v>
      </c>
    </row>
    <row r="268" customFormat="false" ht="15" hidden="false" customHeight="false" outlineLevel="0" collapsed="false">
      <c r="A268" s="13" t="s">
        <v>717</v>
      </c>
      <c r="B268" s="26" t="s">
        <v>699</v>
      </c>
      <c r="C268" s="18" t="n">
        <v>0</v>
      </c>
      <c r="D268" s="26" t="s">
        <v>718</v>
      </c>
      <c r="E268" s="26" t="str">
        <f aca="false">IF(AND(B268="On",D268&lt;"2024-01-01"),"Yes","No")</f>
        <v>No</v>
      </c>
    </row>
    <row r="269" customFormat="false" ht="15" hidden="false" customHeight="false" outlineLevel="0" collapsed="false">
      <c r="A269" s="13" t="s">
        <v>396</v>
      </c>
      <c r="B269" s="26" t="s">
        <v>699</v>
      </c>
      <c r="C269" s="18" t="n">
        <v>0</v>
      </c>
      <c r="D269" s="26" t="s">
        <v>719</v>
      </c>
      <c r="E269" s="26" t="str">
        <f aca="false">IF(AND(B269="On",D269&lt;"2024-01-01"),"Yes","No")</f>
        <v>No</v>
      </c>
    </row>
    <row r="270" customFormat="false" ht="15" hidden="false" customHeight="false" outlineLevel="0" collapsed="false">
      <c r="A270" s="13" t="s">
        <v>720</v>
      </c>
      <c r="B270" s="26" t="s">
        <v>699</v>
      </c>
      <c r="C270" s="18" t="n">
        <v>0</v>
      </c>
      <c r="D270" s="26" t="s">
        <v>721</v>
      </c>
      <c r="E270" s="26" t="str">
        <f aca="false">IF(AND(B270="On",D270&lt;"2024-01-01"),"Yes","No")</f>
        <v>No</v>
      </c>
    </row>
    <row r="271" customFormat="false" ht="15" hidden="false" customHeight="false" outlineLevel="0" collapsed="false">
      <c r="A271" s="13" t="s">
        <v>722</v>
      </c>
      <c r="B271" s="26" t="s">
        <v>699</v>
      </c>
      <c r="C271" s="18" t="n">
        <v>0</v>
      </c>
      <c r="D271" s="26" t="s">
        <v>723</v>
      </c>
      <c r="E271" s="26" t="str">
        <f aca="false">IF(AND(B271="On",D271&lt;"2024-01-01"),"Yes","No")</f>
        <v>No</v>
      </c>
    </row>
    <row r="272" customFormat="false" ht="15" hidden="false" customHeight="false" outlineLevel="0" collapsed="false">
      <c r="A272" s="13" t="s">
        <v>724</v>
      </c>
      <c r="B272" s="26" t="s">
        <v>699</v>
      </c>
      <c r="C272" s="18" t="n">
        <v>0</v>
      </c>
      <c r="D272" s="26" t="s">
        <v>725</v>
      </c>
      <c r="E272" s="26" t="str">
        <f aca="false">IF(AND(B272="On",D272&lt;"2024-01-01"),"Yes","No")</f>
        <v>No</v>
      </c>
    </row>
    <row r="273" customFormat="false" ht="15" hidden="false" customHeight="false" outlineLevel="0" collapsed="false">
      <c r="A273" s="13" t="s">
        <v>726</v>
      </c>
      <c r="B273" s="26" t="s">
        <v>699</v>
      </c>
      <c r="C273" s="18" t="n">
        <v>0</v>
      </c>
      <c r="D273" s="26" t="s">
        <v>527</v>
      </c>
      <c r="E273" s="26" t="str">
        <f aca="false">IF(AND(B273="On",D273&lt;"2024-01-01"),"Yes","No")</f>
        <v>No</v>
      </c>
    </row>
    <row r="274" customFormat="false" ht="15" hidden="false" customHeight="false" outlineLevel="0" collapsed="false">
      <c r="A274" s="13" t="s">
        <v>727</v>
      </c>
      <c r="B274" s="26" t="s">
        <v>699</v>
      </c>
      <c r="C274" s="18" t="n">
        <v>0</v>
      </c>
      <c r="D274" s="26" t="s">
        <v>616</v>
      </c>
      <c r="E274" s="26" t="str">
        <f aca="false">IF(AND(B274="On",D274&lt;"2024-01-01"),"Yes","No")</f>
        <v>No</v>
      </c>
    </row>
    <row r="275" customFormat="false" ht="15" hidden="false" customHeight="false" outlineLevel="0" collapsed="false">
      <c r="A275" s="13" t="s">
        <v>728</v>
      </c>
      <c r="B275" s="26" t="s">
        <v>699</v>
      </c>
      <c r="C275" s="18" t="n">
        <v>0</v>
      </c>
      <c r="D275" s="26" t="s">
        <v>616</v>
      </c>
      <c r="E275" s="26" t="str">
        <f aca="false">IF(AND(B275="On",D275&lt;"2024-01-01"),"Yes","No")</f>
        <v>No</v>
      </c>
    </row>
    <row r="276" customFormat="false" ht="15" hidden="false" customHeight="false" outlineLevel="0" collapsed="false">
      <c r="A276" s="13" t="s">
        <v>729</v>
      </c>
      <c r="B276" s="26" t="s">
        <v>699</v>
      </c>
      <c r="C276" s="18" t="n">
        <v>0</v>
      </c>
      <c r="D276" s="26" t="s">
        <v>730</v>
      </c>
      <c r="E276" s="26" t="str">
        <f aca="false">IF(AND(B276="On",D276&lt;"2024-01-01"),"Yes","No")</f>
        <v>No</v>
      </c>
    </row>
    <row r="277" customFormat="false" ht="15" hidden="false" customHeight="false" outlineLevel="0" collapsed="false">
      <c r="A277" s="13" t="s">
        <v>731</v>
      </c>
      <c r="B277" s="26" t="s">
        <v>699</v>
      </c>
      <c r="C277" s="18" t="n">
        <v>0</v>
      </c>
      <c r="D277" s="26" t="s">
        <v>730</v>
      </c>
      <c r="E277" s="26" t="str">
        <f aca="false">IF(AND(B277="On",D277&lt;"2024-01-01"),"Yes","No")</f>
        <v>No</v>
      </c>
    </row>
    <row r="278" customFormat="false" ht="15" hidden="false" customHeight="false" outlineLevel="0" collapsed="false">
      <c r="A278" s="13" t="s">
        <v>732</v>
      </c>
      <c r="B278" s="26" t="s">
        <v>699</v>
      </c>
      <c r="C278" s="18" t="n">
        <v>0</v>
      </c>
      <c r="D278" s="26" t="s">
        <v>730</v>
      </c>
      <c r="E278" s="26" t="str">
        <f aca="false">IF(AND(B278="On",D278&lt;"2024-01-01"),"Yes","No")</f>
        <v>No</v>
      </c>
    </row>
    <row r="279" customFormat="false" ht="15" hidden="false" customHeight="false" outlineLevel="0" collapsed="false">
      <c r="A279" s="13" t="s">
        <v>733</v>
      </c>
      <c r="B279" s="26" t="s">
        <v>699</v>
      </c>
      <c r="C279" s="18" t="n">
        <v>0</v>
      </c>
      <c r="D279" s="26" t="s">
        <v>730</v>
      </c>
      <c r="E279" s="26" t="str">
        <f aca="false">IF(AND(B279="On",D279&lt;"2024-01-01"),"Yes","No")</f>
        <v>No</v>
      </c>
    </row>
    <row r="280" customFormat="false" ht="15" hidden="false" customHeight="false" outlineLevel="0" collapsed="false">
      <c r="A280" s="13" t="s">
        <v>734</v>
      </c>
      <c r="B280" s="26" t="s">
        <v>699</v>
      </c>
      <c r="C280" s="18" t="n">
        <v>0</v>
      </c>
      <c r="D280" s="26" t="s">
        <v>730</v>
      </c>
      <c r="E280" s="26" t="str">
        <f aca="false">IF(AND(B280="On",D280&lt;"2024-01-01"),"Yes","No")</f>
        <v>No</v>
      </c>
    </row>
    <row r="281" customFormat="false" ht="15" hidden="false" customHeight="false" outlineLevel="0" collapsed="false">
      <c r="A281" s="13" t="s">
        <v>735</v>
      </c>
      <c r="B281" s="26" t="s">
        <v>699</v>
      </c>
      <c r="C281" s="18" t="n">
        <v>0</v>
      </c>
      <c r="D281" s="26" t="s">
        <v>730</v>
      </c>
      <c r="E281" s="26" t="str">
        <f aca="false">IF(AND(B281="On",D281&lt;"2024-01-01"),"Yes","No")</f>
        <v>No</v>
      </c>
    </row>
    <row r="282" customFormat="false" ht="15" hidden="false" customHeight="false" outlineLevel="0" collapsed="false">
      <c r="A282" s="13" t="s">
        <v>736</v>
      </c>
      <c r="B282" s="26" t="s">
        <v>699</v>
      </c>
      <c r="C282" s="18" t="n">
        <v>0</v>
      </c>
      <c r="D282" s="26" t="s">
        <v>730</v>
      </c>
      <c r="E282" s="26" t="str">
        <f aca="false">IF(AND(B282="On",D282&lt;"2024-01-01"),"Yes","No")</f>
        <v>No</v>
      </c>
    </row>
    <row r="283" customFormat="false" ht="15" hidden="false" customHeight="false" outlineLevel="0" collapsed="false">
      <c r="A283" s="13" t="s">
        <v>737</v>
      </c>
      <c r="B283" s="26" t="s">
        <v>699</v>
      </c>
      <c r="C283" s="18" t="n">
        <v>0</v>
      </c>
      <c r="D283" s="26" t="s">
        <v>730</v>
      </c>
      <c r="E283" s="26" t="str">
        <f aca="false">IF(AND(B283="On",D283&lt;"2024-01-01"),"Yes","No")</f>
        <v>No</v>
      </c>
    </row>
    <row r="284" customFormat="false" ht="15" hidden="false" customHeight="false" outlineLevel="0" collapsed="false">
      <c r="A284" s="13" t="s">
        <v>738</v>
      </c>
      <c r="B284" s="26" t="s">
        <v>699</v>
      </c>
      <c r="C284" s="18" t="n">
        <v>0</v>
      </c>
      <c r="D284" s="26" t="s">
        <v>730</v>
      </c>
      <c r="E284" s="26" t="str">
        <f aca="false">IF(AND(B284="On",D284&lt;"2024-01-01"),"Yes","No")</f>
        <v>No</v>
      </c>
    </row>
    <row r="285" customFormat="false" ht="15" hidden="false" customHeight="false" outlineLevel="0" collapsed="false">
      <c r="A285" s="13" t="s">
        <v>739</v>
      </c>
      <c r="B285" s="26" t="s">
        <v>699</v>
      </c>
      <c r="C285" s="18" t="n">
        <v>0</v>
      </c>
      <c r="D285" s="26" t="s">
        <v>730</v>
      </c>
      <c r="E285" s="26" t="str">
        <f aca="false">IF(AND(B285="On",D285&lt;"2024-01-01"),"Yes","No")</f>
        <v>No</v>
      </c>
    </row>
    <row r="286" customFormat="false" ht="15" hidden="false" customHeight="false" outlineLevel="0" collapsed="false">
      <c r="A286" s="13" t="s">
        <v>740</v>
      </c>
      <c r="B286" s="26" t="s">
        <v>699</v>
      </c>
      <c r="C286" s="18" t="n">
        <v>0</v>
      </c>
      <c r="D286" s="26" t="s">
        <v>730</v>
      </c>
      <c r="E286" s="26" t="str">
        <f aca="false">IF(AND(B286="On",D286&lt;"2024-01-01"),"Yes","No")</f>
        <v>No</v>
      </c>
    </row>
    <row r="287" customFormat="false" ht="15" hidden="false" customHeight="false" outlineLevel="0" collapsed="false">
      <c r="A287" s="13" t="s">
        <v>741</v>
      </c>
      <c r="B287" s="26" t="s">
        <v>699</v>
      </c>
      <c r="C287" s="18" t="n">
        <v>0</v>
      </c>
      <c r="D287" s="26" t="s">
        <v>730</v>
      </c>
      <c r="E287" s="26" t="str">
        <f aca="false">IF(AND(B287="On",D287&lt;"2024-01-01"),"Yes","No")</f>
        <v>No</v>
      </c>
    </row>
    <row r="288" customFormat="false" ht="15" hidden="false" customHeight="false" outlineLevel="0" collapsed="false">
      <c r="A288" s="13" t="s">
        <v>742</v>
      </c>
      <c r="B288" s="26" t="s">
        <v>699</v>
      </c>
      <c r="C288" s="18" t="n">
        <v>0</v>
      </c>
      <c r="D288" s="26" t="s">
        <v>730</v>
      </c>
      <c r="E288" s="26" t="str">
        <f aca="false">IF(AND(B288="On",D288&lt;"2024-01-01"),"Yes","No")</f>
        <v>No</v>
      </c>
    </row>
    <row r="289" customFormat="false" ht="15" hidden="false" customHeight="false" outlineLevel="0" collapsed="false">
      <c r="A289" s="13" t="s">
        <v>743</v>
      </c>
      <c r="B289" s="26" t="s">
        <v>699</v>
      </c>
      <c r="C289" s="18" t="n">
        <v>0</v>
      </c>
      <c r="D289" s="26" t="s">
        <v>730</v>
      </c>
      <c r="E289" s="26" t="str">
        <f aca="false">IF(AND(B289="On",D289&lt;"2024-01-01"),"Yes","No")</f>
        <v>No</v>
      </c>
    </row>
    <row r="290" customFormat="false" ht="15" hidden="false" customHeight="false" outlineLevel="0" collapsed="false">
      <c r="A290" s="13" t="s">
        <v>744</v>
      </c>
      <c r="B290" s="26" t="s">
        <v>699</v>
      </c>
      <c r="C290" s="18" t="n">
        <v>0</v>
      </c>
      <c r="D290" s="26" t="s">
        <v>730</v>
      </c>
      <c r="E290" s="26" t="str">
        <f aca="false">IF(AND(B290="On",D290&lt;"2024-01-01"),"Yes","No")</f>
        <v>No</v>
      </c>
    </row>
    <row r="291" customFormat="false" ht="15" hidden="false" customHeight="false" outlineLevel="0" collapsed="false">
      <c r="A291" s="13" t="s">
        <v>745</v>
      </c>
      <c r="B291" s="26" t="s">
        <v>699</v>
      </c>
      <c r="C291" s="18" t="n">
        <v>0</v>
      </c>
      <c r="D291" s="26" t="s">
        <v>730</v>
      </c>
      <c r="E291" s="26" t="str">
        <f aca="false">IF(AND(B291="On",D291&lt;"2024-01-01"),"Yes","No")</f>
        <v>No</v>
      </c>
    </row>
    <row r="292" customFormat="false" ht="15" hidden="false" customHeight="false" outlineLevel="0" collapsed="false">
      <c r="A292" s="13" t="s">
        <v>746</v>
      </c>
      <c r="B292" s="26" t="s">
        <v>699</v>
      </c>
      <c r="C292" s="18" t="n">
        <v>0</v>
      </c>
      <c r="D292" s="26" t="s">
        <v>730</v>
      </c>
      <c r="E292" s="26" t="str">
        <f aca="false">IF(AND(B292="On",D292&lt;"2024-01-01"),"Yes","No")</f>
        <v>No</v>
      </c>
    </row>
    <row r="293" customFormat="false" ht="15" hidden="false" customHeight="false" outlineLevel="0" collapsed="false">
      <c r="A293" s="13" t="s">
        <v>747</v>
      </c>
      <c r="B293" s="26" t="s">
        <v>699</v>
      </c>
      <c r="C293" s="18" t="n">
        <v>0</v>
      </c>
      <c r="D293" s="26" t="s">
        <v>730</v>
      </c>
      <c r="E293" s="26" t="str">
        <f aca="false">IF(AND(B293="On",D293&lt;"2024-01-01"),"Yes","No")</f>
        <v>No</v>
      </c>
    </row>
    <row r="294" customFormat="false" ht="15" hidden="false" customHeight="false" outlineLevel="0" collapsed="false">
      <c r="A294" s="13" t="s">
        <v>748</v>
      </c>
      <c r="B294" s="26" t="s">
        <v>699</v>
      </c>
      <c r="C294" s="18" t="n">
        <v>0</v>
      </c>
      <c r="D294" s="26" t="s">
        <v>730</v>
      </c>
      <c r="E294" s="26" t="str">
        <f aca="false">IF(AND(B294="On",D294&lt;"2024-01-01"),"Yes","No")</f>
        <v>No</v>
      </c>
    </row>
    <row r="295" customFormat="false" ht="15" hidden="false" customHeight="false" outlineLevel="0" collapsed="false">
      <c r="A295" s="13" t="s">
        <v>749</v>
      </c>
      <c r="B295" s="26" t="s">
        <v>699</v>
      </c>
      <c r="C295" s="18" t="n">
        <v>0</v>
      </c>
      <c r="D295" s="26" t="s">
        <v>730</v>
      </c>
      <c r="E295" s="26" t="str">
        <f aca="false">IF(AND(B295="On",D295&lt;"2024-01-01"),"Yes","No")</f>
        <v>No</v>
      </c>
    </row>
    <row r="296" customFormat="false" ht="15" hidden="false" customHeight="false" outlineLevel="0" collapsed="false">
      <c r="A296" s="13" t="s">
        <v>750</v>
      </c>
      <c r="B296" s="26" t="s">
        <v>699</v>
      </c>
      <c r="C296" s="18" t="n">
        <v>0</v>
      </c>
      <c r="D296" s="26" t="s">
        <v>730</v>
      </c>
      <c r="E296" s="26" t="str">
        <f aca="false">IF(AND(B296="On",D296&lt;"2024-01-01"),"Yes","No")</f>
        <v>No</v>
      </c>
    </row>
    <row r="297" customFormat="false" ht="15" hidden="false" customHeight="false" outlineLevel="0" collapsed="false">
      <c r="A297" s="13" t="s">
        <v>751</v>
      </c>
      <c r="B297" s="26" t="s">
        <v>699</v>
      </c>
      <c r="C297" s="18" t="n">
        <v>0</v>
      </c>
      <c r="D297" s="26" t="s">
        <v>730</v>
      </c>
      <c r="E297" s="26" t="str">
        <f aca="false">IF(AND(B297="On",D297&lt;"2024-01-01"),"Yes","No")</f>
        <v>No</v>
      </c>
    </row>
    <row r="298" customFormat="false" ht="15" hidden="false" customHeight="false" outlineLevel="0" collapsed="false">
      <c r="A298" s="13" t="s">
        <v>752</v>
      </c>
      <c r="B298" s="26" t="s">
        <v>699</v>
      </c>
      <c r="C298" s="18" t="n">
        <v>0</v>
      </c>
      <c r="D298" s="26" t="s">
        <v>730</v>
      </c>
      <c r="E298" s="26" t="str">
        <f aca="false">IF(AND(B298="On",D298&lt;"2024-01-01"),"Yes","No")</f>
        <v>No</v>
      </c>
    </row>
    <row r="299" customFormat="false" ht="15" hidden="false" customHeight="false" outlineLevel="0" collapsed="false">
      <c r="A299" s="13" t="s">
        <v>753</v>
      </c>
      <c r="B299" s="26" t="s">
        <v>699</v>
      </c>
      <c r="C299" s="18" t="n">
        <v>0</v>
      </c>
      <c r="D299" s="26" t="s">
        <v>730</v>
      </c>
      <c r="E299" s="26" t="str">
        <f aca="false">IF(AND(B299="On",D299&lt;"2024-01-01"),"Yes","No")</f>
        <v>No</v>
      </c>
    </row>
    <row r="300" customFormat="false" ht="15" hidden="false" customHeight="false" outlineLevel="0" collapsed="false">
      <c r="A300" s="13" t="s">
        <v>754</v>
      </c>
      <c r="B300" s="26" t="s">
        <v>699</v>
      </c>
      <c r="C300" s="18" t="n">
        <v>0</v>
      </c>
      <c r="D300" s="26" t="s">
        <v>730</v>
      </c>
      <c r="E300" s="26" t="str">
        <f aca="false">IF(AND(B300="On",D300&lt;"2024-01-01"),"Yes","No")</f>
        <v>No</v>
      </c>
    </row>
    <row r="301" customFormat="false" ht="15" hidden="false" customHeight="false" outlineLevel="0" collapsed="false">
      <c r="A301" s="13" t="s">
        <v>755</v>
      </c>
      <c r="B301" s="26" t="s">
        <v>699</v>
      </c>
      <c r="C301" s="18" t="n">
        <v>0</v>
      </c>
      <c r="D301" s="26" t="s">
        <v>730</v>
      </c>
      <c r="E301" s="26" t="str">
        <f aca="false">IF(AND(B301="On",D301&lt;"2024-01-01"),"Yes","No")</f>
        <v>No</v>
      </c>
    </row>
    <row r="302" customFormat="false" ht="15" hidden="false" customHeight="false" outlineLevel="0" collapsed="false">
      <c r="A302" s="13" t="s">
        <v>756</v>
      </c>
      <c r="B302" s="26" t="s">
        <v>699</v>
      </c>
      <c r="C302" s="18" t="n">
        <v>0</v>
      </c>
      <c r="D302" s="26" t="s">
        <v>730</v>
      </c>
      <c r="E302" s="26" t="str">
        <f aca="false">IF(AND(B302="On",D302&lt;"2024-01-01"),"Yes","No")</f>
        <v>No</v>
      </c>
    </row>
    <row r="303" customFormat="false" ht="15" hidden="false" customHeight="false" outlineLevel="0" collapsed="false">
      <c r="A303" s="13" t="s">
        <v>757</v>
      </c>
      <c r="B303" s="26" t="s">
        <v>699</v>
      </c>
      <c r="C303" s="18" t="n">
        <v>0</v>
      </c>
      <c r="D303" s="26" t="s">
        <v>730</v>
      </c>
      <c r="E303" s="26" t="str">
        <f aca="false">IF(AND(B303="On",D303&lt;"2024-01-01"),"Yes","No")</f>
        <v>No</v>
      </c>
    </row>
    <row r="304" customFormat="false" ht="15" hidden="false" customHeight="false" outlineLevel="0" collapsed="false">
      <c r="A304" s="13" t="s">
        <v>758</v>
      </c>
      <c r="B304" s="26" t="s">
        <v>699</v>
      </c>
      <c r="C304" s="18" t="n">
        <v>0</v>
      </c>
      <c r="D304" s="26" t="s">
        <v>730</v>
      </c>
      <c r="E304" s="26" t="str">
        <f aca="false">IF(AND(B304="On",D304&lt;"2024-01-01"),"Yes","No")</f>
        <v>No</v>
      </c>
    </row>
    <row r="305" customFormat="false" ht="15" hidden="false" customHeight="false" outlineLevel="0" collapsed="false">
      <c r="A305" s="13" t="s">
        <v>396</v>
      </c>
      <c r="B305" s="26" t="s">
        <v>699</v>
      </c>
      <c r="C305" s="18" t="n">
        <v>0</v>
      </c>
      <c r="D305" s="26" t="s">
        <v>759</v>
      </c>
      <c r="E305" s="26" t="str">
        <f aca="false">IF(AND(B305="On",D305&lt;"2024-01-01"),"Yes","No")</f>
        <v>No</v>
      </c>
    </row>
    <row r="306" customFormat="false" ht="15" hidden="false" customHeight="false" outlineLevel="0" collapsed="false">
      <c r="A306" s="13" t="s">
        <v>396</v>
      </c>
      <c r="B306" s="26" t="s">
        <v>699</v>
      </c>
      <c r="C306" s="18" t="n">
        <v>0</v>
      </c>
      <c r="D306" s="26" t="s">
        <v>760</v>
      </c>
      <c r="E306" s="26" t="str">
        <f aca="false">IF(AND(B306="On",D306&lt;"2024-01-01"),"Yes","No")</f>
        <v>No</v>
      </c>
    </row>
    <row r="307" customFormat="false" ht="15" hidden="false" customHeight="false" outlineLevel="0" collapsed="false">
      <c r="A307" s="13" t="s">
        <v>761</v>
      </c>
      <c r="B307" s="26" t="s">
        <v>699</v>
      </c>
      <c r="C307" s="18" t="n">
        <v>0</v>
      </c>
      <c r="D307" s="26" t="s">
        <v>762</v>
      </c>
      <c r="E307" s="26" t="str">
        <f aca="false">IF(AND(B307="On",D307&lt;"2024-01-01"),"Yes","No")</f>
        <v>No</v>
      </c>
    </row>
    <row r="308" customFormat="false" ht="15" hidden="false" customHeight="false" outlineLevel="0" collapsed="false">
      <c r="A308" s="13" t="s">
        <v>763</v>
      </c>
      <c r="B308" s="26" t="s">
        <v>699</v>
      </c>
      <c r="C308" s="18" t="n">
        <v>0</v>
      </c>
      <c r="D308" s="26" t="s">
        <v>764</v>
      </c>
      <c r="E308" s="26" t="str">
        <f aca="false">IF(AND(B308="On",D308&lt;"2024-01-01"),"Yes","No")</f>
        <v>No</v>
      </c>
    </row>
    <row r="309" customFormat="false" ht="15" hidden="false" customHeight="false" outlineLevel="0" collapsed="false">
      <c r="A309" s="13" t="s">
        <v>765</v>
      </c>
      <c r="B309" s="26" t="s">
        <v>699</v>
      </c>
      <c r="C309" s="18" t="n">
        <v>0</v>
      </c>
      <c r="D309" s="26" t="s">
        <v>764</v>
      </c>
      <c r="E309" s="26" t="str">
        <f aca="false">IF(AND(B309="On",D309&lt;"2024-01-01"),"Yes","No")</f>
        <v>No</v>
      </c>
    </row>
    <row r="310" customFormat="false" ht="15" hidden="false" customHeight="false" outlineLevel="0" collapsed="false">
      <c r="A310" s="13" t="s">
        <v>396</v>
      </c>
      <c r="B310" s="26" t="s">
        <v>699</v>
      </c>
      <c r="C310" s="18" t="n">
        <v>0</v>
      </c>
      <c r="D310" s="26" t="s">
        <v>766</v>
      </c>
      <c r="E310" s="26" t="str">
        <f aca="false">IF(AND(B310="On",D310&lt;"2024-01-01"),"Yes","No")</f>
        <v>No</v>
      </c>
    </row>
    <row r="311" customFormat="false" ht="15" hidden="false" customHeight="false" outlineLevel="0" collapsed="false">
      <c r="A311" s="13" t="s">
        <v>396</v>
      </c>
      <c r="B311" s="26" t="s">
        <v>699</v>
      </c>
      <c r="C311" s="18" t="n">
        <v>0</v>
      </c>
      <c r="D311" s="26" t="s">
        <v>767</v>
      </c>
      <c r="E311" s="26" t="str">
        <f aca="false">IF(AND(B311="On",D311&lt;"2024-01-01"),"Yes","No")</f>
        <v>No</v>
      </c>
    </row>
    <row r="312" customFormat="false" ht="15" hidden="false" customHeight="false" outlineLevel="0" collapsed="false">
      <c r="A312" s="13" t="s">
        <v>768</v>
      </c>
      <c r="B312" s="26" t="s">
        <v>699</v>
      </c>
      <c r="C312" s="18" t="n">
        <v>0</v>
      </c>
      <c r="D312" s="26" t="s">
        <v>769</v>
      </c>
      <c r="E312" s="26" t="str">
        <f aca="false">IF(AND(B312="On",D312&lt;"2024-01-01"),"Yes","No")</f>
        <v>No</v>
      </c>
    </row>
    <row r="313" customFormat="false" ht="15" hidden="false" customHeight="false" outlineLevel="0" collapsed="false">
      <c r="A313" s="13" t="s">
        <v>770</v>
      </c>
      <c r="B313" s="26" t="s">
        <v>699</v>
      </c>
      <c r="C313" s="18" t="n">
        <v>0</v>
      </c>
      <c r="D313" s="26" t="s">
        <v>771</v>
      </c>
      <c r="E313" s="26" t="str">
        <f aca="false">IF(AND(B313="On",D313&lt;"2024-01-01"),"Yes","No")</f>
        <v>No</v>
      </c>
    </row>
    <row r="315" customFormat="false" ht="15" hidden="false" customHeight="false" outlineLevel="0" collapsed="false">
      <c r="A315" s="21" t="s">
        <v>145</v>
      </c>
      <c r="B315" s="23" t="n">
        <f aca="false">COUNTA(A5:A313)</f>
        <v>309</v>
      </c>
    </row>
    <row r="316" customFormat="false" ht="15" hidden="false" customHeight="false" outlineLevel="0" collapsed="false">
      <c r="A316" s="21" t="s">
        <v>375</v>
      </c>
      <c r="B316" s="23" t="n">
        <f aca="false">COUNTIF(B5:B313,"On")</f>
        <v>251</v>
      </c>
    </row>
    <row r="317" customFormat="false" ht="15" hidden="false" customHeight="false" outlineLevel="0" collapsed="false">
      <c r="A317" s="21" t="s">
        <v>372</v>
      </c>
      <c r="B317" s="23" t="n">
        <f aca="false">COUNTIF(B5:B313,"Off")</f>
        <v>58</v>
      </c>
    </row>
    <row r="318" customFormat="false" ht="15" hidden="false" customHeight="false" outlineLevel="0" collapsed="false">
      <c r="A318" s="21" t="s">
        <v>384</v>
      </c>
      <c r="B318" s="23" t="n">
        <f aca="false">COUNTIF(E5:E313,"Yes")</f>
        <v>65</v>
      </c>
    </row>
    <row r="319" customFormat="false" ht="15" hidden="false" customHeight="false" outlineLevel="0" collapsed="false">
      <c r="A319" s="21" t="s">
        <v>772</v>
      </c>
      <c r="B319" s="23" t="n">
        <f aca="false">COUNTIFS(A5:A313,"*COVID*",B5:B313,"On")</f>
        <v>5</v>
      </c>
    </row>
  </sheetData>
  <autoFilter ref="A4:E313"/>
  <conditionalFormatting sqref="E5:E313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773</v>
      </c>
    </row>
    <row r="2" customFormat="false" ht="15" hidden="false" customHeight="false" outlineLevel="0" collapsed="false">
      <c r="A2" s="2" t="s">
        <v>774</v>
      </c>
    </row>
    <row r="4" customFormat="false" ht="30" hidden="false" customHeight="true" outlineLevel="0" collapsed="false">
      <c r="A4" s="4" t="s">
        <v>775</v>
      </c>
      <c r="B4" s="4" t="s">
        <v>776</v>
      </c>
      <c r="C4" s="4" t="s">
        <v>777</v>
      </c>
      <c r="D4" s="4" t="s">
        <v>778</v>
      </c>
    </row>
    <row r="5" customFormat="false" ht="15" hidden="false" customHeight="false" outlineLevel="0" collapsed="false">
      <c r="A5" s="5" t="s">
        <v>779</v>
      </c>
      <c r="B5" s="18" t="n">
        <v>3</v>
      </c>
      <c r="C5" s="18" t="n">
        <v>0</v>
      </c>
      <c r="D5" s="13"/>
    </row>
    <row r="6" customFormat="false" ht="15" hidden="false" customHeight="false" outlineLevel="0" collapsed="false">
      <c r="A6" s="5" t="s">
        <v>780</v>
      </c>
      <c r="B6" s="18" t="n">
        <v>0</v>
      </c>
      <c r="C6" s="18" t="n">
        <v>0</v>
      </c>
      <c r="D6" s="13"/>
    </row>
    <row r="7" customFormat="false" ht="15" hidden="false" customHeight="false" outlineLevel="0" collapsed="false">
      <c r="A7" s="5" t="s">
        <v>781</v>
      </c>
      <c r="B7" s="18" t="n">
        <v>3</v>
      </c>
      <c r="C7" s="18" t="n">
        <v>0</v>
      </c>
      <c r="D7" s="13"/>
    </row>
    <row r="8" customFormat="false" ht="15" hidden="false" customHeight="false" outlineLevel="0" collapsed="false">
      <c r="A8" s="5" t="s">
        <v>782</v>
      </c>
      <c r="B8" s="18" t="n">
        <v>1</v>
      </c>
      <c r="C8" s="18" t="n">
        <v>0</v>
      </c>
      <c r="D8" s="13"/>
    </row>
    <row r="9" customFormat="false" ht="15" hidden="false" customHeight="false" outlineLevel="0" collapsed="false">
      <c r="A9" s="5" t="s">
        <v>189</v>
      </c>
      <c r="B9" s="18" t="n">
        <v>5</v>
      </c>
      <c r="C9" s="18" t="n">
        <v>0</v>
      </c>
      <c r="D9" s="13"/>
    </row>
    <row r="10" customFormat="false" ht="15" hidden="false" customHeight="false" outlineLevel="0" collapsed="false">
      <c r="A10" s="5" t="s">
        <v>783</v>
      </c>
      <c r="B10" s="18" t="n">
        <v>4</v>
      </c>
      <c r="C10" s="18" t="n">
        <v>1</v>
      </c>
      <c r="D10" s="13" t="s">
        <v>784</v>
      </c>
    </row>
    <row r="11" customFormat="false" ht="15" hidden="false" customHeight="false" outlineLevel="0" collapsed="false">
      <c r="A11" s="5" t="s">
        <v>785</v>
      </c>
      <c r="B11" s="18" t="n">
        <v>2</v>
      </c>
      <c r="C11" s="18" t="n">
        <v>1</v>
      </c>
      <c r="D11" s="13"/>
    </row>
    <row r="12" customFormat="false" ht="15" hidden="false" customHeight="false" outlineLevel="0" collapsed="false">
      <c r="A12" s="5" t="s">
        <v>786</v>
      </c>
      <c r="B12" s="18" t="n">
        <v>0</v>
      </c>
      <c r="C12" s="18" t="n">
        <v>0</v>
      </c>
      <c r="D12" s="13"/>
    </row>
    <row r="13" customFormat="false" ht="15" hidden="false" customHeight="false" outlineLevel="0" collapsed="false">
      <c r="A13" s="5" t="s">
        <v>787</v>
      </c>
      <c r="B13" s="18" t="n">
        <v>6</v>
      </c>
      <c r="C13" s="18" t="n">
        <v>0</v>
      </c>
      <c r="D13" s="13"/>
    </row>
    <row r="14" customFormat="false" ht="15" hidden="false" customHeight="false" outlineLevel="0" collapsed="false">
      <c r="A14" s="5" t="s">
        <v>788</v>
      </c>
      <c r="B14" s="18" t="n">
        <v>0</v>
      </c>
      <c r="C14" s="18" t="n">
        <v>0</v>
      </c>
      <c r="D14" s="13"/>
    </row>
    <row r="15" customFormat="false" ht="15" hidden="false" customHeight="false" outlineLevel="0" collapsed="false">
      <c r="A15" s="5" t="s">
        <v>789</v>
      </c>
      <c r="B15" s="18" t="n">
        <v>0</v>
      </c>
      <c r="C15" s="18" t="n">
        <v>2</v>
      </c>
      <c r="D15" s="13"/>
    </row>
    <row r="16" customFormat="false" ht="15" hidden="false" customHeight="false" outlineLevel="0" collapsed="false">
      <c r="A16" s="5" t="s">
        <v>790</v>
      </c>
      <c r="B16" s="18" t="n">
        <v>2</v>
      </c>
      <c r="C16" s="18" t="n">
        <v>0</v>
      </c>
      <c r="D16" s="13"/>
    </row>
    <row r="17" customFormat="false" ht="15" hidden="false" customHeight="false" outlineLevel="0" collapsed="false">
      <c r="A17" s="5" t="s">
        <v>791</v>
      </c>
      <c r="B17" s="18" t="n">
        <v>2</v>
      </c>
      <c r="C17" s="18" t="n">
        <v>0</v>
      </c>
      <c r="D17" s="13"/>
    </row>
    <row r="18" customFormat="false" ht="15" hidden="false" customHeight="false" outlineLevel="0" collapsed="false">
      <c r="A18" s="5" t="s">
        <v>792</v>
      </c>
      <c r="B18" s="18" t="n">
        <v>1</v>
      </c>
      <c r="C18" s="18" t="n">
        <v>0</v>
      </c>
      <c r="D18" s="13"/>
    </row>
    <row r="19" customFormat="false" ht="15" hidden="false" customHeight="false" outlineLevel="0" collapsed="false">
      <c r="A19" s="5" t="s">
        <v>793</v>
      </c>
      <c r="B19" s="18" t="n">
        <v>3</v>
      </c>
      <c r="C19" s="18" t="n">
        <v>1</v>
      </c>
      <c r="D19" s="13"/>
    </row>
    <row r="20" customFormat="false" ht="15" hidden="false" customHeight="false" outlineLevel="0" collapsed="false">
      <c r="A20" s="5" t="s">
        <v>794</v>
      </c>
      <c r="B20" s="18" t="n">
        <v>2</v>
      </c>
      <c r="C20" s="18" t="n">
        <v>1</v>
      </c>
      <c r="D20" s="13"/>
    </row>
    <row r="21" customFormat="false" ht="15" hidden="false" customHeight="false" outlineLevel="0" collapsed="false">
      <c r="A21" s="5" t="s">
        <v>795</v>
      </c>
      <c r="B21" s="18" t="n">
        <v>6</v>
      </c>
      <c r="C21" s="18" t="n">
        <v>0</v>
      </c>
      <c r="D21" s="13"/>
    </row>
    <row r="22" customFormat="false" ht="15" hidden="false" customHeight="false" outlineLevel="0" collapsed="false">
      <c r="A22" s="5" t="s">
        <v>796</v>
      </c>
      <c r="B22" s="18" t="n">
        <v>2</v>
      </c>
      <c r="C22" s="18" t="n">
        <v>0</v>
      </c>
      <c r="D22" s="13"/>
    </row>
    <row r="23" customFormat="false" ht="15" hidden="false" customHeight="false" outlineLevel="0" collapsed="false">
      <c r="A23" s="5" t="s">
        <v>797</v>
      </c>
      <c r="B23" s="18" t="n">
        <v>1</v>
      </c>
      <c r="C23" s="18" t="n">
        <v>0</v>
      </c>
      <c r="D23" s="13"/>
    </row>
    <row r="24" customFormat="false" ht="15" hidden="false" customHeight="false" outlineLevel="0" collapsed="false">
      <c r="A24" s="5" t="s">
        <v>798</v>
      </c>
      <c r="B24" s="18" t="n">
        <v>3</v>
      </c>
      <c r="C24" s="18" t="n">
        <v>0</v>
      </c>
      <c r="D24" s="13"/>
    </row>
    <row r="25" customFormat="false" ht="15" hidden="false" customHeight="false" outlineLevel="0" collapsed="false">
      <c r="A25" s="5" t="s">
        <v>799</v>
      </c>
      <c r="B25" s="18" t="n">
        <v>4</v>
      </c>
      <c r="C25" s="18" t="n">
        <v>0</v>
      </c>
      <c r="D25" s="13"/>
    </row>
    <row r="26" customFormat="false" ht="15" hidden="false" customHeight="false" outlineLevel="0" collapsed="false">
      <c r="A26" s="5" t="s">
        <v>800</v>
      </c>
      <c r="B26" s="18" t="n">
        <v>1</v>
      </c>
      <c r="C26" s="18" t="n">
        <v>0</v>
      </c>
      <c r="D26" s="13"/>
    </row>
    <row r="27" customFormat="false" ht="15" hidden="false" customHeight="false" outlineLevel="0" collapsed="false">
      <c r="A27" s="5" t="s">
        <v>801</v>
      </c>
      <c r="B27" s="18" t="n">
        <v>6</v>
      </c>
      <c r="C27" s="18" t="n">
        <v>0</v>
      </c>
      <c r="D27" s="13"/>
    </row>
    <row r="28" customFormat="false" ht="15" hidden="false" customHeight="false" outlineLevel="0" collapsed="false">
      <c r="A28" s="5" t="s">
        <v>802</v>
      </c>
      <c r="B28" s="18" t="n">
        <v>0</v>
      </c>
      <c r="C28" s="18" t="n">
        <v>0</v>
      </c>
      <c r="D28" s="13"/>
    </row>
    <row r="29" customFormat="false" ht="15" hidden="false" customHeight="false" outlineLevel="0" collapsed="false">
      <c r="A29" s="5" t="s">
        <v>803</v>
      </c>
      <c r="B29" s="18" t="n">
        <v>1</v>
      </c>
      <c r="C29" s="18" t="n">
        <v>0</v>
      </c>
      <c r="D29" s="13"/>
    </row>
    <row r="30" customFormat="false" ht="15" hidden="false" customHeight="false" outlineLevel="0" collapsed="false">
      <c r="A30" s="5" t="s">
        <v>804</v>
      </c>
      <c r="B30" s="18" t="n">
        <v>2</v>
      </c>
      <c r="C30" s="18" t="n">
        <v>0</v>
      </c>
      <c r="D30" s="13"/>
    </row>
    <row r="31" customFormat="false" ht="15" hidden="false" customHeight="false" outlineLevel="0" collapsed="false">
      <c r="A31" s="5" t="s">
        <v>170</v>
      </c>
      <c r="B31" s="18" t="n">
        <v>3</v>
      </c>
      <c r="C31" s="18" t="n">
        <v>0</v>
      </c>
      <c r="D31" s="13"/>
    </row>
    <row r="32" customFormat="false" ht="15" hidden="false" customHeight="false" outlineLevel="0" collapsed="false">
      <c r="A32" s="5" t="s">
        <v>805</v>
      </c>
      <c r="B32" s="18" t="n">
        <v>2</v>
      </c>
      <c r="C32" s="18" t="n">
        <v>0</v>
      </c>
      <c r="D32" s="13" t="s">
        <v>170</v>
      </c>
    </row>
    <row r="33" customFormat="false" ht="15" hidden="false" customHeight="false" outlineLevel="0" collapsed="false">
      <c r="A33" s="5" t="s">
        <v>186</v>
      </c>
      <c r="B33" s="18" t="n">
        <v>32</v>
      </c>
      <c r="C33" s="18" t="n">
        <v>0</v>
      </c>
      <c r="D33" s="13"/>
    </row>
    <row r="34" customFormat="false" ht="15" hidden="false" customHeight="false" outlineLevel="0" collapsed="false">
      <c r="A34" s="5" t="s">
        <v>806</v>
      </c>
      <c r="B34" s="18" t="n">
        <v>1</v>
      </c>
      <c r="C34" s="18" t="n">
        <v>0</v>
      </c>
      <c r="D34" s="13"/>
    </row>
    <row r="35" customFormat="false" ht="15" hidden="false" customHeight="false" outlineLevel="0" collapsed="false">
      <c r="A35" s="5" t="s">
        <v>807</v>
      </c>
      <c r="B35" s="18" t="n">
        <v>2</v>
      </c>
      <c r="C35" s="18" t="n">
        <v>1</v>
      </c>
      <c r="D35" s="13"/>
    </row>
    <row r="36" customFormat="false" ht="15" hidden="false" customHeight="false" outlineLevel="0" collapsed="false">
      <c r="A36" s="5" t="s">
        <v>808</v>
      </c>
      <c r="B36" s="18" t="n">
        <v>0</v>
      </c>
      <c r="C36" s="18" t="n">
        <v>0</v>
      </c>
      <c r="D36" s="13"/>
    </row>
    <row r="37" customFormat="false" ht="15" hidden="false" customHeight="false" outlineLevel="0" collapsed="false">
      <c r="A37" s="5" t="s">
        <v>809</v>
      </c>
      <c r="B37" s="18" t="n">
        <v>3</v>
      </c>
      <c r="C37" s="18" t="n">
        <v>0</v>
      </c>
      <c r="D37" s="13"/>
    </row>
    <row r="38" customFormat="false" ht="15" hidden="false" customHeight="false" outlineLevel="0" collapsed="false">
      <c r="A38" s="5" t="s">
        <v>810</v>
      </c>
      <c r="B38" s="18" t="n">
        <v>0</v>
      </c>
      <c r="C38" s="18" t="n">
        <v>0</v>
      </c>
      <c r="D38" s="13"/>
    </row>
    <row r="39" customFormat="false" ht="15" hidden="false" customHeight="false" outlineLevel="0" collapsed="false">
      <c r="A39" s="5" t="s">
        <v>811</v>
      </c>
      <c r="B39" s="18" t="n">
        <v>15</v>
      </c>
      <c r="C39" s="18" t="n">
        <v>3</v>
      </c>
      <c r="D39" s="13"/>
    </row>
    <row r="40" customFormat="false" ht="15" hidden="false" customHeight="false" outlineLevel="0" collapsed="false">
      <c r="A40" s="5" t="s">
        <v>812</v>
      </c>
      <c r="B40" s="18" t="n">
        <v>1</v>
      </c>
      <c r="C40" s="18" t="n">
        <v>0</v>
      </c>
      <c r="D40" s="13"/>
    </row>
    <row r="41" customFormat="false" ht="15" hidden="false" customHeight="false" outlineLevel="0" collapsed="false">
      <c r="A41" s="5" t="s">
        <v>813</v>
      </c>
      <c r="B41" s="18" t="n">
        <v>0</v>
      </c>
      <c r="C41" s="18" t="n">
        <v>1</v>
      </c>
      <c r="D41" s="13"/>
    </row>
    <row r="42" customFormat="false" ht="15" hidden="false" customHeight="false" outlineLevel="0" collapsed="false">
      <c r="A42" s="5" t="s">
        <v>814</v>
      </c>
      <c r="B42" s="18" t="n">
        <v>0</v>
      </c>
      <c r="C42" s="18" t="n">
        <v>1</v>
      </c>
      <c r="D42" s="13" t="s">
        <v>807</v>
      </c>
    </row>
    <row r="43" customFormat="false" ht="15" hidden="false" customHeight="false" outlineLevel="0" collapsed="false">
      <c r="A43" s="5" t="s">
        <v>815</v>
      </c>
      <c r="B43" s="18" t="n">
        <v>8</v>
      </c>
      <c r="C43" s="18" t="n">
        <v>0</v>
      </c>
      <c r="D43" s="13"/>
    </row>
    <row r="44" customFormat="false" ht="15" hidden="false" customHeight="false" outlineLevel="0" collapsed="false">
      <c r="A44" s="5" t="s">
        <v>816</v>
      </c>
      <c r="B44" s="18" t="n">
        <v>1</v>
      </c>
      <c r="C44" s="18" t="n">
        <v>0</v>
      </c>
      <c r="D44" s="13"/>
    </row>
    <row r="45" customFormat="false" ht="15" hidden="false" customHeight="false" outlineLevel="0" collapsed="false">
      <c r="A45" s="5" t="s">
        <v>817</v>
      </c>
      <c r="B45" s="18" t="n">
        <v>0</v>
      </c>
      <c r="C45" s="18" t="n">
        <v>0</v>
      </c>
      <c r="D45" s="13"/>
    </row>
    <row r="46" customFormat="false" ht="15" hidden="false" customHeight="false" outlineLevel="0" collapsed="false">
      <c r="A46" s="5" t="s">
        <v>818</v>
      </c>
      <c r="B46" s="18" t="n">
        <v>3</v>
      </c>
      <c r="C46" s="18" t="n">
        <v>0</v>
      </c>
      <c r="D46" s="13"/>
    </row>
    <row r="47" customFormat="false" ht="15" hidden="false" customHeight="false" outlineLevel="0" collapsed="false">
      <c r="A47" s="5" t="s">
        <v>819</v>
      </c>
      <c r="B47" s="18" t="n">
        <v>0</v>
      </c>
      <c r="C47" s="18" t="n">
        <v>0</v>
      </c>
      <c r="D47" s="13"/>
    </row>
    <row r="48" customFormat="false" ht="15" hidden="false" customHeight="false" outlineLevel="0" collapsed="false">
      <c r="A48" s="5" t="s">
        <v>820</v>
      </c>
      <c r="B48" s="18" t="n">
        <v>2</v>
      </c>
      <c r="C48" s="18" t="n">
        <v>0</v>
      </c>
      <c r="D48" s="13"/>
    </row>
    <row r="49" customFormat="false" ht="15" hidden="false" customHeight="false" outlineLevel="0" collapsed="false">
      <c r="A49" s="5" t="s">
        <v>821</v>
      </c>
      <c r="B49" s="18" t="n">
        <v>4</v>
      </c>
      <c r="C49" s="18" t="n">
        <v>0</v>
      </c>
      <c r="D49" s="13"/>
    </row>
    <row r="50" customFormat="false" ht="15" hidden="false" customHeight="false" outlineLevel="0" collapsed="false">
      <c r="A50" s="5" t="s">
        <v>822</v>
      </c>
      <c r="B50" s="18" t="n">
        <v>2</v>
      </c>
      <c r="C50" s="18" t="n">
        <v>0</v>
      </c>
      <c r="D50" s="13"/>
    </row>
    <row r="51" customFormat="false" ht="15" hidden="false" customHeight="false" outlineLevel="0" collapsed="false">
      <c r="A51" s="5" t="s">
        <v>823</v>
      </c>
      <c r="B51" s="18" t="n">
        <v>1</v>
      </c>
      <c r="C51" s="18" t="n">
        <v>0</v>
      </c>
      <c r="D51" s="13"/>
    </row>
    <row r="52" customFormat="false" ht="15" hidden="false" customHeight="false" outlineLevel="0" collapsed="false">
      <c r="A52" s="5" t="s">
        <v>824</v>
      </c>
      <c r="B52" s="18" t="n">
        <v>0</v>
      </c>
      <c r="C52" s="18" t="n">
        <v>0</v>
      </c>
      <c r="D52" s="13"/>
    </row>
    <row r="53" customFormat="false" ht="15" hidden="false" customHeight="false" outlineLevel="0" collapsed="false">
      <c r="A53" s="5" t="s">
        <v>825</v>
      </c>
      <c r="B53" s="18" t="n">
        <v>1</v>
      </c>
      <c r="C53" s="18" t="n">
        <v>1</v>
      </c>
      <c r="D53" s="13"/>
    </row>
    <row r="54" customFormat="false" ht="15" hidden="false" customHeight="false" outlineLevel="0" collapsed="false">
      <c r="A54" s="5" t="s">
        <v>826</v>
      </c>
      <c r="B54" s="18" t="n">
        <v>5</v>
      </c>
      <c r="C54" s="18" t="n">
        <v>1</v>
      </c>
      <c r="D54" s="13"/>
    </row>
    <row r="55" customFormat="false" ht="15" hidden="false" customHeight="false" outlineLevel="0" collapsed="false">
      <c r="A55" s="5" t="s">
        <v>827</v>
      </c>
      <c r="B55" s="18" t="n">
        <v>1</v>
      </c>
      <c r="C55" s="18" t="n">
        <v>0</v>
      </c>
      <c r="D55" s="13"/>
    </row>
    <row r="56" customFormat="false" ht="15" hidden="false" customHeight="false" outlineLevel="0" collapsed="false">
      <c r="A56" s="5" t="s">
        <v>828</v>
      </c>
      <c r="B56" s="18" t="n">
        <v>1</v>
      </c>
      <c r="C56" s="18" t="n">
        <v>0</v>
      </c>
      <c r="D56" s="13"/>
    </row>
    <row r="57" customFormat="false" ht="15" hidden="false" customHeight="false" outlineLevel="0" collapsed="false">
      <c r="A57" s="5" t="s">
        <v>829</v>
      </c>
      <c r="B57" s="18" t="n">
        <v>0</v>
      </c>
      <c r="C57" s="18" t="n">
        <v>0</v>
      </c>
      <c r="D57" s="13"/>
    </row>
    <row r="58" customFormat="false" ht="15" hidden="false" customHeight="false" outlineLevel="0" collapsed="false">
      <c r="A58" s="5" t="s">
        <v>830</v>
      </c>
      <c r="B58" s="18" t="n">
        <v>4</v>
      </c>
      <c r="C58" s="18" t="n">
        <v>0</v>
      </c>
      <c r="D58" s="13"/>
    </row>
    <row r="59" customFormat="false" ht="15" hidden="false" customHeight="false" outlineLevel="0" collapsed="false">
      <c r="A59" s="5" t="s">
        <v>831</v>
      </c>
      <c r="B59" s="18" t="n">
        <v>4</v>
      </c>
      <c r="C59" s="18" t="n">
        <v>0</v>
      </c>
      <c r="D59" s="13"/>
    </row>
    <row r="60" customFormat="false" ht="15" hidden="false" customHeight="false" outlineLevel="0" collapsed="false">
      <c r="A60" s="5" t="s">
        <v>784</v>
      </c>
      <c r="B60" s="18" t="n">
        <v>3</v>
      </c>
      <c r="C60" s="18" t="n">
        <v>0</v>
      </c>
      <c r="D60" s="13"/>
    </row>
    <row r="61" customFormat="false" ht="15" hidden="false" customHeight="false" outlineLevel="0" collapsed="false">
      <c r="A61" s="5" t="s">
        <v>832</v>
      </c>
      <c r="B61" s="18" t="n">
        <v>1</v>
      </c>
      <c r="C61" s="18" t="n">
        <v>0</v>
      </c>
      <c r="D61" s="13"/>
    </row>
    <row r="62" customFormat="false" ht="15" hidden="false" customHeight="false" outlineLevel="0" collapsed="false">
      <c r="A62" s="5" t="s">
        <v>833</v>
      </c>
      <c r="B62" s="18" t="n">
        <v>2</v>
      </c>
      <c r="C62" s="18" t="n">
        <v>0</v>
      </c>
      <c r="D62" s="13"/>
    </row>
    <row r="63" customFormat="false" ht="15" hidden="false" customHeight="false" outlineLevel="0" collapsed="false">
      <c r="A63" s="5" t="s">
        <v>834</v>
      </c>
      <c r="B63" s="18" t="n">
        <v>1</v>
      </c>
      <c r="C63" s="18" t="n">
        <v>0</v>
      </c>
      <c r="D63" s="13"/>
    </row>
    <row r="64" customFormat="false" ht="15" hidden="false" customHeight="false" outlineLevel="0" collapsed="false">
      <c r="A64" s="5" t="s">
        <v>835</v>
      </c>
      <c r="B64" s="18" t="n">
        <v>1</v>
      </c>
      <c r="C64" s="18" t="n">
        <v>0</v>
      </c>
      <c r="D64" s="13"/>
    </row>
    <row r="65" customFormat="false" ht="15" hidden="false" customHeight="false" outlineLevel="0" collapsed="false">
      <c r="A65" s="5" t="s">
        <v>836</v>
      </c>
      <c r="B65" s="18" t="n">
        <v>5</v>
      </c>
      <c r="C65" s="18" t="n">
        <v>0</v>
      </c>
      <c r="D65" s="13" t="s">
        <v>835</v>
      </c>
    </row>
    <row r="66" customFormat="false" ht="15" hidden="false" customHeight="false" outlineLevel="0" collapsed="false">
      <c r="A66" s="5" t="s">
        <v>837</v>
      </c>
      <c r="B66" s="18" t="n">
        <v>1</v>
      </c>
      <c r="C66" s="18" t="n">
        <v>0</v>
      </c>
      <c r="D66" s="13"/>
    </row>
    <row r="67" customFormat="false" ht="15" hidden="false" customHeight="false" outlineLevel="0" collapsed="false">
      <c r="A67" s="21" t="s">
        <v>145</v>
      </c>
      <c r="B67" s="23" t="n">
        <f aca="false">SUM(B5:B66)</f>
        <v>170</v>
      </c>
      <c r="C67" s="23" t="n">
        <f aca="false">SUM(C5:C66)</f>
        <v>14</v>
      </c>
      <c r="D67" s="21" t="str">
        <f aca="false">COUNTA(A5:A66)&amp;" teams"</f>
        <v>62 teams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838</v>
      </c>
    </row>
    <row r="2" customFormat="false" ht="15" hidden="false" customHeight="false" outlineLevel="0" collapsed="false">
      <c r="A2" s="2" t="s">
        <v>839</v>
      </c>
    </row>
    <row r="4" customFormat="false" ht="30" hidden="false" customHeight="true" outlineLevel="0" collapsed="false">
      <c r="A4" s="4" t="s">
        <v>840</v>
      </c>
      <c r="B4" s="4" t="s">
        <v>148</v>
      </c>
      <c r="C4" s="4" t="s">
        <v>60</v>
      </c>
      <c r="D4" s="4" t="s">
        <v>61</v>
      </c>
      <c r="E4" s="4" t="s">
        <v>59</v>
      </c>
      <c r="F4" s="4" t="s">
        <v>9</v>
      </c>
      <c r="G4" s="4" t="s">
        <v>11</v>
      </c>
      <c r="H4" s="4" t="s">
        <v>12</v>
      </c>
      <c r="I4" s="4" t="s">
        <v>841</v>
      </c>
      <c r="J4" s="4" t="s">
        <v>31</v>
      </c>
      <c r="K4" s="4" t="s">
        <v>65</v>
      </c>
      <c r="L4" s="4" t="s">
        <v>842</v>
      </c>
      <c r="M4" s="4" t="s">
        <v>66</v>
      </c>
      <c r="N4" s="4" t="s">
        <v>843</v>
      </c>
    </row>
    <row r="5" customFormat="false" ht="15" hidden="false" customHeight="false" outlineLevel="0" collapsed="false">
      <c r="A5" s="13" t="s">
        <v>844</v>
      </c>
      <c r="B5" s="13" t="s">
        <v>845</v>
      </c>
      <c r="C5" s="13" t="s">
        <v>846</v>
      </c>
      <c r="D5" s="13" t="s">
        <v>229</v>
      </c>
      <c r="E5" s="13"/>
      <c r="F5" s="18" t="n">
        <v>576</v>
      </c>
      <c r="G5" s="19" t="n">
        <v>0.311</v>
      </c>
      <c r="H5" s="19" t="n">
        <v>0.028</v>
      </c>
      <c r="I5" s="18" t="n">
        <f aca="false">ROUND(F5*H5,0)</f>
        <v>16</v>
      </c>
      <c r="J5" s="18" t="n">
        <v>3</v>
      </c>
      <c r="K5" s="20" t="n">
        <f aca="false">IF(F5=0,0,J5/F5)</f>
        <v>0.00520833333333333</v>
      </c>
      <c r="L5" s="18" t="n">
        <v>32</v>
      </c>
      <c r="M5" s="19" t="n">
        <f aca="false">IF(F5+L5=0,0,L5/(F5+L5))</f>
        <v>0.0526315789473684</v>
      </c>
      <c r="N5" s="26" t="s">
        <v>847</v>
      </c>
    </row>
    <row r="6" customFormat="false" ht="15" hidden="false" customHeight="false" outlineLevel="0" collapsed="false">
      <c r="A6" s="13" t="s">
        <v>848</v>
      </c>
      <c r="B6" s="13" t="s">
        <v>845</v>
      </c>
      <c r="C6" s="13" t="s">
        <v>111</v>
      </c>
      <c r="D6" s="13" t="s">
        <v>112</v>
      </c>
      <c r="E6" s="13" t="s">
        <v>110</v>
      </c>
      <c r="F6" s="18" t="n">
        <v>618</v>
      </c>
      <c r="G6" s="19" t="n">
        <v>0.12</v>
      </c>
      <c r="H6" s="19" t="n">
        <v>0.06</v>
      </c>
      <c r="I6" s="18" t="n">
        <f aca="false">ROUND(F6*H6,0)</f>
        <v>37</v>
      </c>
      <c r="J6" s="18" t="n">
        <v>0</v>
      </c>
      <c r="K6" s="20" t="n">
        <f aca="false">IF(F6=0,0,J6/F6)</f>
        <v>0</v>
      </c>
      <c r="L6" s="18" t="n">
        <v>1</v>
      </c>
      <c r="M6" s="19" t="n">
        <f aca="false">IF(F6+L6=0,0,L6/(F6+L6))</f>
        <v>0.00161550888529887</v>
      </c>
      <c r="N6" s="26" t="s">
        <v>847</v>
      </c>
    </row>
    <row r="7" customFormat="false" ht="15" hidden="false" customHeight="false" outlineLevel="0" collapsed="false">
      <c r="A7" s="13" t="s">
        <v>849</v>
      </c>
      <c r="B7" s="13" t="s">
        <v>845</v>
      </c>
      <c r="C7" s="13" t="s">
        <v>850</v>
      </c>
      <c r="D7" s="13" t="s">
        <v>131</v>
      </c>
      <c r="E7" s="13"/>
      <c r="F7" s="18" t="n">
        <v>124</v>
      </c>
      <c r="G7" s="19" t="n">
        <v>0.452</v>
      </c>
      <c r="H7" s="19" t="n">
        <v>0.008</v>
      </c>
      <c r="I7" s="18" t="n">
        <f aca="false">ROUND(F7*H7,0)</f>
        <v>1</v>
      </c>
      <c r="J7" s="18" t="n">
        <v>0</v>
      </c>
      <c r="K7" s="20" t="n">
        <f aca="false">IF(F7=0,0,J7/F7)</f>
        <v>0</v>
      </c>
      <c r="L7" s="18" t="n">
        <v>0</v>
      </c>
      <c r="M7" s="19" t="n">
        <f aca="false">IF(F7+L7=0,0,L7/(F7+L7))</f>
        <v>0</v>
      </c>
      <c r="N7" s="26" t="s">
        <v>847</v>
      </c>
    </row>
    <row r="8" customFormat="false" ht="15" hidden="false" customHeight="false" outlineLevel="0" collapsed="false">
      <c r="A8" s="13" t="s">
        <v>851</v>
      </c>
      <c r="B8" s="13" t="s">
        <v>845</v>
      </c>
      <c r="C8" s="13" t="s">
        <v>75</v>
      </c>
      <c r="D8" s="13" t="s">
        <v>72</v>
      </c>
      <c r="E8" s="13" t="s">
        <v>74</v>
      </c>
      <c r="F8" s="18" t="n">
        <v>6415</v>
      </c>
      <c r="G8" s="19" t="n">
        <v>0.261</v>
      </c>
      <c r="H8" s="19" t="n">
        <v>0.009</v>
      </c>
      <c r="I8" s="18" t="n">
        <f aca="false">ROUND(F8*H8,0)</f>
        <v>58</v>
      </c>
      <c r="J8" s="18" t="n">
        <v>56</v>
      </c>
      <c r="K8" s="20" t="n">
        <f aca="false">IF(F8=0,0,J8/F8)</f>
        <v>0.00872954014029618</v>
      </c>
      <c r="L8" s="18" t="n">
        <v>38</v>
      </c>
      <c r="M8" s="19" t="n">
        <f aca="false">IF(F8+L8=0,0,L8/(F8+L8))</f>
        <v>0.00588873392220673</v>
      </c>
      <c r="N8" s="26" t="s">
        <v>847</v>
      </c>
    </row>
    <row r="9" customFormat="false" ht="15" hidden="false" customHeight="false" outlineLevel="0" collapsed="false">
      <c r="A9" s="13" t="s">
        <v>852</v>
      </c>
      <c r="B9" s="13" t="s">
        <v>845</v>
      </c>
      <c r="C9" s="13" t="s">
        <v>104</v>
      </c>
      <c r="D9" s="13" t="s">
        <v>104</v>
      </c>
      <c r="E9" s="13" t="s">
        <v>103</v>
      </c>
      <c r="F9" s="18" t="n">
        <v>1108</v>
      </c>
      <c r="G9" s="19" t="n">
        <v>0.428</v>
      </c>
      <c r="H9" s="19" t="n">
        <v>0.057</v>
      </c>
      <c r="I9" s="18" t="n">
        <f aca="false">ROUND(F9*H9,0)</f>
        <v>63</v>
      </c>
      <c r="J9" s="18" t="n">
        <v>0</v>
      </c>
      <c r="K9" s="20" t="n">
        <f aca="false">IF(F9=0,0,J9/F9)</f>
        <v>0</v>
      </c>
      <c r="L9" s="18" t="n">
        <v>1</v>
      </c>
      <c r="M9" s="19" t="n">
        <f aca="false">IF(F9+L9=0,0,L9/(F9+L9))</f>
        <v>0.000901713255184851</v>
      </c>
      <c r="N9" s="26" t="s">
        <v>847</v>
      </c>
    </row>
    <row r="10" customFormat="false" ht="15" hidden="false" customHeight="false" outlineLevel="0" collapsed="false">
      <c r="A10" s="13" t="s">
        <v>853</v>
      </c>
      <c r="B10" s="13" t="s">
        <v>845</v>
      </c>
      <c r="C10" s="13" t="s">
        <v>854</v>
      </c>
      <c r="D10" s="13" t="s">
        <v>131</v>
      </c>
      <c r="E10" s="13"/>
      <c r="F10" s="18" t="n">
        <v>958</v>
      </c>
      <c r="G10" s="19" t="n">
        <v>0.31</v>
      </c>
      <c r="H10" s="19" t="n">
        <v>0.082</v>
      </c>
      <c r="I10" s="18" t="n">
        <f aca="false">ROUND(F10*H10,0)</f>
        <v>79</v>
      </c>
      <c r="J10" s="18" t="n">
        <v>4</v>
      </c>
      <c r="K10" s="20" t="n">
        <f aca="false">IF(F10=0,0,J10/F10)</f>
        <v>0.00417536534446764</v>
      </c>
      <c r="L10" s="18" t="n">
        <v>16</v>
      </c>
      <c r="M10" s="19" t="n">
        <f aca="false">IF(F10+L10=0,0,L10/(F10+L10))</f>
        <v>0.0164271047227926</v>
      </c>
      <c r="N10" s="26" t="s">
        <v>847</v>
      </c>
    </row>
    <row r="11" customFormat="false" ht="15" hidden="false" customHeight="false" outlineLevel="0" collapsed="false">
      <c r="A11" s="13" t="s">
        <v>855</v>
      </c>
      <c r="B11" s="13" t="s">
        <v>845</v>
      </c>
      <c r="C11" s="13" t="s">
        <v>850</v>
      </c>
      <c r="D11" s="13" t="s">
        <v>131</v>
      </c>
      <c r="E11" s="13"/>
      <c r="F11" s="18" t="n">
        <v>124</v>
      </c>
      <c r="G11" s="19" t="n">
        <v>0.653</v>
      </c>
      <c r="H11" s="19" t="n">
        <v>0.016</v>
      </c>
      <c r="I11" s="18" t="n">
        <f aca="false">ROUND(F11*H11,0)</f>
        <v>2</v>
      </c>
      <c r="J11" s="18" t="n">
        <v>0</v>
      </c>
      <c r="K11" s="20" t="n">
        <f aca="false">IF(F11=0,0,J11/F11)</f>
        <v>0</v>
      </c>
      <c r="L11" s="18" t="n">
        <v>0</v>
      </c>
      <c r="M11" s="19" t="n">
        <f aca="false">IF(F11+L11=0,0,L11/(F11+L11))</f>
        <v>0</v>
      </c>
      <c r="N11" s="26" t="s">
        <v>847</v>
      </c>
    </row>
    <row r="12" customFormat="false" ht="15" hidden="false" customHeight="false" outlineLevel="0" collapsed="false">
      <c r="A12" s="13" t="s">
        <v>856</v>
      </c>
      <c r="B12" s="13" t="s">
        <v>857</v>
      </c>
      <c r="C12" s="13" t="s">
        <v>78</v>
      </c>
      <c r="D12" s="13" t="s">
        <v>79</v>
      </c>
      <c r="E12" s="13" t="s">
        <v>77</v>
      </c>
      <c r="F12" s="18" t="n">
        <v>7029</v>
      </c>
      <c r="G12" s="19" t="n">
        <v>0.178</v>
      </c>
      <c r="H12" s="19" t="n">
        <v>0.03</v>
      </c>
      <c r="I12" s="18" t="n">
        <f aca="false">ROUND(F12*H12,0)</f>
        <v>211</v>
      </c>
      <c r="J12" s="18" t="n">
        <v>29</v>
      </c>
      <c r="K12" s="20" t="n">
        <f aca="false">IF(F12=0,0,J12/F12)</f>
        <v>0.00412576468914497</v>
      </c>
      <c r="L12" s="18" t="n">
        <v>34</v>
      </c>
      <c r="M12" s="19" t="n">
        <f aca="false">IF(F12+L12=0,0,L12/(F12+L12))</f>
        <v>0.00481381849072632</v>
      </c>
      <c r="N12" s="26" t="s">
        <v>847</v>
      </c>
    </row>
    <row r="13" customFormat="false" ht="15" hidden="false" customHeight="false" outlineLevel="0" collapsed="false">
      <c r="A13" s="13" t="s">
        <v>858</v>
      </c>
      <c r="B13" s="13" t="s">
        <v>857</v>
      </c>
      <c r="C13" s="13" t="s">
        <v>82</v>
      </c>
      <c r="D13" s="13" t="s">
        <v>72</v>
      </c>
      <c r="E13" s="13" t="s">
        <v>81</v>
      </c>
      <c r="F13" s="18" t="n">
        <v>4698</v>
      </c>
      <c r="G13" s="19" t="n">
        <v>0.245</v>
      </c>
      <c r="H13" s="19" t="n">
        <v>0.026</v>
      </c>
      <c r="I13" s="18" t="n">
        <f aca="false">ROUND(F13*H13,0)</f>
        <v>122</v>
      </c>
      <c r="J13" s="18" t="n">
        <v>28</v>
      </c>
      <c r="K13" s="20" t="n">
        <f aca="false">IF(F13=0,0,J13/F13)</f>
        <v>0.00595998297147722</v>
      </c>
      <c r="L13" s="18" t="n">
        <v>38</v>
      </c>
      <c r="M13" s="19" t="n">
        <f aca="false">IF(F13+L13=0,0,L13/(F13+L13))</f>
        <v>0.00802364864864865</v>
      </c>
      <c r="N13" s="26" t="s">
        <v>847</v>
      </c>
    </row>
    <row r="14" customFormat="false" ht="15" hidden="false" customHeight="false" outlineLevel="0" collapsed="false">
      <c r="A14" s="13" t="s">
        <v>859</v>
      </c>
      <c r="B14" s="13" t="s">
        <v>857</v>
      </c>
      <c r="C14" s="13" t="s">
        <v>122</v>
      </c>
      <c r="D14" s="13" t="s">
        <v>219</v>
      </c>
      <c r="E14" s="13" t="s">
        <v>121</v>
      </c>
      <c r="F14" s="18" t="n">
        <v>114</v>
      </c>
      <c r="G14" s="19" t="n">
        <v>0.254</v>
      </c>
      <c r="H14" s="19" t="n">
        <v>0.026</v>
      </c>
      <c r="I14" s="18" t="n">
        <f aca="false">ROUND(F14*H14,0)</f>
        <v>3</v>
      </c>
      <c r="J14" s="18" t="n">
        <v>0</v>
      </c>
      <c r="K14" s="20" t="n">
        <f aca="false">IF(F14=0,0,J14/F14)</f>
        <v>0</v>
      </c>
      <c r="L14" s="18" t="n">
        <v>0</v>
      </c>
      <c r="M14" s="19" t="n">
        <f aca="false">IF(F14+L14=0,0,L14/(F14+L14))</f>
        <v>0</v>
      </c>
      <c r="N14" s="26" t="s">
        <v>847</v>
      </c>
    </row>
    <row r="15" customFormat="false" ht="15" hidden="false" customHeight="false" outlineLevel="0" collapsed="false">
      <c r="A15" s="13" t="s">
        <v>860</v>
      </c>
      <c r="B15" s="13" t="s">
        <v>857</v>
      </c>
      <c r="C15" s="13" t="s">
        <v>117</v>
      </c>
      <c r="D15" s="13" t="s">
        <v>72</v>
      </c>
      <c r="E15" s="13"/>
      <c r="F15" s="18" t="n">
        <v>3663</v>
      </c>
      <c r="G15" s="19" t="n">
        <v>0.292</v>
      </c>
      <c r="H15" s="19" t="n">
        <v>0.016</v>
      </c>
      <c r="I15" s="18" t="n">
        <f aca="false">ROUND(F15*H15,0)</f>
        <v>59</v>
      </c>
      <c r="J15" s="18" t="n">
        <v>33</v>
      </c>
      <c r="K15" s="20" t="n">
        <f aca="false">IF(F15=0,0,J15/F15)</f>
        <v>0.00900900900900901</v>
      </c>
      <c r="L15" s="18" t="n">
        <v>65</v>
      </c>
      <c r="M15" s="19" t="n">
        <f aca="false">IF(F15+L15=0,0,L15/(F15+L15))</f>
        <v>0.0174356223175966</v>
      </c>
      <c r="N15" s="26" t="s">
        <v>847</v>
      </c>
    </row>
    <row r="16" customFormat="false" ht="15" hidden="false" customHeight="false" outlineLevel="0" collapsed="false">
      <c r="A16" s="13" t="s">
        <v>861</v>
      </c>
      <c r="B16" s="13" t="s">
        <v>862</v>
      </c>
      <c r="C16" s="13" t="s">
        <v>863</v>
      </c>
      <c r="D16" s="13" t="s">
        <v>131</v>
      </c>
      <c r="E16" s="13"/>
      <c r="F16" s="18" t="n">
        <v>79</v>
      </c>
      <c r="G16" s="19" t="n">
        <v>0.544</v>
      </c>
      <c r="H16" s="19" t="n">
        <v>0</v>
      </c>
      <c r="I16" s="18" t="n">
        <f aca="false">ROUND(F16*H16,0)</f>
        <v>0</v>
      </c>
      <c r="J16" s="18" t="n">
        <v>0</v>
      </c>
      <c r="K16" s="20" t="n">
        <f aca="false">IF(F16=0,0,J16/F16)</f>
        <v>0</v>
      </c>
      <c r="L16" s="18" t="n">
        <v>0</v>
      </c>
      <c r="M16" s="19" t="n">
        <f aca="false">IF(F16+L16=0,0,L16/(F16+L16))</f>
        <v>0</v>
      </c>
      <c r="N16" s="26" t="s">
        <v>847</v>
      </c>
    </row>
    <row r="17" customFormat="false" ht="15" hidden="false" customHeight="false" outlineLevel="0" collapsed="false">
      <c r="A17" s="13" t="s">
        <v>864</v>
      </c>
      <c r="B17" s="13" t="s">
        <v>865</v>
      </c>
      <c r="C17" s="13" t="s">
        <v>850</v>
      </c>
      <c r="D17" s="13" t="s">
        <v>131</v>
      </c>
      <c r="E17" s="13"/>
      <c r="F17" s="18" t="n">
        <v>124</v>
      </c>
      <c r="G17" s="19" t="n">
        <v>0.556</v>
      </c>
      <c r="H17" s="19" t="n">
        <v>0.065</v>
      </c>
      <c r="I17" s="18" t="n">
        <f aca="false">ROUND(F17*H17,0)</f>
        <v>8</v>
      </c>
      <c r="J17" s="18" t="n">
        <v>0</v>
      </c>
      <c r="K17" s="20" t="n">
        <f aca="false">IF(F17=0,0,J17/F17)</f>
        <v>0</v>
      </c>
      <c r="L17" s="18" t="n">
        <v>0</v>
      </c>
      <c r="M17" s="19" t="n">
        <f aca="false">IF(F17+L17=0,0,L17/(F17+L17))</f>
        <v>0</v>
      </c>
      <c r="N17" s="26" t="s">
        <v>847</v>
      </c>
    </row>
    <row r="18" customFormat="false" ht="15" hidden="false" customHeight="false" outlineLevel="0" collapsed="false">
      <c r="A18" s="13" t="s">
        <v>866</v>
      </c>
      <c r="B18" s="13" t="s">
        <v>867</v>
      </c>
      <c r="C18" s="13" t="s">
        <v>868</v>
      </c>
      <c r="D18" s="13" t="s">
        <v>131</v>
      </c>
      <c r="E18" s="13"/>
      <c r="F18" s="18" t="n">
        <v>70</v>
      </c>
      <c r="G18" s="19" t="n">
        <v>0.486</v>
      </c>
      <c r="H18" s="19" t="n">
        <v>0.043</v>
      </c>
      <c r="I18" s="18" t="n">
        <f aca="false">ROUND(F18*H18,0)</f>
        <v>3</v>
      </c>
      <c r="J18" s="18" t="n">
        <v>0</v>
      </c>
      <c r="K18" s="20" t="n">
        <f aca="false">IF(F18=0,0,J18/F18)</f>
        <v>0</v>
      </c>
      <c r="L18" s="18" t="n">
        <v>0</v>
      </c>
      <c r="M18" s="19" t="n">
        <f aca="false">IF(F18+L18=0,0,L18/(F18+L18))</f>
        <v>0</v>
      </c>
      <c r="N18" s="26" t="s">
        <v>847</v>
      </c>
    </row>
    <row r="19" customFormat="false" ht="15" hidden="false" customHeight="false" outlineLevel="0" collapsed="false">
      <c r="A19" s="13" t="s">
        <v>869</v>
      </c>
      <c r="B19" s="13" t="s">
        <v>867</v>
      </c>
      <c r="C19" s="13" t="s">
        <v>850</v>
      </c>
      <c r="D19" s="13" t="s">
        <v>131</v>
      </c>
      <c r="E19" s="13"/>
      <c r="F19" s="18" t="n">
        <v>125</v>
      </c>
      <c r="G19" s="19" t="n">
        <v>0.664</v>
      </c>
      <c r="H19" s="19" t="n">
        <v>0.192</v>
      </c>
      <c r="I19" s="18" t="n">
        <f aca="false">ROUND(F19*H19,0)</f>
        <v>24</v>
      </c>
      <c r="J19" s="18" t="n">
        <v>0</v>
      </c>
      <c r="K19" s="20" t="n">
        <f aca="false">IF(F19=0,0,J19/F19)</f>
        <v>0</v>
      </c>
      <c r="L19" s="18" t="n">
        <v>0</v>
      </c>
      <c r="M19" s="19" t="n">
        <f aca="false">IF(F19+L19=0,0,L19/(F19+L19))</f>
        <v>0</v>
      </c>
      <c r="N19" s="26" t="s">
        <v>847</v>
      </c>
    </row>
    <row r="20" customFormat="false" ht="15" hidden="false" customHeight="false" outlineLevel="0" collapsed="false">
      <c r="A20" s="13" t="s">
        <v>870</v>
      </c>
      <c r="B20" s="13" t="s">
        <v>393</v>
      </c>
      <c r="C20" s="13" t="s">
        <v>68</v>
      </c>
      <c r="D20" s="13" t="s">
        <v>67</v>
      </c>
      <c r="E20" s="13" t="s">
        <v>67</v>
      </c>
      <c r="F20" s="18" t="n">
        <v>8611</v>
      </c>
      <c r="G20" s="19" t="n">
        <v>0.359</v>
      </c>
      <c r="H20" s="19" t="n">
        <v>0.007</v>
      </c>
      <c r="I20" s="18" t="n">
        <f aca="false">ROUND(F20*H20,0)</f>
        <v>60</v>
      </c>
      <c r="J20" s="18" t="n">
        <v>122</v>
      </c>
      <c r="K20" s="20" t="n">
        <f aca="false">IF(F20=0,0,J20/F20)</f>
        <v>0.0141679247474161</v>
      </c>
      <c r="L20" s="18" t="n">
        <v>113</v>
      </c>
      <c r="M20" s="19" t="n">
        <f aca="false">IF(F20+L20=0,0,L20/(F20+L20))</f>
        <v>0.0129527739569005</v>
      </c>
      <c r="N20" s="26" t="s">
        <v>847</v>
      </c>
    </row>
    <row r="21" customFormat="false" ht="15" hidden="false" customHeight="false" outlineLevel="0" collapsed="false">
      <c r="A21" s="13" t="s">
        <v>871</v>
      </c>
      <c r="B21" s="13" t="s">
        <v>393</v>
      </c>
      <c r="C21" s="13" t="s">
        <v>872</v>
      </c>
      <c r="D21" s="13" t="s">
        <v>72</v>
      </c>
      <c r="E21" s="13"/>
      <c r="F21" s="18" t="n">
        <v>4295</v>
      </c>
      <c r="G21" s="19" t="n">
        <v>0.276</v>
      </c>
      <c r="H21" s="19" t="n">
        <v>0.02</v>
      </c>
      <c r="I21" s="18" t="n">
        <f aca="false">ROUND(F21*H21,0)</f>
        <v>86</v>
      </c>
      <c r="J21" s="18" t="n">
        <v>26</v>
      </c>
      <c r="K21" s="20" t="n">
        <f aca="false">IF(F21=0,0,J21/F21)</f>
        <v>0.0060535506402794</v>
      </c>
      <c r="L21" s="18" t="n">
        <v>44</v>
      </c>
      <c r="M21" s="19" t="n">
        <f aca="false">IF(F21+L21=0,0,L21/(F21+L21))</f>
        <v>0.0101405853883383</v>
      </c>
      <c r="N21" s="26" t="s">
        <v>847</v>
      </c>
    </row>
    <row r="22" customFormat="false" ht="15" hidden="false" customHeight="false" outlineLevel="0" collapsed="false">
      <c r="A22" s="13" t="s">
        <v>873</v>
      </c>
      <c r="B22" s="13" t="s">
        <v>393</v>
      </c>
      <c r="C22" s="13" t="s">
        <v>850</v>
      </c>
      <c r="D22" s="13" t="s">
        <v>131</v>
      </c>
      <c r="E22" s="13"/>
      <c r="F22" s="18" t="n">
        <v>126</v>
      </c>
      <c r="G22" s="19" t="n">
        <v>0.5</v>
      </c>
      <c r="H22" s="19" t="n">
        <v>0.056</v>
      </c>
      <c r="I22" s="18" t="n">
        <f aca="false">ROUND(F22*H22,0)</f>
        <v>7</v>
      </c>
      <c r="J22" s="18" t="n">
        <v>0</v>
      </c>
      <c r="K22" s="20" t="n">
        <f aca="false">IF(F22=0,0,J22/F22)</f>
        <v>0</v>
      </c>
      <c r="L22" s="18" t="n">
        <v>0</v>
      </c>
      <c r="M22" s="19" t="n">
        <f aca="false">IF(F22+L22=0,0,L22/(F22+L22))</f>
        <v>0</v>
      </c>
      <c r="N22" s="26" t="s">
        <v>847</v>
      </c>
    </row>
    <row r="23" customFormat="false" ht="15" hidden="false" customHeight="false" outlineLevel="0" collapsed="false">
      <c r="A23" s="13" t="s">
        <v>874</v>
      </c>
      <c r="B23" s="13" t="s">
        <v>393</v>
      </c>
      <c r="C23" s="13" t="s">
        <v>92</v>
      </c>
      <c r="D23" s="13" t="s">
        <v>92</v>
      </c>
      <c r="E23" s="13" t="s">
        <v>91</v>
      </c>
      <c r="F23" s="18" t="n">
        <v>2789</v>
      </c>
      <c r="G23" s="19" t="n">
        <v>0.321</v>
      </c>
      <c r="H23" s="19" t="n">
        <v>0.034</v>
      </c>
      <c r="I23" s="18" t="n">
        <f aca="false">ROUND(F23*H23,0)</f>
        <v>95</v>
      </c>
      <c r="J23" s="18" t="n">
        <v>10</v>
      </c>
      <c r="K23" s="20" t="n">
        <f aca="false">IF(F23=0,0,J23/F23)</f>
        <v>0.00358551452133381</v>
      </c>
      <c r="L23" s="18" t="n">
        <v>17</v>
      </c>
      <c r="M23" s="19" t="n">
        <f aca="false">IF(F23+L23=0,0,L23/(F23+L23))</f>
        <v>0.00605844618674269</v>
      </c>
      <c r="N23" s="26" t="s">
        <v>847</v>
      </c>
    </row>
    <row r="24" customFormat="false" ht="15" hidden="false" customHeight="false" outlineLevel="0" collapsed="false">
      <c r="A24" s="13" t="s">
        <v>875</v>
      </c>
      <c r="B24" s="13" t="s">
        <v>395</v>
      </c>
      <c r="C24" s="13" t="s">
        <v>863</v>
      </c>
      <c r="D24" s="13" t="s">
        <v>131</v>
      </c>
      <c r="E24" s="13"/>
      <c r="F24" s="18" t="n">
        <v>79</v>
      </c>
      <c r="G24" s="19" t="n">
        <v>0.544</v>
      </c>
      <c r="H24" s="19" t="n">
        <v>0.215</v>
      </c>
      <c r="I24" s="18" t="n">
        <f aca="false">ROUND(F24*H24,0)</f>
        <v>17</v>
      </c>
      <c r="J24" s="18" t="n">
        <v>0</v>
      </c>
      <c r="K24" s="20" t="n">
        <f aca="false">IF(F24=0,0,J24/F24)</f>
        <v>0</v>
      </c>
      <c r="L24" s="18" t="n">
        <v>0</v>
      </c>
      <c r="M24" s="19" t="n">
        <f aca="false">IF(F24+L24=0,0,L24/(F24+L24))</f>
        <v>0</v>
      </c>
      <c r="N24" s="26" t="s">
        <v>847</v>
      </c>
    </row>
    <row r="25" customFormat="false" ht="15" hidden="false" customHeight="false" outlineLevel="0" collapsed="false">
      <c r="A25" s="13" t="s">
        <v>876</v>
      </c>
      <c r="B25" s="13" t="s">
        <v>395</v>
      </c>
      <c r="C25" s="13" t="s">
        <v>850</v>
      </c>
      <c r="D25" s="13" t="s">
        <v>131</v>
      </c>
      <c r="E25" s="13"/>
      <c r="F25" s="18" t="n">
        <v>126</v>
      </c>
      <c r="G25" s="19" t="n">
        <v>0.563</v>
      </c>
      <c r="H25" s="19" t="n">
        <v>0.016</v>
      </c>
      <c r="I25" s="18" t="n">
        <f aca="false">ROUND(F25*H25,0)</f>
        <v>2</v>
      </c>
      <c r="J25" s="18" t="n">
        <v>0</v>
      </c>
      <c r="K25" s="20" t="n">
        <f aca="false">IF(F25=0,0,J25/F25)</f>
        <v>0</v>
      </c>
      <c r="L25" s="18" t="n">
        <v>0</v>
      </c>
      <c r="M25" s="19" t="n">
        <f aca="false">IF(F25+L25=0,0,L25/(F25+L25))</f>
        <v>0</v>
      </c>
      <c r="N25" s="26" t="s">
        <v>847</v>
      </c>
    </row>
    <row r="26" customFormat="false" ht="15" hidden="false" customHeight="false" outlineLevel="0" collapsed="false">
      <c r="A26" s="13" t="s">
        <v>877</v>
      </c>
      <c r="B26" s="13" t="s">
        <v>153</v>
      </c>
      <c r="C26" s="13" t="s">
        <v>98</v>
      </c>
      <c r="D26" s="13" t="s">
        <v>72</v>
      </c>
      <c r="E26" s="13" t="s">
        <v>97</v>
      </c>
      <c r="F26" s="18" t="n">
        <v>1430</v>
      </c>
      <c r="G26" s="19" t="n">
        <v>0.414</v>
      </c>
      <c r="H26" s="19" t="n">
        <v>0.013</v>
      </c>
      <c r="I26" s="18" t="n">
        <f aca="false">ROUND(F26*H26,0)</f>
        <v>19</v>
      </c>
      <c r="J26" s="18" t="n">
        <v>8</v>
      </c>
      <c r="K26" s="20" t="n">
        <f aca="false">IF(F26=0,0,J26/F26)</f>
        <v>0.00559440559440559</v>
      </c>
      <c r="L26" s="18" t="n">
        <v>10</v>
      </c>
      <c r="M26" s="19" t="n">
        <f aca="false">IF(F26+L26=0,0,L26/(F26+L26))</f>
        <v>0.00694444444444444</v>
      </c>
      <c r="N26" s="26" t="s">
        <v>847</v>
      </c>
    </row>
    <row r="27" customFormat="false" ht="15" hidden="false" customHeight="false" outlineLevel="0" collapsed="false">
      <c r="A27" s="13" t="s">
        <v>877</v>
      </c>
      <c r="B27" s="13" t="s">
        <v>153</v>
      </c>
      <c r="C27" s="13" t="s">
        <v>98</v>
      </c>
      <c r="D27" s="13" t="s">
        <v>72</v>
      </c>
      <c r="E27" s="13" t="s">
        <v>97</v>
      </c>
      <c r="F27" s="18" t="n">
        <v>1430</v>
      </c>
      <c r="G27" s="19" t="n">
        <v>0.414</v>
      </c>
      <c r="H27" s="19" t="n">
        <v>0.013</v>
      </c>
      <c r="I27" s="18" t="n">
        <f aca="false">ROUND(F27*H27,0)</f>
        <v>19</v>
      </c>
      <c r="J27" s="18" t="n">
        <v>8</v>
      </c>
      <c r="K27" s="20" t="n">
        <f aca="false">IF(F27=0,0,J27/F27)</f>
        <v>0.00559440559440559</v>
      </c>
      <c r="L27" s="18" t="n">
        <v>10</v>
      </c>
      <c r="M27" s="19" t="n">
        <f aca="false">IF(F27+L27=0,0,L27/(F27+L27))</f>
        <v>0.00694444444444444</v>
      </c>
      <c r="N27" s="26" t="s">
        <v>878</v>
      </c>
    </row>
    <row r="28" customFormat="false" ht="15" hidden="false" customHeight="false" outlineLevel="0" collapsed="false">
      <c r="A28" s="13" t="s">
        <v>152</v>
      </c>
      <c r="B28" s="13" t="s">
        <v>153</v>
      </c>
      <c r="C28" s="13" t="s">
        <v>104</v>
      </c>
      <c r="D28" s="13" t="s">
        <v>104</v>
      </c>
      <c r="E28" s="13"/>
      <c r="F28" s="18" t="n">
        <v>38385</v>
      </c>
      <c r="G28" s="19" t="n">
        <v>0.229</v>
      </c>
      <c r="H28" s="19" t="n">
        <v>0.003</v>
      </c>
      <c r="I28" s="18" t="n">
        <f aca="false">ROUND(F28*H28,0)</f>
        <v>115</v>
      </c>
      <c r="J28" s="18" t="n">
        <v>735</v>
      </c>
      <c r="K28" s="20" t="n">
        <f aca="false">IF(F28=0,0,J28/F28)</f>
        <v>0.0191481047284095</v>
      </c>
      <c r="L28" s="18" t="n">
        <v>3576</v>
      </c>
      <c r="M28" s="19" t="n">
        <f aca="false">IF(F28+L28=0,0,L28/(F28+L28))</f>
        <v>0.0852219918495746</v>
      </c>
      <c r="N28" s="26" t="s">
        <v>847</v>
      </c>
    </row>
    <row r="29" customFormat="false" ht="15" hidden="false" customHeight="false" outlineLevel="0" collapsed="false">
      <c r="A29" s="13" t="s">
        <v>879</v>
      </c>
      <c r="B29" s="13" t="s">
        <v>153</v>
      </c>
      <c r="C29" s="13" t="s">
        <v>846</v>
      </c>
      <c r="D29" s="13" t="s">
        <v>229</v>
      </c>
      <c r="E29" s="13"/>
      <c r="F29" s="18" t="n">
        <v>1545</v>
      </c>
      <c r="G29" s="19" t="n">
        <v>0.35</v>
      </c>
      <c r="H29" s="19" t="n">
        <v>0.015</v>
      </c>
      <c r="I29" s="18" t="n">
        <f aca="false">ROUND(F29*H29,0)</f>
        <v>23</v>
      </c>
      <c r="J29" s="18" t="n">
        <v>25</v>
      </c>
      <c r="K29" s="20" t="n">
        <f aca="false">IF(F29=0,0,J29/F29)</f>
        <v>0.0161812297734628</v>
      </c>
      <c r="L29" s="18" t="n">
        <v>48</v>
      </c>
      <c r="M29" s="19" t="n">
        <f aca="false">IF(F29+L29=0,0,L29/(F29+L29))</f>
        <v>0.0301318267419962</v>
      </c>
      <c r="N29" s="26" t="s">
        <v>847</v>
      </c>
    </row>
    <row r="30" customFormat="false" ht="15" hidden="false" customHeight="false" outlineLevel="0" collapsed="false">
      <c r="A30" s="13" t="s">
        <v>880</v>
      </c>
      <c r="B30" s="13" t="s">
        <v>881</v>
      </c>
      <c r="C30" s="13" t="s">
        <v>882</v>
      </c>
      <c r="D30" s="13" t="s">
        <v>131</v>
      </c>
      <c r="E30" s="13"/>
      <c r="F30" s="18" t="n">
        <v>108</v>
      </c>
      <c r="G30" s="19" t="n">
        <v>0.472</v>
      </c>
      <c r="H30" s="19" t="n">
        <v>0.028</v>
      </c>
      <c r="I30" s="18" t="n">
        <f aca="false">ROUND(F30*H30,0)</f>
        <v>3</v>
      </c>
      <c r="J30" s="18" t="n">
        <v>0</v>
      </c>
      <c r="K30" s="20" t="n">
        <f aca="false">IF(F30=0,0,J30/F30)</f>
        <v>0</v>
      </c>
      <c r="L30" s="18" t="n">
        <v>1</v>
      </c>
      <c r="M30" s="19" t="n">
        <f aca="false">IF(F30+L30=0,0,L30/(F30+L30))</f>
        <v>0.00917431192660551</v>
      </c>
      <c r="N30" s="26" t="s">
        <v>847</v>
      </c>
    </row>
    <row r="31" customFormat="false" ht="15" hidden="false" customHeight="false" outlineLevel="0" collapsed="false">
      <c r="A31" s="13" t="s">
        <v>883</v>
      </c>
      <c r="B31" s="13" t="s">
        <v>881</v>
      </c>
      <c r="C31" s="13" t="s">
        <v>882</v>
      </c>
      <c r="D31" s="13" t="s">
        <v>131</v>
      </c>
      <c r="E31" s="13"/>
      <c r="F31" s="18" t="n">
        <v>72</v>
      </c>
      <c r="G31" s="19" t="n">
        <v>0.653</v>
      </c>
      <c r="H31" s="19" t="n">
        <v>0.208</v>
      </c>
      <c r="I31" s="18" t="n">
        <f aca="false">ROUND(F31*H31,0)</f>
        <v>15</v>
      </c>
      <c r="J31" s="18" t="n">
        <v>0</v>
      </c>
      <c r="K31" s="20" t="n">
        <f aca="false">IF(F31=0,0,J31/F31)</f>
        <v>0</v>
      </c>
      <c r="L31" s="18" t="n">
        <v>0</v>
      </c>
      <c r="M31" s="19" t="n">
        <f aca="false">IF(F31+L31=0,0,L31/(F31+L31))</f>
        <v>0</v>
      </c>
      <c r="N31" s="26" t="s">
        <v>847</v>
      </c>
    </row>
    <row r="32" customFormat="false" ht="15" hidden="false" customHeight="false" outlineLevel="0" collapsed="false">
      <c r="A32" s="13" t="s">
        <v>884</v>
      </c>
      <c r="B32" s="13" t="s">
        <v>881</v>
      </c>
      <c r="C32" s="13" t="s">
        <v>71</v>
      </c>
      <c r="D32" s="13" t="s">
        <v>72</v>
      </c>
      <c r="E32" s="13" t="s">
        <v>70</v>
      </c>
      <c r="F32" s="18" t="n">
        <v>7259</v>
      </c>
      <c r="G32" s="19" t="n">
        <v>0.263</v>
      </c>
      <c r="H32" s="19" t="n">
        <v>0.01</v>
      </c>
      <c r="I32" s="18" t="n">
        <f aca="false">ROUND(F32*H32,0)</f>
        <v>73</v>
      </c>
      <c r="J32" s="18" t="n">
        <v>62</v>
      </c>
      <c r="K32" s="20" t="n">
        <f aca="false">IF(F32=0,0,J32/F32)</f>
        <v>0.00854112136657942</v>
      </c>
      <c r="L32" s="18" t="n">
        <v>100</v>
      </c>
      <c r="M32" s="19" t="n">
        <f aca="false">IF(F32+L32=0,0,L32/(F32+L32))</f>
        <v>0.013588802826471</v>
      </c>
      <c r="N32" s="26" t="s">
        <v>847</v>
      </c>
    </row>
    <row r="33" customFormat="false" ht="15" hidden="false" customHeight="false" outlineLevel="0" collapsed="false">
      <c r="A33" s="13" t="s">
        <v>885</v>
      </c>
      <c r="B33" s="13" t="s">
        <v>886</v>
      </c>
      <c r="C33" s="13" t="s">
        <v>104</v>
      </c>
      <c r="D33" s="13" t="s">
        <v>104</v>
      </c>
      <c r="E33" s="13" t="s">
        <v>103</v>
      </c>
      <c r="F33" s="18" t="n">
        <v>887</v>
      </c>
      <c r="G33" s="19" t="n">
        <v>0.263</v>
      </c>
      <c r="H33" s="19" t="n">
        <v>0.061</v>
      </c>
      <c r="I33" s="18" t="n">
        <f aca="false">ROUND(F33*H33,0)</f>
        <v>54</v>
      </c>
      <c r="J33" s="18" t="n">
        <v>2</v>
      </c>
      <c r="K33" s="20" t="n">
        <f aca="false">IF(F33=0,0,J33/F33)</f>
        <v>0.00225479143179256</v>
      </c>
      <c r="L33" s="18" t="n">
        <v>1</v>
      </c>
      <c r="M33" s="19" t="n">
        <f aca="false">IF(F33+L33=0,0,L33/(F33+L33))</f>
        <v>0.00112612612612613</v>
      </c>
      <c r="N33" s="26" t="s">
        <v>847</v>
      </c>
    </row>
    <row r="34" customFormat="false" ht="15" hidden="false" customHeight="false" outlineLevel="0" collapsed="false">
      <c r="A34" s="13" t="s">
        <v>887</v>
      </c>
      <c r="B34" s="13" t="s">
        <v>886</v>
      </c>
      <c r="C34" s="13" t="s">
        <v>888</v>
      </c>
      <c r="D34" s="13" t="s">
        <v>92</v>
      </c>
      <c r="E34" s="13"/>
      <c r="F34" s="18" t="n">
        <v>44</v>
      </c>
      <c r="G34" s="19" t="n">
        <v>0.455</v>
      </c>
      <c r="H34" s="19" t="n">
        <v>0.114</v>
      </c>
      <c r="I34" s="18" t="n">
        <f aca="false">ROUND(F34*H34,0)</f>
        <v>5</v>
      </c>
      <c r="J34" s="18" t="n">
        <v>0</v>
      </c>
      <c r="K34" s="20" t="n">
        <f aca="false">IF(F34=0,0,J34/F34)</f>
        <v>0</v>
      </c>
      <c r="L34" s="18" t="n">
        <v>0</v>
      </c>
      <c r="M34" s="19" t="n">
        <f aca="false">IF(F34+L34=0,0,L34/(F34+L34))</f>
        <v>0</v>
      </c>
      <c r="N34" s="26" t="s">
        <v>847</v>
      </c>
    </row>
    <row r="35" customFormat="false" ht="15" hidden="false" customHeight="false" outlineLevel="0" collapsed="false">
      <c r="A35" s="13" t="s">
        <v>889</v>
      </c>
      <c r="B35" s="13" t="s">
        <v>886</v>
      </c>
      <c r="C35" s="13" t="s">
        <v>863</v>
      </c>
      <c r="D35" s="13" t="s">
        <v>72</v>
      </c>
      <c r="E35" s="13"/>
      <c r="F35" s="18" t="n">
        <v>9</v>
      </c>
      <c r="G35" s="19" t="n">
        <v>0.889</v>
      </c>
      <c r="H35" s="19" t="n">
        <v>0.556</v>
      </c>
      <c r="I35" s="18" t="n">
        <f aca="false">ROUND(F35*H35,0)</f>
        <v>5</v>
      </c>
      <c r="J35" s="18" t="n">
        <v>0</v>
      </c>
      <c r="K35" s="20" t="n">
        <f aca="false">IF(F35=0,0,J35/F35)</f>
        <v>0</v>
      </c>
      <c r="L35" s="18" t="n">
        <v>0</v>
      </c>
      <c r="M35" s="19" t="n">
        <f aca="false">IF(F35+L35=0,0,L35/(F35+L35))</f>
        <v>0</v>
      </c>
      <c r="N35" s="26" t="s">
        <v>847</v>
      </c>
    </row>
    <row r="36" customFormat="false" ht="15" hidden="false" customHeight="false" outlineLevel="0" collapsed="false">
      <c r="A36" s="13" t="s">
        <v>890</v>
      </c>
      <c r="B36" s="13" t="s">
        <v>891</v>
      </c>
      <c r="C36" s="13" t="s">
        <v>863</v>
      </c>
      <c r="D36" s="13" t="s">
        <v>131</v>
      </c>
      <c r="E36" s="13"/>
      <c r="F36" s="18" t="n">
        <v>90</v>
      </c>
      <c r="G36" s="19" t="n">
        <v>0.333</v>
      </c>
      <c r="H36" s="19" t="n">
        <v>0.089</v>
      </c>
      <c r="I36" s="18" t="n">
        <f aca="false">ROUND(F36*H36,0)</f>
        <v>8</v>
      </c>
      <c r="J36" s="18" t="n">
        <v>0</v>
      </c>
      <c r="K36" s="20" t="n">
        <f aca="false">IF(F36=0,0,J36/F36)</f>
        <v>0</v>
      </c>
      <c r="L36" s="18" t="n">
        <v>1</v>
      </c>
      <c r="M36" s="19" t="n">
        <f aca="false">IF(F36+L36=0,0,L36/(F36+L36))</f>
        <v>0.010989010989011</v>
      </c>
      <c r="N36" s="26" t="s">
        <v>847</v>
      </c>
    </row>
    <row r="37" customFormat="false" ht="15" hidden="false" customHeight="false" outlineLevel="0" collapsed="false">
      <c r="A37" s="13" t="s">
        <v>892</v>
      </c>
      <c r="B37" s="13" t="s">
        <v>891</v>
      </c>
      <c r="C37" s="13" t="s">
        <v>863</v>
      </c>
      <c r="D37" s="13" t="s">
        <v>131</v>
      </c>
      <c r="E37" s="13"/>
      <c r="F37" s="18" t="n">
        <v>73</v>
      </c>
      <c r="G37" s="19" t="n">
        <v>0.466</v>
      </c>
      <c r="H37" s="19" t="n">
        <v>0.11</v>
      </c>
      <c r="I37" s="18" t="n">
        <f aca="false">ROUND(F37*H37,0)</f>
        <v>8</v>
      </c>
      <c r="J37" s="18" t="n">
        <v>0</v>
      </c>
      <c r="K37" s="20" t="n">
        <f aca="false">IF(F37=0,0,J37/F37)</f>
        <v>0</v>
      </c>
      <c r="L37" s="18" t="n">
        <v>0</v>
      </c>
      <c r="M37" s="19" t="n">
        <f aca="false">IF(F37+L37=0,0,L37/(F37+L37))</f>
        <v>0</v>
      </c>
      <c r="N37" s="26" t="s">
        <v>847</v>
      </c>
    </row>
    <row r="38" customFormat="false" ht="15" hidden="false" customHeight="false" outlineLevel="0" collapsed="false">
      <c r="A38" s="13" t="s">
        <v>893</v>
      </c>
      <c r="B38" s="13" t="s">
        <v>891</v>
      </c>
      <c r="C38" s="13" t="s">
        <v>863</v>
      </c>
      <c r="D38" s="13" t="s">
        <v>72</v>
      </c>
      <c r="E38" s="13"/>
      <c r="F38" s="18" t="n">
        <v>9</v>
      </c>
      <c r="G38" s="19" t="n">
        <v>0.889</v>
      </c>
      <c r="H38" s="19" t="n">
        <v>0.778</v>
      </c>
      <c r="I38" s="18" t="n">
        <f aca="false">ROUND(F38*H38,0)</f>
        <v>7</v>
      </c>
      <c r="J38" s="18" t="n">
        <v>0</v>
      </c>
      <c r="K38" s="20" t="n">
        <f aca="false">IF(F38=0,0,J38/F38)</f>
        <v>0</v>
      </c>
      <c r="L38" s="18" t="n">
        <v>0</v>
      </c>
      <c r="M38" s="19" t="n">
        <f aca="false">IF(F38+L38=0,0,L38/(F38+L38))</f>
        <v>0</v>
      </c>
      <c r="N38" s="26" t="s">
        <v>847</v>
      </c>
    </row>
    <row r="39" customFormat="false" ht="15" hidden="false" customHeight="false" outlineLevel="0" collapsed="false">
      <c r="A39" s="13" t="s">
        <v>894</v>
      </c>
      <c r="B39" s="13" t="s">
        <v>891</v>
      </c>
      <c r="C39" s="13" t="s">
        <v>850</v>
      </c>
      <c r="D39" s="13" t="s">
        <v>131</v>
      </c>
      <c r="E39" s="13"/>
      <c r="F39" s="18" t="n">
        <v>123</v>
      </c>
      <c r="G39" s="19" t="n">
        <v>0.504</v>
      </c>
      <c r="H39" s="19" t="n">
        <v>0.057</v>
      </c>
      <c r="I39" s="18" t="n">
        <f aca="false">ROUND(F39*H39,0)</f>
        <v>7</v>
      </c>
      <c r="J39" s="18" t="n">
        <v>0</v>
      </c>
      <c r="K39" s="20" t="n">
        <f aca="false">IF(F39=0,0,J39/F39)</f>
        <v>0</v>
      </c>
      <c r="L39" s="18" t="n">
        <v>0</v>
      </c>
      <c r="M39" s="19" t="n">
        <f aca="false">IF(F39+L39=0,0,L39/(F39+L39))</f>
        <v>0</v>
      </c>
      <c r="N39" s="26" t="s">
        <v>847</v>
      </c>
    </row>
    <row r="40" customFormat="false" ht="15" hidden="false" customHeight="false" outlineLevel="0" collapsed="false">
      <c r="A40" s="13" t="s">
        <v>895</v>
      </c>
      <c r="B40" s="13" t="s">
        <v>896</v>
      </c>
      <c r="C40" s="13" t="s">
        <v>126</v>
      </c>
      <c r="D40" s="13" t="s">
        <v>72</v>
      </c>
      <c r="E40" s="13" t="s">
        <v>136</v>
      </c>
      <c r="F40" s="18" t="n">
        <v>7</v>
      </c>
      <c r="G40" s="19" t="n">
        <v>0.857</v>
      </c>
      <c r="H40" s="19" t="n">
        <v>0</v>
      </c>
      <c r="I40" s="18" t="n">
        <f aca="false">ROUND(F40*H40,0)</f>
        <v>0</v>
      </c>
      <c r="J40" s="18" t="n">
        <v>0</v>
      </c>
      <c r="K40" s="20" t="n">
        <f aca="false">IF(F40=0,0,J40/F40)</f>
        <v>0</v>
      </c>
      <c r="L40" s="18" t="n">
        <v>0</v>
      </c>
      <c r="M40" s="19" t="n">
        <f aca="false">IF(F40+L40=0,0,L40/(F40+L40))</f>
        <v>0</v>
      </c>
      <c r="N40" s="26" t="s">
        <v>847</v>
      </c>
    </row>
    <row r="41" customFormat="false" ht="15" hidden="false" customHeight="false" outlineLevel="0" collapsed="false">
      <c r="A41" s="13" t="s">
        <v>897</v>
      </c>
      <c r="B41" s="13" t="s">
        <v>896</v>
      </c>
      <c r="C41" s="13" t="s">
        <v>134</v>
      </c>
      <c r="D41" s="13" t="s">
        <v>79</v>
      </c>
      <c r="E41" s="13"/>
      <c r="F41" s="18" t="n">
        <v>177</v>
      </c>
      <c r="G41" s="19" t="n">
        <v>0.508</v>
      </c>
      <c r="H41" s="19" t="n">
        <v>0.186</v>
      </c>
      <c r="I41" s="18" t="n">
        <f aca="false">ROUND(F41*H41,0)</f>
        <v>33</v>
      </c>
      <c r="J41" s="18" t="n">
        <v>0</v>
      </c>
      <c r="K41" s="20" t="n">
        <f aca="false">IF(F41=0,0,J41/F41)</f>
        <v>0</v>
      </c>
      <c r="L41" s="18" t="n">
        <v>1</v>
      </c>
      <c r="M41" s="19" t="n">
        <f aca="false">IF(F41+L41=0,0,L41/(F41+L41))</f>
        <v>0.00561797752808989</v>
      </c>
      <c r="N41" s="26" t="s">
        <v>847</v>
      </c>
    </row>
    <row r="42" customFormat="false" ht="15" hidden="false" customHeight="false" outlineLevel="0" collapsed="false">
      <c r="A42" s="13" t="s">
        <v>898</v>
      </c>
      <c r="B42" s="13" t="s">
        <v>896</v>
      </c>
      <c r="C42" s="13" t="s">
        <v>850</v>
      </c>
      <c r="D42" s="13" t="s">
        <v>131</v>
      </c>
      <c r="E42" s="13"/>
      <c r="F42" s="18" t="n">
        <v>123</v>
      </c>
      <c r="G42" s="19" t="n">
        <v>0.528</v>
      </c>
      <c r="H42" s="19" t="n">
        <v>0.049</v>
      </c>
      <c r="I42" s="18" t="n">
        <f aca="false">ROUND(F42*H42,0)</f>
        <v>6</v>
      </c>
      <c r="J42" s="18" t="n">
        <v>0</v>
      </c>
      <c r="K42" s="20" t="n">
        <f aca="false">IF(F42=0,0,J42/F42)</f>
        <v>0</v>
      </c>
      <c r="L42" s="18" t="n">
        <v>0</v>
      </c>
      <c r="M42" s="19" t="n">
        <f aca="false">IF(F42+L42=0,0,L42/(F42+L42))</f>
        <v>0</v>
      </c>
      <c r="N42" s="26" t="s">
        <v>847</v>
      </c>
    </row>
    <row r="43" customFormat="false" ht="15" hidden="false" customHeight="false" outlineLevel="0" collapsed="false">
      <c r="A43" s="13" t="s">
        <v>899</v>
      </c>
      <c r="B43" s="13" t="s">
        <v>896</v>
      </c>
      <c r="C43" s="13" t="s">
        <v>863</v>
      </c>
      <c r="D43" s="13" t="s">
        <v>72</v>
      </c>
      <c r="E43" s="13"/>
      <c r="F43" s="18" t="n">
        <v>8</v>
      </c>
      <c r="G43" s="19" t="n">
        <v>0.875</v>
      </c>
      <c r="H43" s="19" t="n">
        <v>0</v>
      </c>
      <c r="I43" s="18" t="n">
        <f aca="false">ROUND(F43*H43,0)</f>
        <v>0</v>
      </c>
      <c r="J43" s="18" t="n">
        <v>0</v>
      </c>
      <c r="K43" s="20" t="n">
        <f aca="false">IF(F43=0,0,J43/F43)</f>
        <v>0</v>
      </c>
      <c r="L43" s="18" t="n">
        <v>0</v>
      </c>
      <c r="M43" s="19" t="n">
        <f aca="false">IF(F43+L43=0,0,L43/(F43+L43))</f>
        <v>0</v>
      </c>
      <c r="N43" s="26" t="s">
        <v>847</v>
      </c>
    </row>
    <row r="44" customFormat="false" ht="15" hidden="false" customHeight="false" outlineLevel="0" collapsed="false">
      <c r="A44" s="13" t="s">
        <v>900</v>
      </c>
      <c r="B44" s="13" t="s">
        <v>896</v>
      </c>
      <c r="C44" s="13" t="s">
        <v>863</v>
      </c>
      <c r="D44" s="13" t="s">
        <v>131</v>
      </c>
      <c r="E44" s="13"/>
      <c r="F44" s="18" t="n">
        <v>12</v>
      </c>
      <c r="G44" s="19" t="n">
        <v>0.917</v>
      </c>
      <c r="H44" s="19" t="n">
        <v>0.167</v>
      </c>
      <c r="I44" s="18" t="n">
        <f aca="false">ROUND(F44*H44,0)</f>
        <v>2</v>
      </c>
      <c r="J44" s="18" t="n">
        <v>0</v>
      </c>
      <c r="K44" s="20" t="n">
        <f aca="false">IF(F44=0,0,J44/F44)</f>
        <v>0</v>
      </c>
      <c r="L44" s="18" t="n">
        <v>0</v>
      </c>
      <c r="M44" s="19" t="n">
        <f aca="false">IF(F44+L44=0,0,L44/(F44+L44))</f>
        <v>0</v>
      </c>
      <c r="N44" s="26" t="s">
        <v>847</v>
      </c>
    </row>
    <row r="45" customFormat="false" ht="15" hidden="false" customHeight="false" outlineLevel="0" collapsed="false">
      <c r="A45" s="13" t="s">
        <v>901</v>
      </c>
      <c r="B45" s="13" t="s">
        <v>896</v>
      </c>
      <c r="C45" s="13" t="s">
        <v>863</v>
      </c>
      <c r="D45" s="13" t="s">
        <v>131</v>
      </c>
      <c r="E45" s="13"/>
      <c r="F45" s="18" t="n">
        <v>81</v>
      </c>
      <c r="G45" s="19" t="n">
        <v>0.704</v>
      </c>
      <c r="H45" s="19" t="n">
        <v>0.099</v>
      </c>
      <c r="I45" s="18" t="n">
        <f aca="false">ROUND(F45*H45,0)</f>
        <v>8</v>
      </c>
      <c r="J45" s="18" t="n">
        <v>1</v>
      </c>
      <c r="K45" s="20" t="n">
        <f aca="false">IF(F45=0,0,J45/F45)</f>
        <v>0.0123456790123457</v>
      </c>
      <c r="L45" s="18" t="n">
        <v>1</v>
      </c>
      <c r="M45" s="19" t="n">
        <f aca="false">IF(F45+L45=0,0,L45/(F45+L45))</f>
        <v>0.0121951219512195</v>
      </c>
      <c r="N45" s="26" t="s">
        <v>847</v>
      </c>
    </row>
    <row r="46" customFormat="false" ht="15" hidden="false" customHeight="false" outlineLevel="0" collapsed="false">
      <c r="A46" s="13" t="s">
        <v>902</v>
      </c>
      <c r="B46" s="13" t="s">
        <v>903</v>
      </c>
      <c r="C46" s="13" t="s">
        <v>122</v>
      </c>
      <c r="D46" s="13" t="s">
        <v>219</v>
      </c>
      <c r="E46" s="13" t="s">
        <v>121</v>
      </c>
      <c r="F46" s="18" t="n">
        <v>148</v>
      </c>
      <c r="G46" s="19" t="n">
        <v>0.277</v>
      </c>
      <c r="H46" s="19" t="n">
        <v>0.027</v>
      </c>
      <c r="I46" s="18" t="n">
        <f aca="false">ROUND(F46*H46,0)</f>
        <v>4</v>
      </c>
      <c r="J46" s="18" t="n">
        <v>1</v>
      </c>
      <c r="K46" s="20" t="n">
        <f aca="false">IF(F46=0,0,J46/F46)</f>
        <v>0.00675675675675676</v>
      </c>
      <c r="L46" s="18" t="n">
        <v>0</v>
      </c>
      <c r="M46" s="19" t="n">
        <f aca="false">IF(F46+L46=0,0,L46/(F46+L46))</f>
        <v>0</v>
      </c>
      <c r="N46" s="26" t="s">
        <v>847</v>
      </c>
    </row>
    <row r="47" customFormat="false" ht="15" hidden="false" customHeight="false" outlineLevel="0" collapsed="false">
      <c r="A47" s="13" t="s">
        <v>904</v>
      </c>
      <c r="B47" s="13" t="s">
        <v>903</v>
      </c>
      <c r="C47" s="13" t="s">
        <v>122</v>
      </c>
      <c r="D47" s="13" t="s">
        <v>127</v>
      </c>
      <c r="E47" s="13" t="s">
        <v>121</v>
      </c>
      <c r="F47" s="18" t="n">
        <v>117</v>
      </c>
      <c r="G47" s="19" t="n">
        <v>0.274</v>
      </c>
      <c r="H47" s="19" t="n">
        <v>0.043</v>
      </c>
      <c r="I47" s="18" t="n">
        <f aca="false">ROUND(F47*H47,0)</f>
        <v>5</v>
      </c>
      <c r="J47" s="18" t="n">
        <v>1</v>
      </c>
      <c r="K47" s="20" t="n">
        <f aca="false">IF(F47=0,0,J47/F47)</f>
        <v>0.00854700854700855</v>
      </c>
      <c r="L47" s="18" t="n">
        <v>0</v>
      </c>
      <c r="M47" s="19" t="n">
        <f aca="false">IF(F47+L47=0,0,L47/(F47+L47))</f>
        <v>0</v>
      </c>
      <c r="N47" s="26" t="s">
        <v>847</v>
      </c>
    </row>
    <row r="48" customFormat="false" ht="15" hidden="false" customHeight="false" outlineLevel="0" collapsed="false">
      <c r="A48" s="13" t="s">
        <v>904</v>
      </c>
      <c r="B48" s="13" t="s">
        <v>903</v>
      </c>
      <c r="C48" s="13" t="s">
        <v>122</v>
      </c>
      <c r="D48" s="13" t="s">
        <v>127</v>
      </c>
      <c r="E48" s="13" t="s">
        <v>121</v>
      </c>
      <c r="F48" s="18" t="n">
        <v>117</v>
      </c>
      <c r="G48" s="19" t="n">
        <v>0.274</v>
      </c>
      <c r="H48" s="19" t="n">
        <v>0.043</v>
      </c>
      <c r="I48" s="18" t="n">
        <f aca="false">ROUND(F48*H48,0)</f>
        <v>5</v>
      </c>
      <c r="J48" s="18" t="n">
        <v>1</v>
      </c>
      <c r="K48" s="20" t="n">
        <f aca="false">IF(F48=0,0,J48/F48)</f>
        <v>0.00854700854700855</v>
      </c>
      <c r="L48" s="18" t="n">
        <v>0</v>
      </c>
      <c r="M48" s="19" t="n">
        <f aca="false">IF(F48+L48=0,0,L48/(F48+L48))</f>
        <v>0</v>
      </c>
      <c r="N48" s="26" t="s">
        <v>878</v>
      </c>
    </row>
    <row r="49" customFormat="false" ht="15" hidden="false" customHeight="false" outlineLevel="0" collapsed="false">
      <c r="A49" s="13" t="s">
        <v>905</v>
      </c>
      <c r="B49" s="13" t="s">
        <v>906</v>
      </c>
      <c r="C49" s="13" t="s">
        <v>850</v>
      </c>
      <c r="D49" s="13" t="s">
        <v>131</v>
      </c>
      <c r="E49" s="13"/>
      <c r="F49" s="18" t="n">
        <v>123</v>
      </c>
      <c r="G49" s="19" t="n">
        <v>0.48</v>
      </c>
      <c r="H49" s="19" t="n">
        <v>0.057</v>
      </c>
      <c r="I49" s="18" t="n">
        <f aca="false">ROUND(F49*H49,0)</f>
        <v>7</v>
      </c>
      <c r="J49" s="18" t="n">
        <v>0</v>
      </c>
      <c r="K49" s="20" t="n">
        <f aca="false">IF(F49=0,0,J49/F49)</f>
        <v>0</v>
      </c>
      <c r="L49" s="18" t="n">
        <v>0</v>
      </c>
      <c r="M49" s="19" t="n">
        <f aca="false">IF(F49+L49=0,0,L49/(F49+L49))</f>
        <v>0</v>
      </c>
      <c r="N49" s="26" t="s">
        <v>847</v>
      </c>
    </row>
    <row r="50" customFormat="false" ht="15" hidden="false" customHeight="false" outlineLevel="0" collapsed="false">
      <c r="A50" s="13" t="s">
        <v>907</v>
      </c>
      <c r="B50" s="13" t="s">
        <v>397</v>
      </c>
      <c r="C50" s="13" t="s">
        <v>850</v>
      </c>
      <c r="D50" s="13" t="s">
        <v>131</v>
      </c>
      <c r="E50" s="13"/>
      <c r="F50" s="18" t="n">
        <v>124</v>
      </c>
      <c r="G50" s="19" t="n">
        <v>0.581</v>
      </c>
      <c r="H50" s="19" t="n">
        <v>0.056</v>
      </c>
      <c r="I50" s="18" t="n">
        <f aca="false">ROUND(F50*H50,0)</f>
        <v>7</v>
      </c>
      <c r="J50" s="18" t="n">
        <v>0</v>
      </c>
      <c r="K50" s="20" t="n">
        <f aca="false">IF(F50=0,0,J50/F50)</f>
        <v>0</v>
      </c>
      <c r="L50" s="18" t="n">
        <v>0</v>
      </c>
      <c r="M50" s="19" t="n">
        <f aca="false">IF(F50+L50=0,0,L50/(F50+L50))</f>
        <v>0</v>
      </c>
      <c r="N50" s="26" t="s">
        <v>847</v>
      </c>
    </row>
    <row r="51" customFormat="false" ht="15" hidden="false" customHeight="false" outlineLevel="0" collapsed="false">
      <c r="A51" s="13" t="s">
        <v>908</v>
      </c>
      <c r="B51" s="13" t="s">
        <v>909</v>
      </c>
      <c r="C51" s="13" t="s">
        <v>850</v>
      </c>
      <c r="D51" s="13" t="s">
        <v>131</v>
      </c>
      <c r="E51" s="13"/>
      <c r="F51" s="18" t="n">
        <v>124</v>
      </c>
      <c r="G51" s="19" t="n">
        <v>0.685</v>
      </c>
      <c r="H51" s="19" t="n">
        <v>0.065</v>
      </c>
      <c r="I51" s="18" t="n">
        <f aca="false">ROUND(F51*H51,0)</f>
        <v>8</v>
      </c>
      <c r="J51" s="18" t="n">
        <v>0</v>
      </c>
      <c r="K51" s="20" t="n">
        <f aca="false">IF(F51=0,0,J51/F51)</f>
        <v>0</v>
      </c>
      <c r="L51" s="18" t="n">
        <v>0</v>
      </c>
      <c r="M51" s="19" t="n">
        <f aca="false">IF(F51+L51=0,0,L51/(F51+L51))</f>
        <v>0</v>
      </c>
      <c r="N51" s="26" t="s">
        <v>847</v>
      </c>
    </row>
    <row r="52" customFormat="false" ht="15" hidden="false" customHeight="false" outlineLevel="0" collapsed="false">
      <c r="A52" s="13" t="s">
        <v>910</v>
      </c>
      <c r="B52" s="13" t="s">
        <v>909</v>
      </c>
      <c r="C52" s="13" t="s">
        <v>911</v>
      </c>
      <c r="D52" s="13" t="s">
        <v>72</v>
      </c>
      <c r="E52" s="13"/>
      <c r="F52" s="18" t="n">
        <v>101</v>
      </c>
      <c r="G52" s="19" t="n">
        <v>0.545</v>
      </c>
      <c r="H52" s="19" t="n">
        <v>0.109</v>
      </c>
      <c r="I52" s="18" t="n">
        <f aca="false">ROUND(F52*H52,0)</f>
        <v>11</v>
      </c>
      <c r="J52" s="18" t="n">
        <v>0</v>
      </c>
      <c r="K52" s="20" t="n">
        <f aca="false">IF(F52=0,0,J52/F52)</f>
        <v>0</v>
      </c>
      <c r="L52" s="18" t="n">
        <v>0</v>
      </c>
      <c r="M52" s="19" t="n">
        <f aca="false">IF(F52+L52=0,0,L52/(F52+L52))</f>
        <v>0</v>
      </c>
      <c r="N52" s="26" t="s">
        <v>847</v>
      </c>
    </row>
    <row r="53" customFormat="false" ht="15" hidden="false" customHeight="false" outlineLevel="0" collapsed="false">
      <c r="A53" s="13" t="s">
        <v>912</v>
      </c>
      <c r="B53" s="13" t="s">
        <v>909</v>
      </c>
      <c r="C53" s="13" t="s">
        <v>126</v>
      </c>
      <c r="D53" s="13" t="s">
        <v>127</v>
      </c>
      <c r="E53" s="13" t="s">
        <v>125</v>
      </c>
      <c r="F53" s="18" t="n">
        <v>54</v>
      </c>
      <c r="G53" s="19" t="n">
        <v>0.259</v>
      </c>
      <c r="H53" s="19" t="n">
        <v>0.093</v>
      </c>
      <c r="I53" s="18" t="n">
        <f aca="false">ROUND(F53*H53,0)</f>
        <v>5</v>
      </c>
      <c r="J53" s="18" t="n">
        <v>0</v>
      </c>
      <c r="K53" s="20" t="n">
        <f aca="false">IF(F53=0,0,J53/F53)</f>
        <v>0</v>
      </c>
      <c r="L53" s="18" t="n">
        <v>0</v>
      </c>
      <c r="M53" s="19" t="n">
        <f aca="false">IF(F53+L53=0,0,L53/(F53+L53))</f>
        <v>0</v>
      </c>
      <c r="N53" s="26" t="s">
        <v>847</v>
      </c>
    </row>
    <row r="54" customFormat="false" ht="15" hidden="false" customHeight="false" outlineLevel="0" collapsed="false">
      <c r="A54" s="13" t="s">
        <v>913</v>
      </c>
      <c r="B54" s="13" t="s">
        <v>909</v>
      </c>
      <c r="C54" s="13" t="s">
        <v>914</v>
      </c>
      <c r="D54" s="13" t="s">
        <v>72</v>
      </c>
      <c r="E54" s="13"/>
      <c r="F54" s="18" t="n">
        <v>27</v>
      </c>
      <c r="G54" s="19" t="n">
        <v>0.852</v>
      </c>
      <c r="H54" s="19" t="n">
        <v>0.778</v>
      </c>
      <c r="I54" s="18" t="n">
        <f aca="false">ROUND(F54*H54,0)</f>
        <v>21</v>
      </c>
      <c r="J54" s="18" t="n">
        <v>0</v>
      </c>
      <c r="K54" s="20" t="n">
        <f aca="false">IF(F54=0,0,J54/F54)</f>
        <v>0</v>
      </c>
      <c r="L54" s="18" t="n">
        <v>0</v>
      </c>
      <c r="M54" s="19" t="n">
        <f aca="false">IF(F54+L54=0,0,L54/(F54+L54))</f>
        <v>0</v>
      </c>
      <c r="N54" s="26" t="s">
        <v>847</v>
      </c>
    </row>
    <row r="55" customFormat="false" ht="15" hidden="false" customHeight="false" outlineLevel="0" collapsed="false">
      <c r="A55" s="13" t="s">
        <v>915</v>
      </c>
      <c r="B55" s="13" t="s">
        <v>909</v>
      </c>
      <c r="C55" s="13" t="s">
        <v>914</v>
      </c>
      <c r="D55" s="13" t="s">
        <v>72</v>
      </c>
      <c r="E55" s="13"/>
      <c r="F55" s="18" t="n">
        <v>173</v>
      </c>
      <c r="G55" s="19" t="n">
        <v>0.717</v>
      </c>
      <c r="H55" s="19" t="n">
        <v>0.607</v>
      </c>
      <c r="I55" s="18" t="n">
        <f aca="false">ROUND(F55*H55,0)</f>
        <v>105</v>
      </c>
      <c r="J55" s="18" t="n">
        <v>1</v>
      </c>
      <c r="K55" s="20" t="n">
        <f aca="false">IF(F55=0,0,J55/F55)</f>
        <v>0.00578034682080925</v>
      </c>
      <c r="L55" s="18" t="n">
        <v>0</v>
      </c>
      <c r="M55" s="19" t="n">
        <f aca="false">IF(F55+L55=0,0,L55/(F55+L55))</f>
        <v>0</v>
      </c>
      <c r="N55" s="26" t="s">
        <v>847</v>
      </c>
    </row>
    <row r="56" customFormat="false" ht="15" hidden="false" customHeight="false" outlineLevel="0" collapsed="false">
      <c r="A56" s="13" t="s">
        <v>916</v>
      </c>
      <c r="B56" s="13" t="s">
        <v>917</v>
      </c>
      <c r="C56" s="13" t="s">
        <v>85</v>
      </c>
      <c r="D56" s="13" t="s">
        <v>86</v>
      </c>
      <c r="E56" s="13" t="s">
        <v>84</v>
      </c>
      <c r="F56" s="18" t="n">
        <v>4384</v>
      </c>
      <c r="G56" s="19" t="n">
        <v>0.224</v>
      </c>
      <c r="H56" s="19" t="n">
        <v>0.021</v>
      </c>
      <c r="I56" s="18" t="n">
        <f aca="false">ROUND(F56*H56,0)</f>
        <v>92</v>
      </c>
      <c r="J56" s="18" t="n">
        <v>15</v>
      </c>
      <c r="K56" s="20" t="n">
        <f aca="false">IF(F56=0,0,J56/F56)</f>
        <v>0.00342153284671533</v>
      </c>
      <c r="L56" s="18" t="n">
        <v>45</v>
      </c>
      <c r="M56" s="19" t="n">
        <f aca="false">IF(F56+L56=0,0,L56/(F56+L56))</f>
        <v>0.010160307067058</v>
      </c>
      <c r="N56" s="26" t="s">
        <v>847</v>
      </c>
    </row>
    <row r="57" customFormat="false" ht="15" hidden="false" customHeight="false" outlineLevel="0" collapsed="false">
      <c r="A57" s="13" t="s">
        <v>918</v>
      </c>
      <c r="B57" s="13" t="s">
        <v>700</v>
      </c>
      <c r="C57" s="13" t="s">
        <v>850</v>
      </c>
      <c r="D57" s="13" t="s">
        <v>131</v>
      </c>
      <c r="E57" s="13"/>
      <c r="F57" s="18" t="n">
        <v>125</v>
      </c>
      <c r="G57" s="19" t="n">
        <v>0.552</v>
      </c>
      <c r="H57" s="19" t="n">
        <v>0.04</v>
      </c>
      <c r="I57" s="18" t="n">
        <f aca="false">ROUND(F57*H57,0)</f>
        <v>5</v>
      </c>
      <c r="J57" s="18" t="n">
        <v>0</v>
      </c>
      <c r="K57" s="20" t="n">
        <f aca="false">IF(F57=0,0,J57/F57)</f>
        <v>0</v>
      </c>
      <c r="L57" s="18" t="n">
        <v>0</v>
      </c>
      <c r="M57" s="19" t="n">
        <f aca="false">IF(F57+L57=0,0,L57/(F57+L57))</f>
        <v>0</v>
      </c>
      <c r="N57" s="26" t="s">
        <v>847</v>
      </c>
    </row>
    <row r="58" customFormat="false" ht="15" hidden="false" customHeight="false" outlineLevel="0" collapsed="false">
      <c r="A58" s="13" t="s">
        <v>919</v>
      </c>
      <c r="B58" s="13" t="s">
        <v>700</v>
      </c>
      <c r="C58" s="13" t="s">
        <v>117</v>
      </c>
      <c r="D58" s="13" t="s">
        <v>72</v>
      </c>
      <c r="E58" s="13" t="s">
        <v>116</v>
      </c>
      <c r="F58" s="18" t="n">
        <v>309</v>
      </c>
      <c r="G58" s="19" t="n">
        <v>0.379</v>
      </c>
      <c r="H58" s="19" t="n">
        <v>0.104</v>
      </c>
      <c r="I58" s="18" t="n">
        <f aca="false">ROUND(F58*H58,0)</f>
        <v>32</v>
      </c>
      <c r="J58" s="18" t="n">
        <v>6</v>
      </c>
      <c r="K58" s="20" t="n">
        <f aca="false">IF(F58=0,0,J58/F58)</f>
        <v>0.0194174757281553</v>
      </c>
      <c r="L58" s="18" t="n">
        <v>26</v>
      </c>
      <c r="M58" s="19" t="n">
        <f aca="false">IF(F58+L58=0,0,L58/(F58+L58))</f>
        <v>0.0776119402985075</v>
      </c>
      <c r="N58" s="26" t="s">
        <v>847</v>
      </c>
    </row>
    <row r="59" customFormat="false" ht="15" hidden="false" customHeight="false" outlineLevel="0" collapsed="false">
      <c r="A59" s="13" t="s">
        <v>920</v>
      </c>
      <c r="B59" s="13" t="s">
        <v>700</v>
      </c>
      <c r="C59" s="13" t="s">
        <v>89</v>
      </c>
      <c r="D59" s="13" t="s">
        <v>72</v>
      </c>
      <c r="E59" s="13" t="s">
        <v>88</v>
      </c>
      <c r="F59" s="18" t="n">
        <v>3302</v>
      </c>
      <c r="G59" s="19" t="n">
        <v>0.255</v>
      </c>
      <c r="H59" s="19" t="n">
        <v>0.015</v>
      </c>
      <c r="I59" s="18" t="n">
        <f aca="false">ROUND(F59*H59,0)</f>
        <v>50</v>
      </c>
      <c r="J59" s="18" t="n">
        <v>25</v>
      </c>
      <c r="K59" s="20" t="n">
        <f aca="false">IF(F59=0,0,J59/F59)</f>
        <v>0.00757116898849182</v>
      </c>
      <c r="L59" s="18" t="n">
        <v>75</v>
      </c>
      <c r="M59" s="19" t="n">
        <f aca="false">IF(F59+L59=0,0,L59/(F59+L59))</f>
        <v>0.0222090612970092</v>
      </c>
      <c r="N59" s="26" t="s">
        <v>847</v>
      </c>
    </row>
    <row r="60" customFormat="false" ht="15" hidden="false" customHeight="false" outlineLevel="0" collapsed="false">
      <c r="A60" s="13" t="s">
        <v>921</v>
      </c>
      <c r="B60" s="13" t="s">
        <v>387</v>
      </c>
      <c r="C60" s="13" t="s">
        <v>134</v>
      </c>
      <c r="D60" s="13" t="s">
        <v>79</v>
      </c>
      <c r="E60" s="13" t="s">
        <v>133</v>
      </c>
      <c r="F60" s="18" t="n">
        <v>26</v>
      </c>
      <c r="G60" s="19" t="n">
        <v>0.654</v>
      </c>
      <c r="H60" s="19" t="n">
        <v>0.462</v>
      </c>
      <c r="I60" s="18" t="n">
        <f aca="false">ROUND(F60*H60,0)</f>
        <v>12</v>
      </c>
      <c r="J60" s="18" t="n">
        <v>0</v>
      </c>
      <c r="K60" s="20" t="n">
        <f aca="false">IF(F60=0,0,J60/F60)</f>
        <v>0</v>
      </c>
      <c r="L60" s="18" t="n">
        <v>0</v>
      </c>
      <c r="M60" s="19" t="n">
        <f aca="false">IF(F60+L60=0,0,L60/(F60+L60))</f>
        <v>0</v>
      </c>
      <c r="N60" s="26" t="s">
        <v>847</v>
      </c>
    </row>
    <row r="61" customFormat="false" ht="15" hidden="false" customHeight="false" outlineLevel="0" collapsed="false">
      <c r="A61" s="13" t="s">
        <v>922</v>
      </c>
      <c r="B61" s="13" t="s">
        <v>387</v>
      </c>
      <c r="C61" s="13" t="s">
        <v>134</v>
      </c>
      <c r="D61" s="13" t="s">
        <v>79</v>
      </c>
      <c r="E61" s="13" t="s">
        <v>133</v>
      </c>
      <c r="F61" s="18" t="n">
        <v>22</v>
      </c>
      <c r="G61" s="19" t="n">
        <v>0.682</v>
      </c>
      <c r="H61" s="19" t="n">
        <v>0.455</v>
      </c>
      <c r="I61" s="18" t="n">
        <f aca="false">ROUND(F61*H61,0)</f>
        <v>10</v>
      </c>
      <c r="J61" s="18" t="n">
        <v>0</v>
      </c>
      <c r="K61" s="20" t="n">
        <f aca="false">IF(F61=0,0,J61/F61)</f>
        <v>0</v>
      </c>
      <c r="L61" s="18" t="n">
        <v>0</v>
      </c>
      <c r="M61" s="19" t="n">
        <f aca="false">IF(F61+L61=0,0,L61/(F61+L61))</f>
        <v>0</v>
      </c>
      <c r="N61" s="26" t="s">
        <v>847</v>
      </c>
    </row>
    <row r="62" customFormat="false" ht="15" hidden="false" customHeight="false" outlineLevel="0" collapsed="false">
      <c r="A62" s="13" t="s">
        <v>923</v>
      </c>
      <c r="B62" s="13" t="s">
        <v>387</v>
      </c>
      <c r="C62" s="13" t="s">
        <v>130</v>
      </c>
      <c r="D62" s="13" t="s">
        <v>131</v>
      </c>
      <c r="E62" s="13" t="s">
        <v>129</v>
      </c>
      <c r="F62" s="18" t="n">
        <v>31</v>
      </c>
      <c r="G62" s="19" t="n">
        <v>0.613</v>
      </c>
      <c r="H62" s="19" t="n">
        <v>0.065</v>
      </c>
      <c r="I62" s="18" t="n">
        <f aca="false">ROUND(F62*H62,0)</f>
        <v>2</v>
      </c>
      <c r="J62" s="18" t="n">
        <v>0</v>
      </c>
      <c r="K62" s="20" t="n">
        <f aca="false">IF(F62=0,0,J62/F62)</f>
        <v>0</v>
      </c>
      <c r="L62" s="18" t="n">
        <v>0</v>
      </c>
      <c r="M62" s="19" t="n">
        <f aca="false">IF(F62+L62=0,0,L62/(F62+L62))</f>
        <v>0</v>
      </c>
      <c r="N62" s="26" t="s">
        <v>847</v>
      </c>
    </row>
    <row r="63" customFormat="false" ht="15" hidden="false" customHeight="false" outlineLevel="0" collapsed="false">
      <c r="A63" s="13" t="s">
        <v>924</v>
      </c>
      <c r="B63" s="13" t="s">
        <v>925</v>
      </c>
      <c r="C63" s="13" t="s">
        <v>846</v>
      </c>
      <c r="D63" s="13" t="s">
        <v>79</v>
      </c>
      <c r="E63" s="13"/>
      <c r="F63" s="18" t="n">
        <v>59</v>
      </c>
      <c r="G63" s="19" t="n">
        <v>0.407</v>
      </c>
      <c r="H63" s="19" t="n">
        <v>0.119</v>
      </c>
      <c r="I63" s="18" t="n">
        <f aca="false">ROUND(F63*H63,0)</f>
        <v>7</v>
      </c>
      <c r="J63" s="18" t="n">
        <v>0</v>
      </c>
      <c r="K63" s="20" t="n">
        <f aca="false">IF(F63=0,0,J63/F63)</f>
        <v>0</v>
      </c>
      <c r="L63" s="18" t="n">
        <v>0</v>
      </c>
      <c r="M63" s="19" t="n">
        <f aca="false">IF(F63+L63=0,0,L63/(F63+L63))</f>
        <v>0</v>
      </c>
      <c r="N63" s="26" t="s">
        <v>847</v>
      </c>
    </row>
    <row r="64" customFormat="false" ht="15" hidden="false" customHeight="false" outlineLevel="0" collapsed="false">
      <c r="A64" s="13" t="s">
        <v>926</v>
      </c>
      <c r="B64" s="13" t="s">
        <v>925</v>
      </c>
      <c r="C64" s="13" t="s">
        <v>78</v>
      </c>
      <c r="D64" s="13" t="s">
        <v>79</v>
      </c>
      <c r="E64" s="13"/>
      <c r="F64" s="18" t="n">
        <v>1330</v>
      </c>
      <c r="G64" s="19" t="n">
        <v>0.261</v>
      </c>
      <c r="H64" s="19" t="n">
        <v>0.026</v>
      </c>
      <c r="I64" s="18" t="n">
        <f aca="false">ROUND(F64*H64,0)</f>
        <v>35</v>
      </c>
      <c r="J64" s="18" t="n">
        <v>11</v>
      </c>
      <c r="K64" s="20" t="n">
        <f aca="false">IF(F64=0,0,J64/F64)</f>
        <v>0.00827067669172932</v>
      </c>
      <c r="L64" s="18" t="n">
        <v>7</v>
      </c>
      <c r="M64" s="19" t="n">
        <f aca="false">IF(F64+L64=0,0,L64/(F64+L64))</f>
        <v>0.00523560209424084</v>
      </c>
      <c r="N64" s="26" t="s">
        <v>847</v>
      </c>
    </row>
    <row r="65" customFormat="false" ht="15" hidden="false" customHeight="false" outlineLevel="0" collapsed="false">
      <c r="A65" s="13" t="s">
        <v>927</v>
      </c>
      <c r="B65" s="13" t="s">
        <v>925</v>
      </c>
      <c r="C65" s="13" t="s">
        <v>850</v>
      </c>
      <c r="D65" s="13" t="s">
        <v>131</v>
      </c>
      <c r="E65" s="13"/>
      <c r="F65" s="18" t="n">
        <v>125</v>
      </c>
      <c r="G65" s="19" t="n">
        <v>0.592</v>
      </c>
      <c r="H65" s="19" t="n">
        <v>0.128</v>
      </c>
      <c r="I65" s="18" t="n">
        <f aca="false">ROUND(F65*H65,0)</f>
        <v>16</v>
      </c>
      <c r="J65" s="18" t="n">
        <v>0</v>
      </c>
      <c r="K65" s="20" t="n">
        <f aca="false">IF(F65=0,0,J65/F65)</f>
        <v>0</v>
      </c>
      <c r="L65" s="18" t="n">
        <v>0</v>
      </c>
      <c r="M65" s="19" t="n">
        <f aca="false">IF(F65+L65=0,0,L65/(F65+L65))</f>
        <v>0</v>
      </c>
      <c r="N65" s="26" t="s">
        <v>847</v>
      </c>
    </row>
    <row r="66" customFormat="false" ht="15" hidden="false" customHeight="false" outlineLevel="0" collapsed="false">
      <c r="A66" s="13" t="s">
        <v>928</v>
      </c>
      <c r="B66" s="13" t="s">
        <v>925</v>
      </c>
      <c r="C66" s="13" t="s">
        <v>929</v>
      </c>
      <c r="D66" s="13" t="s">
        <v>72</v>
      </c>
      <c r="E66" s="13"/>
      <c r="F66" s="18" t="n">
        <v>1346</v>
      </c>
      <c r="G66" s="19" t="n">
        <v>0.245</v>
      </c>
      <c r="H66" s="19" t="n">
        <v>0.025</v>
      </c>
      <c r="I66" s="18" t="n">
        <f aca="false">ROUND(F66*H66,0)</f>
        <v>34</v>
      </c>
      <c r="J66" s="18" t="n">
        <v>11</v>
      </c>
      <c r="K66" s="20" t="n">
        <f aca="false">IF(F66=0,0,J66/F66)</f>
        <v>0.00817236255572065</v>
      </c>
      <c r="L66" s="18" t="n">
        <v>6</v>
      </c>
      <c r="M66" s="19" t="n">
        <f aca="false">IF(F66+L66=0,0,L66/(F66+L66))</f>
        <v>0.00443786982248521</v>
      </c>
      <c r="N66" s="26" t="s">
        <v>847</v>
      </c>
    </row>
    <row r="67" customFormat="false" ht="15" hidden="false" customHeight="false" outlineLevel="0" collapsed="false">
      <c r="A67" s="13" t="s">
        <v>930</v>
      </c>
      <c r="B67" s="13" t="s">
        <v>925</v>
      </c>
      <c r="C67" s="13" t="s">
        <v>914</v>
      </c>
      <c r="D67" s="13" t="s">
        <v>72</v>
      </c>
      <c r="E67" s="13"/>
      <c r="F67" s="18" t="n">
        <v>3448</v>
      </c>
      <c r="G67" s="19" t="n">
        <v>0.226</v>
      </c>
      <c r="H67" s="19" t="n">
        <v>0.01</v>
      </c>
      <c r="I67" s="18" t="n">
        <f aca="false">ROUND(F67*H67,0)</f>
        <v>34</v>
      </c>
      <c r="J67" s="18" t="n">
        <v>58</v>
      </c>
      <c r="K67" s="20" t="n">
        <f aca="false">IF(F67=0,0,J67/F67)</f>
        <v>0.0168213457076566</v>
      </c>
      <c r="L67" s="18" t="n">
        <v>62</v>
      </c>
      <c r="M67" s="19" t="n">
        <f aca="false">IF(F67+L67=0,0,L67/(F67+L67))</f>
        <v>0.0176638176638177</v>
      </c>
      <c r="N67" s="26" t="s">
        <v>847</v>
      </c>
    </row>
    <row r="68" customFormat="false" ht="15" hidden="false" customHeight="false" outlineLevel="0" collapsed="false">
      <c r="A68" s="13" t="s">
        <v>931</v>
      </c>
      <c r="B68" s="13" t="s">
        <v>925</v>
      </c>
      <c r="C68" s="13" t="s">
        <v>75</v>
      </c>
      <c r="D68" s="13" t="s">
        <v>72</v>
      </c>
      <c r="E68" s="13" t="s">
        <v>74</v>
      </c>
      <c r="F68" s="18" t="n">
        <v>6534</v>
      </c>
      <c r="G68" s="19" t="n">
        <v>0.266</v>
      </c>
      <c r="H68" s="19" t="n">
        <v>0.012</v>
      </c>
      <c r="I68" s="18" t="n">
        <f aca="false">ROUND(F68*H68,0)</f>
        <v>78</v>
      </c>
      <c r="J68" s="18" t="n">
        <v>71</v>
      </c>
      <c r="K68" s="20" t="n">
        <f aca="false">IF(F68=0,0,J68/F68)</f>
        <v>0.0108662381389654</v>
      </c>
      <c r="L68" s="18" t="n">
        <v>54</v>
      </c>
      <c r="M68" s="19" t="n">
        <f aca="false">IF(F68+L68=0,0,L68/(F68+L68))</f>
        <v>0.00819672131147541</v>
      </c>
      <c r="N68" s="26" t="s">
        <v>847</v>
      </c>
    </row>
    <row r="69" customFormat="false" ht="15" hidden="false" customHeight="false" outlineLevel="0" collapsed="false">
      <c r="A69" s="13" t="s">
        <v>932</v>
      </c>
      <c r="B69" s="13" t="s">
        <v>925</v>
      </c>
      <c r="C69" s="13" t="s">
        <v>104</v>
      </c>
      <c r="D69" s="13" t="s">
        <v>104</v>
      </c>
      <c r="E69" s="13" t="s">
        <v>103</v>
      </c>
      <c r="F69" s="18" t="n">
        <v>982</v>
      </c>
      <c r="G69" s="19" t="n">
        <v>0.379</v>
      </c>
      <c r="H69" s="19" t="n">
        <v>0.065</v>
      </c>
      <c r="I69" s="18" t="n">
        <f aca="false">ROUND(F69*H69,0)</f>
        <v>64</v>
      </c>
      <c r="J69" s="18" t="n">
        <v>0</v>
      </c>
      <c r="K69" s="20" t="n">
        <f aca="false">IF(F69=0,0,J69/F69)</f>
        <v>0</v>
      </c>
      <c r="L69" s="18" t="n">
        <v>4</v>
      </c>
      <c r="M69" s="19" t="n">
        <f aca="false">IF(F69+L69=0,0,L69/(F69+L69))</f>
        <v>0.00405679513184584</v>
      </c>
      <c r="N69" s="26" t="s">
        <v>847</v>
      </c>
    </row>
    <row r="70" customFormat="false" ht="15" hidden="false" customHeight="false" outlineLevel="0" collapsed="false">
      <c r="A70" s="13" t="s">
        <v>933</v>
      </c>
      <c r="B70" s="13" t="s">
        <v>934</v>
      </c>
      <c r="C70" s="13" t="s">
        <v>95</v>
      </c>
      <c r="D70" s="13" t="s">
        <v>72</v>
      </c>
      <c r="E70" s="13" t="s">
        <v>94</v>
      </c>
      <c r="F70" s="18" t="n">
        <v>1787</v>
      </c>
      <c r="G70" s="19" t="n">
        <v>0.276</v>
      </c>
      <c r="H70" s="19" t="n">
        <v>0.022</v>
      </c>
      <c r="I70" s="18" t="n">
        <f aca="false">ROUND(F70*H70,0)</f>
        <v>39</v>
      </c>
      <c r="J70" s="18" t="n">
        <v>10</v>
      </c>
      <c r="K70" s="20" t="n">
        <f aca="false">IF(F70=0,0,J70/F70)</f>
        <v>0.00559597090095132</v>
      </c>
      <c r="L70" s="18" t="n">
        <v>13</v>
      </c>
      <c r="M70" s="19" t="n">
        <f aca="false">IF(F70+L70=0,0,L70/(F70+L70))</f>
        <v>0.00722222222222222</v>
      </c>
      <c r="N70" s="26" t="s">
        <v>847</v>
      </c>
    </row>
    <row r="71" customFormat="false" ht="15" hidden="false" customHeight="false" outlineLevel="0" collapsed="false">
      <c r="A71" s="13" t="s">
        <v>935</v>
      </c>
      <c r="B71" s="13" t="s">
        <v>934</v>
      </c>
      <c r="C71" s="13" t="s">
        <v>78</v>
      </c>
      <c r="D71" s="13" t="s">
        <v>79</v>
      </c>
      <c r="E71" s="13"/>
      <c r="F71" s="18" t="n">
        <v>618</v>
      </c>
      <c r="G71" s="19" t="n">
        <v>0.259</v>
      </c>
      <c r="H71" s="19" t="n">
        <v>0.042</v>
      </c>
      <c r="I71" s="18" t="n">
        <f aca="false">ROUND(F71*H71,0)</f>
        <v>26</v>
      </c>
      <c r="J71" s="18" t="n">
        <v>9</v>
      </c>
      <c r="K71" s="20" t="n">
        <f aca="false">IF(F71=0,0,J71/F71)</f>
        <v>0.0145631067961165</v>
      </c>
      <c r="L71" s="18" t="n">
        <v>5</v>
      </c>
      <c r="M71" s="19" t="n">
        <f aca="false">IF(F71+L71=0,0,L71/(F71+L71))</f>
        <v>0.00802568218298555</v>
      </c>
      <c r="N71" s="26" t="s">
        <v>847</v>
      </c>
    </row>
    <row r="72" customFormat="false" ht="15" hidden="false" customHeight="false" outlineLevel="0" collapsed="false">
      <c r="A72" s="13" t="s">
        <v>936</v>
      </c>
      <c r="B72" s="13" t="s">
        <v>937</v>
      </c>
      <c r="C72" s="13" t="s">
        <v>111</v>
      </c>
      <c r="D72" s="13" t="s">
        <v>112</v>
      </c>
      <c r="E72" s="13" t="s">
        <v>110</v>
      </c>
      <c r="F72" s="18" t="n">
        <v>664</v>
      </c>
      <c r="G72" s="19" t="n">
        <v>0.721</v>
      </c>
      <c r="H72" s="19" t="n">
        <v>0.081</v>
      </c>
      <c r="I72" s="18" t="n">
        <f aca="false">ROUND(F72*H72,0)</f>
        <v>54</v>
      </c>
      <c r="J72" s="18" t="n">
        <v>0</v>
      </c>
      <c r="K72" s="20" t="n">
        <f aca="false">IF(F72=0,0,J72/F72)</f>
        <v>0</v>
      </c>
      <c r="L72" s="18" t="n">
        <v>3</v>
      </c>
      <c r="M72" s="19" t="n">
        <f aca="false">IF(F72+L72=0,0,L72/(F72+L72))</f>
        <v>0.00449775112443778</v>
      </c>
      <c r="N72" s="26" t="s">
        <v>847</v>
      </c>
    </row>
    <row r="73" customFormat="false" ht="15" hidden="false" customHeight="false" outlineLevel="0" collapsed="false">
      <c r="A73" s="13" t="s">
        <v>938</v>
      </c>
      <c r="B73" s="13" t="s">
        <v>937</v>
      </c>
      <c r="C73" s="13" t="s">
        <v>939</v>
      </c>
      <c r="D73" s="13" t="s">
        <v>72</v>
      </c>
      <c r="E73" s="13"/>
      <c r="F73" s="18" t="n">
        <v>12799</v>
      </c>
      <c r="G73" s="19" t="n">
        <v>0.266</v>
      </c>
      <c r="H73" s="19" t="n">
        <v>0.007</v>
      </c>
      <c r="I73" s="18" t="n">
        <f aca="false">ROUND(F73*H73,0)</f>
        <v>90</v>
      </c>
      <c r="J73" s="18" t="n">
        <v>203</v>
      </c>
      <c r="K73" s="20" t="n">
        <f aca="false">IF(F73=0,0,J73/F73)</f>
        <v>0.0158606141104774</v>
      </c>
      <c r="L73" s="18" t="n">
        <v>86</v>
      </c>
      <c r="M73" s="19" t="n">
        <f aca="false">IF(F73+L73=0,0,L73/(F73+L73))</f>
        <v>0.006674427629026</v>
      </c>
      <c r="N73" s="26" t="s">
        <v>847</v>
      </c>
    </row>
    <row r="74" customFormat="false" ht="15" hidden="false" customHeight="false" outlineLevel="0" collapsed="false">
      <c r="A74" s="13" t="s">
        <v>940</v>
      </c>
      <c r="B74" s="13" t="s">
        <v>937</v>
      </c>
      <c r="C74" s="13" t="s">
        <v>101</v>
      </c>
      <c r="D74" s="13" t="s">
        <v>72</v>
      </c>
      <c r="E74" s="13" t="s">
        <v>100</v>
      </c>
      <c r="F74" s="18" t="n">
        <v>1420</v>
      </c>
      <c r="G74" s="19" t="n">
        <v>0.268</v>
      </c>
      <c r="H74" s="19" t="n">
        <v>0.019</v>
      </c>
      <c r="I74" s="18" t="n">
        <f aca="false">ROUND(F74*H74,0)</f>
        <v>27</v>
      </c>
      <c r="J74" s="18" t="n">
        <v>8</v>
      </c>
      <c r="K74" s="20" t="n">
        <f aca="false">IF(F74=0,0,J74/F74)</f>
        <v>0.00563380281690141</v>
      </c>
      <c r="L74" s="18" t="n">
        <v>11</v>
      </c>
      <c r="M74" s="19" t="n">
        <f aca="false">IF(F74+L74=0,0,L74/(F74+L74))</f>
        <v>0.0076869322152341</v>
      </c>
      <c r="N74" s="26" t="s">
        <v>847</v>
      </c>
    </row>
    <row r="75" customFormat="false" ht="15" hidden="false" customHeight="false" outlineLevel="0" collapsed="false">
      <c r="A75" s="13" t="s">
        <v>941</v>
      </c>
      <c r="B75" s="13" t="s">
        <v>942</v>
      </c>
      <c r="C75" s="13" t="s">
        <v>850</v>
      </c>
      <c r="D75" s="13" t="s">
        <v>131</v>
      </c>
      <c r="E75" s="13"/>
      <c r="F75" s="18" t="n">
        <v>126</v>
      </c>
      <c r="G75" s="19" t="n">
        <v>0.722</v>
      </c>
      <c r="H75" s="19" t="n">
        <v>0.063</v>
      </c>
      <c r="I75" s="18" t="n">
        <f aca="false">ROUND(F75*H75,0)</f>
        <v>8</v>
      </c>
      <c r="J75" s="18" t="n">
        <v>1</v>
      </c>
      <c r="K75" s="20" t="n">
        <f aca="false">IF(F75=0,0,J75/F75)</f>
        <v>0.00793650793650794</v>
      </c>
      <c r="L75" s="18" t="n">
        <v>1</v>
      </c>
      <c r="M75" s="19" t="n">
        <f aca="false">IF(F75+L75=0,0,L75/(F75+L75))</f>
        <v>0.0078740157480315</v>
      </c>
      <c r="N75" s="26" t="s">
        <v>847</v>
      </c>
    </row>
    <row r="76" customFormat="false" ht="15" hidden="false" customHeight="false" outlineLevel="0" collapsed="false">
      <c r="A76" s="13" t="s">
        <v>943</v>
      </c>
      <c r="B76" s="13" t="s">
        <v>942</v>
      </c>
      <c r="C76" s="13" t="s">
        <v>944</v>
      </c>
      <c r="D76" s="13" t="s">
        <v>72</v>
      </c>
      <c r="E76" s="13"/>
      <c r="F76" s="18" t="n">
        <v>1254</v>
      </c>
      <c r="G76" s="19" t="n">
        <v>0.33</v>
      </c>
      <c r="H76" s="19" t="n">
        <v>0.017</v>
      </c>
      <c r="I76" s="18" t="n">
        <f aca="false">ROUND(F76*H76,0)</f>
        <v>21</v>
      </c>
      <c r="J76" s="18" t="n">
        <v>16</v>
      </c>
      <c r="K76" s="20" t="n">
        <f aca="false">IF(F76=0,0,J76/F76)</f>
        <v>0.0127591706539075</v>
      </c>
      <c r="L76" s="18" t="n">
        <v>7</v>
      </c>
      <c r="M76" s="19" t="n">
        <f aca="false">IF(F76+L76=0,0,L76/(F76+L76))</f>
        <v>0.00555114988104679</v>
      </c>
      <c r="N76" s="26" t="s">
        <v>847</v>
      </c>
    </row>
    <row r="77" customFormat="false" ht="15" hidden="false" customHeight="false" outlineLevel="0" collapsed="false">
      <c r="A77" s="13" t="s">
        <v>945</v>
      </c>
      <c r="B77" s="13" t="s">
        <v>702</v>
      </c>
      <c r="C77" s="13" t="s">
        <v>872</v>
      </c>
      <c r="D77" s="13" t="s">
        <v>131</v>
      </c>
      <c r="E77" s="13"/>
      <c r="F77" s="18" t="n">
        <v>2814</v>
      </c>
      <c r="G77" s="19" t="n">
        <v>0.284</v>
      </c>
      <c r="H77" s="19" t="n">
        <v>0.002</v>
      </c>
      <c r="I77" s="18" t="n">
        <f aca="false">ROUND(F77*H77,0)</f>
        <v>6</v>
      </c>
      <c r="J77" s="18" t="n">
        <v>21</v>
      </c>
      <c r="K77" s="20" t="n">
        <f aca="false">IF(F77=0,0,J77/F77)</f>
        <v>0.00746268656716418</v>
      </c>
      <c r="L77" s="18" t="n">
        <v>21</v>
      </c>
      <c r="M77" s="19" t="n">
        <f aca="false">IF(F77+L77=0,0,L77/(F77+L77))</f>
        <v>0.00740740740740741</v>
      </c>
      <c r="N77" s="26" t="s">
        <v>847</v>
      </c>
    </row>
    <row r="78" customFormat="false" ht="15" hidden="false" customHeight="false" outlineLevel="0" collapsed="false">
      <c r="A78" s="13" t="s">
        <v>946</v>
      </c>
      <c r="B78" s="13" t="s">
        <v>702</v>
      </c>
      <c r="C78" s="13" t="s">
        <v>947</v>
      </c>
      <c r="D78" s="13" t="s">
        <v>131</v>
      </c>
      <c r="E78" s="13"/>
      <c r="F78" s="18" t="n">
        <v>42</v>
      </c>
      <c r="G78" s="19" t="n">
        <v>0.405</v>
      </c>
      <c r="H78" s="19" t="n">
        <v>0.095</v>
      </c>
      <c r="I78" s="18" t="n">
        <f aca="false">ROUND(F78*H78,0)</f>
        <v>4</v>
      </c>
      <c r="J78" s="18" t="n">
        <v>0</v>
      </c>
      <c r="K78" s="20" t="n">
        <f aca="false">IF(F78=0,0,J78/F78)</f>
        <v>0</v>
      </c>
      <c r="L78" s="18" t="n">
        <v>0</v>
      </c>
      <c r="M78" s="19" t="n">
        <f aca="false">IF(F78+L78=0,0,L78/(F78+L78))</f>
        <v>0</v>
      </c>
      <c r="N78" s="26" t="s">
        <v>847</v>
      </c>
    </row>
    <row r="79" customFormat="false" ht="15" hidden="false" customHeight="false" outlineLevel="0" collapsed="false">
      <c r="A79" s="13" t="s">
        <v>948</v>
      </c>
      <c r="B79" s="13" t="s">
        <v>702</v>
      </c>
      <c r="C79" s="13" t="s">
        <v>863</v>
      </c>
      <c r="D79" s="13" t="s">
        <v>131</v>
      </c>
      <c r="E79" s="13"/>
      <c r="F79" s="18" t="n">
        <v>101</v>
      </c>
      <c r="G79" s="19" t="n">
        <v>0.337</v>
      </c>
      <c r="H79" s="19" t="n">
        <v>0.139</v>
      </c>
      <c r="I79" s="18" t="n">
        <f aca="false">ROUND(F79*H79,0)</f>
        <v>14</v>
      </c>
      <c r="J79" s="18" t="n">
        <v>1</v>
      </c>
      <c r="K79" s="20" t="n">
        <f aca="false">IF(F79=0,0,J79/F79)</f>
        <v>0.0099009900990099</v>
      </c>
      <c r="L79" s="18" t="n">
        <v>0</v>
      </c>
      <c r="M79" s="19" t="n">
        <f aca="false">IF(F79+L79=0,0,L79/(F79+L79))</f>
        <v>0</v>
      </c>
      <c r="N79" s="26" t="s">
        <v>847</v>
      </c>
    </row>
    <row r="80" customFormat="false" ht="15" hidden="false" customHeight="false" outlineLevel="0" collapsed="false">
      <c r="A80" s="13" t="s">
        <v>949</v>
      </c>
      <c r="B80" s="13" t="s">
        <v>702</v>
      </c>
      <c r="C80" s="13" t="s">
        <v>950</v>
      </c>
      <c r="D80" s="13" t="s">
        <v>131</v>
      </c>
      <c r="E80" s="13"/>
      <c r="F80" s="18" t="n">
        <v>4273</v>
      </c>
      <c r="G80" s="19" t="n">
        <v>0.308</v>
      </c>
      <c r="H80" s="19" t="n">
        <v>0.03</v>
      </c>
      <c r="I80" s="18" t="n">
        <f aca="false">ROUND(F80*H80,0)</f>
        <v>128</v>
      </c>
      <c r="J80" s="18" t="n">
        <v>72</v>
      </c>
      <c r="K80" s="20" t="n">
        <f aca="false">IF(F80=0,0,J80/F80)</f>
        <v>0.0168499882986192</v>
      </c>
      <c r="L80" s="18" t="n">
        <v>87</v>
      </c>
      <c r="M80" s="19" t="n">
        <f aca="false">IF(F80+L80=0,0,L80/(F80+L80))</f>
        <v>0.019954128440367</v>
      </c>
      <c r="N80" s="26" t="s">
        <v>847</v>
      </c>
    </row>
    <row r="81" customFormat="false" ht="15" hidden="false" customHeight="false" outlineLevel="0" collapsed="false">
      <c r="A81" s="13" t="s">
        <v>949</v>
      </c>
      <c r="B81" s="13" t="s">
        <v>702</v>
      </c>
      <c r="C81" s="13" t="s">
        <v>950</v>
      </c>
      <c r="D81" s="13" t="s">
        <v>131</v>
      </c>
      <c r="E81" s="13"/>
      <c r="F81" s="18" t="n">
        <v>4273</v>
      </c>
      <c r="G81" s="19" t="n">
        <v>0.308</v>
      </c>
      <c r="H81" s="19" t="n">
        <v>0.03</v>
      </c>
      <c r="I81" s="18" t="n">
        <f aca="false">ROUND(F81*H81,0)</f>
        <v>128</v>
      </c>
      <c r="J81" s="18" t="n">
        <v>72</v>
      </c>
      <c r="K81" s="20" t="n">
        <f aca="false">IF(F81=0,0,J81/F81)</f>
        <v>0.0168499882986192</v>
      </c>
      <c r="L81" s="18" t="n">
        <v>87</v>
      </c>
      <c r="M81" s="19" t="n">
        <f aca="false">IF(F81+L81=0,0,L81/(F81+L81))</f>
        <v>0.019954128440367</v>
      </c>
      <c r="N81" s="26" t="s">
        <v>878</v>
      </c>
    </row>
    <row r="82" customFormat="false" ht="15" hidden="false" customHeight="false" outlineLevel="0" collapsed="false">
      <c r="A82" s="13" t="s">
        <v>951</v>
      </c>
      <c r="B82" s="13" t="s">
        <v>952</v>
      </c>
      <c r="C82" s="13" t="s">
        <v>82</v>
      </c>
      <c r="D82" s="13" t="s">
        <v>72</v>
      </c>
      <c r="E82" s="13" t="s">
        <v>81</v>
      </c>
      <c r="F82" s="18" t="n">
        <v>4795</v>
      </c>
      <c r="G82" s="19" t="n">
        <v>0.269</v>
      </c>
      <c r="H82" s="19" t="n">
        <v>0.032</v>
      </c>
      <c r="I82" s="18" t="n">
        <f aca="false">ROUND(F82*H82,0)</f>
        <v>153</v>
      </c>
      <c r="J82" s="18" t="n">
        <v>34</v>
      </c>
      <c r="K82" s="20" t="n">
        <f aca="false">IF(F82=0,0,J82/F82)</f>
        <v>0.00709071949947862</v>
      </c>
      <c r="L82" s="18" t="n">
        <v>52</v>
      </c>
      <c r="M82" s="19" t="n">
        <f aca="false">IF(F82+L82=0,0,L82/(F82+L82))</f>
        <v>0.0107282855374458</v>
      </c>
      <c r="N82" s="26" t="s">
        <v>847</v>
      </c>
    </row>
    <row r="83" customFormat="false" ht="15" hidden="false" customHeight="false" outlineLevel="0" collapsed="false">
      <c r="A83" s="13" t="s">
        <v>953</v>
      </c>
      <c r="B83" s="13" t="s">
        <v>952</v>
      </c>
      <c r="C83" s="13" t="s">
        <v>119</v>
      </c>
      <c r="D83" s="13" t="s">
        <v>72</v>
      </c>
      <c r="E83" s="13" t="s">
        <v>118</v>
      </c>
      <c r="F83" s="18" t="n">
        <v>219</v>
      </c>
      <c r="G83" s="19" t="n">
        <v>0.443</v>
      </c>
      <c r="H83" s="19" t="n">
        <v>0.018</v>
      </c>
      <c r="I83" s="18" t="n">
        <f aca="false">ROUND(F83*H83,0)</f>
        <v>4</v>
      </c>
      <c r="J83" s="18" t="n">
        <v>0</v>
      </c>
      <c r="K83" s="20" t="n">
        <f aca="false">IF(F83=0,0,J83/F83)</f>
        <v>0</v>
      </c>
      <c r="L83" s="18" t="n">
        <v>2</v>
      </c>
      <c r="M83" s="19" t="n">
        <f aca="false">IF(F83+L83=0,0,L83/(F83+L83))</f>
        <v>0.00904977375565611</v>
      </c>
      <c r="N83" s="26" t="s">
        <v>847</v>
      </c>
    </row>
    <row r="84" customFormat="false" ht="15" hidden="false" customHeight="false" outlineLevel="0" collapsed="false">
      <c r="A84" s="13" t="s">
        <v>954</v>
      </c>
      <c r="B84" s="13" t="s">
        <v>952</v>
      </c>
      <c r="C84" s="13" t="s">
        <v>911</v>
      </c>
      <c r="D84" s="13" t="s">
        <v>72</v>
      </c>
      <c r="E84" s="13"/>
      <c r="F84" s="18" t="n">
        <v>936</v>
      </c>
      <c r="G84" s="19" t="n">
        <v>0.339</v>
      </c>
      <c r="H84" s="19" t="n">
        <v>0.029</v>
      </c>
      <c r="I84" s="18" t="n">
        <f aca="false">ROUND(F84*H84,0)</f>
        <v>27</v>
      </c>
      <c r="J84" s="18" t="n">
        <v>2</v>
      </c>
      <c r="K84" s="20" t="n">
        <f aca="false">IF(F84=0,0,J84/F84)</f>
        <v>0.00213675213675214</v>
      </c>
      <c r="L84" s="18" t="n">
        <v>3</v>
      </c>
      <c r="M84" s="19" t="n">
        <f aca="false">IF(F84+L84=0,0,L84/(F84+L84))</f>
        <v>0.00319488817891374</v>
      </c>
      <c r="N84" s="26" t="s">
        <v>847</v>
      </c>
    </row>
    <row r="85" customFormat="false" ht="15" hidden="false" customHeight="false" outlineLevel="0" collapsed="false">
      <c r="A85" s="13" t="s">
        <v>955</v>
      </c>
      <c r="B85" s="13" t="s">
        <v>155</v>
      </c>
      <c r="C85" s="13" t="s">
        <v>78</v>
      </c>
      <c r="D85" s="13" t="s">
        <v>79</v>
      </c>
      <c r="E85" s="13" t="s">
        <v>77</v>
      </c>
      <c r="F85" s="18" t="n">
        <v>3241</v>
      </c>
      <c r="G85" s="19" t="n">
        <v>0.142</v>
      </c>
      <c r="H85" s="19" t="n">
        <v>0.019</v>
      </c>
      <c r="I85" s="18" t="n">
        <f aca="false">ROUND(F85*H85,0)</f>
        <v>62</v>
      </c>
      <c r="J85" s="18" t="n">
        <v>25</v>
      </c>
      <c r="K85" s="20" t="n">
        <f aca="false">IF(F85=0,0,J85/F85)</f>
        <v>0.00771366862079605</v>
      </c>
      <c r="L85" s="18" t="n">
        <v>21</v>
      </c>
      <c r="M85" s="19" t="n">
        <f aca="false">IF(F85+L85=0,0,L85/(F85+L85))</f>
        <v>0.00643776824034335</v>
      </c>
      <c r="N85" s="26" t="s">
        <v>847</v>
      </c>
    </row>
    <row r="86" customFormat="false" ht="15" hidden="false" customHeight="false" outlineLevel="0" collapsed="false">
      <c r="A86" s="13" t="s">
        <v>154</v>
      </c>
      <c r="B86" s="13" t="s">
        <v>155</v>
      </c>
      <c r="C86" s="13" t="s">
        <v>939</v>
      </c>
      <c r="D86" s="13" t="s">
        <v>72</v>
      </c>
      <c r="E86" s="13"/>
      <c r="F86" s="18" t="n">
        <v>13111</v>
      </c>
      <c r="G86" s="19" t="n">
        <v>0.324</v>
      </c>
      <c r="H86" s="19" t="n">
        <v>0.013</v>
      </c>
      <c r="I86" s="18" t="n">
        <f aca="false">ROUND(F86*H86,0)</f>
        <v>170</v>
      </c>
      <c r="J86" s="18" t="n">
        <v>252</v>
      </c>
      <c r="K86" s="20" t="n">
        <f aca="false">IF(F86=0,0,J86/F86)</f>
        <v>0.0192205018686599</v>
      </c>
      <c r="L86" s="18" t="n">
        <v>826</v>
      </c>
      <c r="M86" s="19" t="n">
        <f aca="false">IF(F86+L86=0,0,L86/(F86+L86))</f>
        <v>0.0592667001506781</v>
      </c>
      <c r="N86" s="26" t="s">
        <v>847</v>
      </c>
    </row>
    <row r="87" customFormat="false" ht="15" hidden="false" customHeight="false" outlineLevel="0" collapsed="false">
      <c r="A87" s="13" t="s">
        <v>955</v>
      </c>
      <c r="B87" s="13" t="s">
        <v>155</v>
      </c>
      <c r="C87" s="13" t="s">
        <v>78</v>
      </c>
      <c r="D87" s="13" t="s">
        <v>79</v>
      </c>
      <c r="E87" s="13" t="s">
        <v>77</v>
      </c>
      <c r="F87" s="18" t="n">
        <v>6975</v>
      </c>
      <c r="G87" s="19" t="n">
        <v>0.165</v>
      </c>
      <c r="H87" s="19" t="n">
        <v>0.019</v>
      </c>
      <c r="I87" s="18" t="n">
        <f aca="false">ROUND(F87*H87,0)</f>
        <v>133</v>
      </c>
      <c r="J87" s="18" t="n">
        <v>38</v>
      </c>
      <c r="K87" s="20" t="n">
        <f aca="false">IF(F87=0,0,J87/F87)</f>
        <v>0.00544802867383513</v>
      </c>
      <c r="L87" s="18" t="n">
        <v>23</v>
      </c>
      <c r="M87" s="19" t="n">
        <f aca="false">IF(F87+L87=0,0,L87/(F87+L87))</f>
        <v>0.00328665332952272</v>
      </c>
      <c r="N87" s="26" t="s">
        <v>847</v>
      </c>
    </row>
    <row r="88" customFormat="false" ht="15" hidden="false" customHeight="false" outlineLevel="0" collapsed="false">
      <c r="A88" s="13" t="s">
        <v>956</v>
      </c>
      <c r="B88" s="13" t="s">
        <v>957</v>
      </c>
      <c r="C88" s="13" t="s">
        <v>939</v>
      </c>
      <c r="D88" s="13" t="s">
        <v>72</v>
      </c>
      <c r="E88" s="13"/>
      <c r="F88" s="18" t="n">
        <v>3260</v>
      </c>
      <c r="G88" s="19" t="n">
        <v>0.316</v>
      </c>
      <c r="H88" s="19" t="n">
        <v>0.006</v>
      </c>
      <c r="I88" s="18" t="n">
        <f aca="false">ROUND(F88*H88,0)</f>
        <v>20</v>
      </c>
      <c r="J88" s="18" t="n">
        <v>37</v>
      </c>
      <c r="K88" s="20" t="n">
        <f aca="false">IF(F88=0,0,J88/F88)</f>
        <v>0.0113496932515337</v>
      </c>
      <c r="L88" s="18" t="n">
        <v>27</v>
      </c>
      <c r="M88" s="19" t="n">
        <f aca="false">IF(F88+L88=0,0,L88/(F88+L88))</f>
        <v>0.00821417706114998</v>
      </c>
      <c r="N88" s="26" t="s">
        <v>847</v>
      </c>
    </row>
    <row r="89" customFormat="false" ht="15" hidden="false" customHeight="false" outlineLevel="0" collapsed="false">
      <c r="A89" s="13" t="s">
        <v>958</v>
      </c>
      <c r="B89" s="13" t="s">
        <v>959</v>
      </c>
      <c r="C89" s="13" t="s">
        <v>850</v>
      </c>
      <c r="D89" s="13" t="s">
        <v>131</v>
      </c>
      <c r="E89" s="13"/>
      <c r="F89" s="18" t="n">
        <v>127</v>
      </c>
      <c r="G89" s="19" t="n">
        <v>0.512</v>
      </c>
      <c r="H89" s="19" t="n">
        <v>0.039</v>
      </c>
      <c r="I89" s="18" t="n">
        <f aca="false">ROUND(F89*H89,0)</f>
        <v>5</v>
      </c>
      <c r="J89" s="18" t="n">
        <v>1</v>
      </c>
      <c r="K89" s="20" t="n">
        <f aca="false">IF(F89=0,0,J89/F89)</f>
        <v>0.0078740157480315</v>
      </c>
      <c r="L89" s="18" t="n">
        <v>0</v>
      </c>
      <c r="M89" s="19" t="n">
        <f aca="false">IF(F89+L89=0,0,L89/(F89+L89))</f>
        <v>0</v>
      </c>
      <c r="N89" s="26" t="s">
        <v>847</v>
      </c>
    </row>
    <row r="90" customFormat="false" ht="15" hidden="false" customHeight="false" outlineLevel="0" collapsed="false">
      <c r="A90" s="13" t="s">
        <v>960</v>
      </c>
      <c r="B90" s="13" t="s">
        <v>959</v>
      </c>
      <c r="C90" s="13" t="s">
        <v>872</v>
      </c>
      <c r="D90" s="13" t="s">
        <v>131</v>
      </c>
      <c r="E90" s="13"/>
      <c r="F90" s="18" t="n">
        <v>485</v>
      </c>
      <c r="G90" s="19" t="n">
        <v>0.26</v>
      </c>
      <c r="H90" s="19" t="n">
        <v>0.031</v>
      </c>
      <c r="I90" s="18" t="n">
        <f aca="false">ROUND(F90*H90,0)</f>
        <v>15</v>
      </c>
      <c r="J90" s="18" t="n">
        <v>5</v>
      </c>
      <c r="K90" s="20" t="n">
        <f aca="false">IF(F90=0,0,J90/F90)</f>
        <v>0.0103092783505155</v>
      </c>
      <c r="L90" s="18" t="n">
        <v>5</v>
      </c>
      <c r="M90" s="19" t="n">
        <f aca="false">IF(F90+L90=0,0,L90/(F90+L90))</f>
        <v>0.0102040816326531</v>
      </c>
      <c r="N90" s="26" t="s">
        <v>847</v>
      </c>
    </row>
    <row r="91" customFormat="false" ht="15" hidden="false" customHeight="false" outlineLevel="0" collapsed="false">
      <c r="A91" s="13" t="s">
        <v>961</v>
      </c>
      <c r="B91" s="13" t="s">
        <v>962</v>
      </c>
      <c r="C91" s="13" t="s">
        <v>963</v>
      </c>
      <c r="D91" s="13" t="s">
        <v>131</v>
      </c>
      <c r="E91" s="13"/>
      <c r="F91" s="18" t="n">
        <v>1138</v>
      </c>
      <c r="G91" s="19" t="n">
        <v>0.293</v>
      </c>
      <c r="H91" s="19" t="n">
        <v>0.03</v>
      </c>
      <c r="I91" s="18" t="n">
        <f aca="false">ROUND(F91*H91,0)</f>
        <v>34</v>
      </c>
      <c r="J91" s="18" t="n">
        <v>12</v>
      </c>
      <c r="K91" s="20" t="n">
        <f aca="false">IF(F91=0,0,J91/F91)</f>
        <v>0.0105448154657294</v>
      </c>
      <c r="L91" s="18" t="n">
        <v>4</v>
      </c>
      <c r="M91" s="19" t="n">
        <f aca="false">IF(F91+L91=0,0,L91/(F91+L91))</f>
        <v>0.00350262697022767</v>
      </c>
      <c r="N91" s="26" t="s">
        <v>847</v>
      </c>
    </row>
    <row r="92" customFormat="false" ht="15" hidden="false" customHeight="false" outlineLevel="0" collapsed="false">
      <c r="A92" s="13" t="s">
        <v>964</v>
      </c>
      <c r="B92" s="13" t="s">
        <v>962</v>
      </c>
      <c r="C92" s="13" t="s">
        <v>911</v>
      </c>
      <c r="D92" s="13" t="s">
        <v>72</v>
      </c>
      <c r="E92" s="13"/>
      <c r="F92" s="18" t="n">
        <v>957</v>
      </c>
      <c r="G92" s="19" t="n">
        <v>0.323</v>
      </c>
      <c r="H92" s="19" t="n">
        <v>0.041</v>
      </c>
      <c r="I92" s="18" t="n">
        <f aca="false">ROUND(F92*H92,0)</f>
        <v>39</v>
      </c>
      <c r="J92" s="18" t="n">
        <v>1</v>
      </c>
      <c r="K92" s="20" t="n">
        <f aca="false">IF(F92=0,0,J92/F92)</f>
        <v>0.00104493207941484</v>
      </c>
      <c r="L92" s="18" t="n">
        <v>6</v>
      </c>
      <c r="M92" s="19" t="n">
        <f aca="false">IF(F92+L92=0,0,L92/(F92+L92))</f>
        <v>0.00623052959501558</v>
      </c>
      <c r="N92" s="26" t="s">
        <v>847</v>
      </c>
    </row>
    <row r="93" customFormat="false" ht="15" hidden="false" customHeight="false" outlineLevel="0" collapsed="false">
      <c r="A93" s="13" t="s">
        <v>965</v>
      </c>
      <c r="B93" s="13" t="s">
        <v>962</v>
      </c>
      <c r="C93" s="13" t="s">
        <v>92</v>
      </c>
      <c r="D93" s="13" t="s">
        <v>92</v>
      </c>
      <c r="E93" s="13" t="s">
        <v>91</v>
      </c>
      <c r="F93" s="18" t="n">
        <v>2723</v>
      </c>
      <c r="G93" s="19" t="n">
        <v>0.312</v>
      </c>
      <c r="H93" s="19" t="n">
        <v>0.025</v>
      </c>
      <c r="I93" s="18" t="n">
        <f aca="false">ROUND(F93*H93,0)</f>
        <v>68</v>
      </c>
      <c r="J93" s="18" t="n">
        <v>10</v>
      </c>
      <c r="K93" s="20" t="n">
        <f aca="false">IF(F93=0,0,J93/F93)</f>
        <v>0.00367242012486228</v>
      </c>
      <c r="L93" s="18" t="n">
        <v>18</v>
      </c>
      <c r="M93" s="19" t="n">
        <f aca="false">IF(F93+L93=0,0,L93/(F93+L93))</f>
        <v>0.00656694636993798</v>
      </c>
      <c r="N93" s="26" t="s">
        <v>847</v>
      </c>
    </row>
    <row r="94" customFormat="false" ht="15" hidden="false" customHeight="false" outlineLevel="0" collapsed="false">
      <c r="A94" s="13" t="s">
        <v>966</v>
      </c>
      <c r="B94" s="13" t="s">
        <v>962</v>
      </c>
      <c r="C94" s="13" t="s">
        <v>104</v>
      </c>
      <c r="D94" s="13" t="s">
        <v>104</v>
      </c>
      <c r="E94" s="13" t="s">
        <v>103</v>
      </c>
      <c r="F94" s="18" t="n">
        <v>978</v>
      </c>
      <c r="G94" s="19" t="n">
        <v>0.507</v>
      </c>
      <c r="H94" s="19" t="n">
        <v>0.204</v>
      </c>
      <c r="I94" s="18" t="n">
        <f aca="false">ROUND(F94*H94,0)</f>
        <v>200</v>
      </c>
      <c r="J94" s="18" t="n">
        <v>0</v>
      </c>
      <c r="K94" s="20" t="n">
        <f aca="false">IF(F94=0,0,J94/F94)</f>
        <v>0</v>
      </c>
      <c r="L94" s="18" t="n">
        <v>2</v>
      </c>
      <c r="M94" s="19" t="n">
        <f aca="false">IF(F94+L94=0,0,L94/(F94+L94))</f>
        <v>0.00204081632653061</v>
      </c>
      <c r="N94" s="26" t="s">
        <v>847</v>
      </c>
    </row>
    <row r="95" customFormat="false" ht="15" hidden="false" customHeight="false" outlineLevel="0" collapsed="false">
      <c r="A95" s="13" t="s">
        <v>967</v>
      </c>
      <c r="B95" s="13" t="s">
        <v>968</v>
      </c>
      <c r="C95" s="13" t="s">
        <v>107</v>
      </c>
      <c r="D95" s="13" t="s">
        <v>108</v>
      </c>
      <c r="E95" s="13" t="s">
        <v>106</v>
      </c>
      <c r="F95" s="18" t="n">
        <v>805</v>
      </c>
      <c r="G95" s="19" t="n">
        <v>0.277</v>
      </c>
      <c r="H95" s="19" t="n">
        <v>0.007</v>
      </c>
      <c r="I95" s="18" t="n">
        <f aca="false">ROUND(F95*H95,0)</f>
        <v>6</v>
      </c>
      <c r="J95" s="18" t="n">
        <v>8</v>
      </c>
      <c r="K95" s="20" t="n">
        <f aca="false">IF(F95=0,0,J95/F95)</f>
        <v>0.00993788819875776</v>
      </c>
      <c r="L95" s="18" t="n">
        <v>33</v>
      </c>
      <c r="M95" s="19" t="n">
        <f aca="false">IF(F95+L95=0,0,L95/(F95+L95))</f>
        <v>0.0393794749403341</v>
      </c>
      <c r="N95" s="26" t="s">
        <v>847</v>
      </c>
    </row>
    <row r="96" customFormat="false" ht="15" hidden="false" customHeight="false" outlineLevel="0" collapsed="false">
      <c r="A96" s="13" t="s">
        <v>969</v>
      </c>
      <c r="B96" s="13" t="s">
        <v>968</v>
      </c>
      <c r="C96" s="13" t="s">
        <v>939</v>
      </c>
      <c r="D96" s="13" t="s">
        <v>72</v>
      </c>
      <c r="E96" s="13"/>
      <c r="F96" s="18" t="n">
        <v>3313</v>
      </c>
      <c r="G96" s="19" t="n">
        <v>0.273</v>
      </c>
      <c r="H96" s="19" t="n">
        <v>0.009</v>
      </c>
      <c r="I96" s="18" t="n">
        <f aca="false">ROUND(F96*H96,0)</f>
        <v>30</v>
      </c>
      <c r="J96" s="18" t="n">
        <v>37</v>
      </c>
      <c r="K96" s="20" t="n">
        <f aca="false">IF(F96=0,0,J96/F96)</f>
        <v>0.0111681255659523</v>
      </c>
      <c r="L96" s="18" t="n">
        <v>27</v>
      </c>
      <c r="M96" s="19" t="n">
        <f aca="false">IF(F96+L96=0,0,L96/(F96+L96))</f>
        <v>0.00808383233532934</v>
      </c>
      <c r="N96" s="26" t="s">
        <v>847</v>
      </c>
    </row>
    <row r="97" customFormat="false" ht="15" hidden="false" customHeight="false" outlineLevel="0" collapsed="false">
      <c r="A97" s="13" t="s">
        <v>156</v>
      </c>
      <c r="B97" s="13" t="s">
        <v>157</v>
      </c>
      <c r="C97" s="13" t="s">
        <v>970</v>
      </c>
      <c r="D97" s="13" t="s">
        <v>72</v>
      </c>
      <c r="E97" s="13"/>
      <c r="F97" s="18" t="n">
        <v>18358</v>
      </c>
      <c r="G97" s="19" t="n">
        <v>0.268</v>
      </c>
      <c r="H97" s="19" t="n">
        <v>0.043</v>
      </c>
      <c r="I97" s="18" t="n">
        <f aca="false">ROUND(F97*H97,0)</f>
        <v>789</v>
      </c>
      <c r="J97" s="18" t="n">
        <v>417</v>
      </c>
      <c r="K97" s="20" t="n">
        <f aca="false">IF(F97=0,0,J97/F97)</f>
        <v>0.0227148926898355</v>
      </c>
      <c r="L97" s="18" t="n">
        <v>834</v>
      </c>
      <c r="M97" s="19" t="n">
        <f aca="false">IF(F97+L97=0,0,L97/(F97+L97))</f>
        <v>0.0434556065027095</v>
      </c>
      <c r="N97" s="26" t="s">
        <v>847</v>
      </c>
    </row>
    <row r="98" customFormat="false" ht="15" hidden="false" customHeight="false" outlineLevel="0" collapsed="false">
      <c r="A98" s="13" t="s">
        <v>971</v>
      </c>
      <c r="B98" s="13" t="s">
        <v>972</v>
      </c>
      <c r="C98" s="13" t="s">
        <v>963</v>
      </c>
      <c r="D98" s="13" t="s">
        <v>131</v>
      </c>
      <c r="E98" s="13"/>
      <c r="F98" s="18" t="n">
        <v>1168</v>
      </c>
      <c r="G98" s="19" t="n">
        <v>0.209</v>
      </c>
      <c r="H98" s="19" t="n">
        <v>0.015</v>
      </c>
      <c r="I98" s="18" t="n">
        <f aca="false">ROUND(F98*H98,0)</f>
        <v>18</v>
      </c>
      <c r="J98" s="18" t="n">
        <v>17</v>
      </c>
      <c r="K98" s="20" t="n">
        <f aca="false">IF(F98=0,0,J98/F98)</f>
        <v>0.0145547945205479</v>
      </c>
      <c r="L98" s="18" t="n">
        <v>25</v>
      </c>
      <c r="M98" s="19" t="n">
        <f aca="false">IF(F98+L98=0,0,L98/(F98+L98))</f>
        <v>0.0209555741827326</v>
      </c>
      <c r="N98" s="26" t="s">
        <v>847</v>
      </c>
    </row>
    <row r="99" customFormat="false" ht="15" hidden="false" customHeight="false" outlineLevel="0" collapsed="false">
      <c r="A99" s="13" t="s">
        <v>973</v>
      </c>
      <c r="B99" s="13" t="s">
        <v>972</v>
      </c>
      <c r="C99" s="13" t="s">
        <v>947</v>
      </c>
      <c r="D99" s="13" t="s">
        <v>131</v>
      </c>
      <c r="E99" s="13"/>
      <c r="F99" s="18" t="n">
        <v>54</v>
      </c>
      <c r="G99" s="19" t="n">
        <v>0.481</v>
      </c>
      <c r="H99" s="19" t="n">
        <v>0.167</v>
      </c>
      <c r="I99" s="18" t="n">
        <f aca="false">ROUND(F99*H99,0)</f>
        <v>9</v>
      </c>
      <c r="J99" s="18" t="n">
        <v>0</v>
      </c>
      <c r="K99" s="20" t="n">
        <f aca="false">IF(F99=0,0,J99/F99)</f>
        <v>0</v>
      </c>
      <c r="L99" s="18" t="n">
        <v>1</v>
      </c>
      <c r="M99" s="19" t="n">
        <f aca="false">IF(F99+L99=0,0,L99/(F99+L99))</f>
        <v>0.0181818181818182</v>
      </c>
      <c r="N99" s="26" t="s">
        <v>847</v>
      </c>
    </row>
    <row r="100" customFormat="false" ht="15" hidden="false" customHeight="false" outlineLevel="0" collapsed="false">
      <c r="A100" s="13" t="s">
        <v>974</v>
      </c>
      <c r="B100" s="13" t="s">
        <v>972</v>
      </c>
      <c r="C100" s="13" t="s">
        <v>863</v>
      </c>
      <c r="D100" s="13" t="s">
        <v>131</v>
      </c>
      <c r="E100" s="13"/>
      <c r="F100" s="18" t="n">
        <v>147</v>
      </c>
      <c r="G100" s="19" t="n">
        <v>0.605</v>
      </c>
      <c r="H100" s="19" t="n">
        <v>0.354</v>
      </c>
      <c r="I100" s="18" t="n">
        <f aca="false">ROUND(F100*H100,0)</f>
        <v>52</v>
      </c>
      <c r="J100" s="18" t="n">
        <v>0</v>
      </c>
      <c r="K100" s="20" t="n">
        <f aca="false">IF(F100=0,0,J100/F100)</f>
        <v>0</v>
      </c>
      <c r="L100" s="18" t="n">
        <v>2</v>
      </c>
      <c r="M100" s="19" t="n">
        <f aca="false">IF(F100+L100=0,0,L100/(F100+L100))</f>
        <v>0.0134228187919463</v>
      </c>
      <c r="N100" s="26" t="s">
        <v>847</v>
      </c>
    </row>
    <row r="101" customFormat="false" ht="15" hidden="false" customHeight="false" outlineLevel="0" collapsed="false">
      <c r="A101" s="13" t="s">
        <v>975</v>
      </c>
      <c r="B101" s="13" t="s">
        <v>972</v>
      </c>
      <c r="C101" s="13" t="s">
        <v>92</v>
      </c>
      <c r="D101" s="13" t="s">
        <v>92</v>
      </c>
      <c r="E101" s="13"/>
      <c r="F101" s="18" t="n">
        <v>78</v>
      </c>
      <c r="G101" s="19" t="n">
        <v>0.462</v>
      </c>
      <c r="H101" s="19" t="n">
        <v>0.231</v>
      </c>
      <c r="I101" s="18" t="n">
        <f aca="false">ROUND(F101*H101,0)</f>
        <v>18</v>
      </c>
      <c r="J101" s="18" t="n">
        <v>1</v>
      </c>
      <c r="K101" s="20" t="n">
        <f aca="false">IF(F101=0,0,J101/F101)</f>
        <v>0.0128205128205128</v>
      </c>
      <c r="L101" s="18" t="n">
        <v>0</v>
      </c>
      <c r="M101" s="19" t="n">
        <f aca="false">IF(F101+L101=0,0,L101/(F101+L101))</f>
        <v>0</v>
      </c>
      <c r="N101" s="26" t="s">
        <v>847</v>
      </c>
    </row>
    <row r="102" customFormat="false" ht="15" hidden="false" customHeight="false" outlineLevel="0" collapsed="false">
      <c r="A102" s="13" t="s">
        <v>976</v>
      </c>
      <c r="B102" s="13" t="s">
        <v>977</v>
      </c>
      <c r="C102" s="13" t="s">
        <v>85</v>
      </c>
      <c r="D102" s="13" t="s">
        <v>86</v>
      </c>
      <c r="E102" s="13" t="s">
        <v>114</v>
      </c>
      <c r="F102" s="18" t="n">
        <v>612</v>
      </c>
      <c r="G102" s="19" t="n">
        <v>0.232</v>
      </c>
      <c r="H102" s="19" t="n">
        <v>0.005</v>
      </c>
      <c r="I102" s="18" t="n">
        <f aca="false">ROUND(F102*H102,0)</f>
        <v>3</v>
      </c>
      <c r="J102" s="18" t="n">
        <v>3</v>
      </c>
      <c r="K102" s="20" t="n">
        <f aca="false">IF(F102=0,0,J102/F102)</f>
        <v>0.00490196078431373</v>
      </c>
      <c r="L102" s="18" t="n">
        <v>10</v>
      </c>
      <c r="M102" s="19" t="n">
        <f aca="false">IF(F102+L102=0,0,L102/(F102+L102))</f>
        <v>0.0160771704180064</v>
      </c>
      <c r="N102" s="26" t="s">
        <v>847</v>
      </c>
    </row>
    <row r="103" customFormat="false" ht="15" hidden="false" customHeight="false" outlineLevel="0" collapsed="false">
      <c r="A103" s="13" t="s">
        <v>978</v>
      </c>
      <c r="B103" s="13" t="s">
        <v>979</v>
      </c>
      <c r="C103" s="13" t="s">
        <v>939</v>
      </c>
      <c r="D103" s="13" t="s">
        <v>72</v>
      </c>
      <c r="E103" s="13"/>
      <c r="F103" s="18" t="n">
        <v>3390</v>
      </c>
      <c r="G103" s="19" t="n">
        <v>0.31</v>
      </c>
      <c r="H103" s="19" t="n">
        <v>0.015</v>
      </c>
      <c r="I103" s="18" t="n">
        <f aca="false">ROUND(F103*H103,0)</f>
        <v>51</v>
      </c>
      <c r="J103" s="18" t="n">
        <v>48</v>
      </c>
      <c r="K103" s="20" t="n">
        <f aca="false">IF(F103=0,0,J103/F103)</f>
        <v>0.0141592920353982</v>
      </c>
      <c r="L103" s="18" t="n">
        <v>34</v>
      </c>
      <c r="M103" s="19" t="n">
        <f aca="false">IF(F103+L103=0,0,L103/(F103+L103))</f>
        <v>0.00992990654205607</v>
      </c>
      <c r="N103" s="26" t="s">
        <v>847</v>
      </c>
    </row>
    <row r="104" customFormat="false" ht="15" hidden="false" customHeight="false" outlineLevel="0" collapsed="false">
      <c r="A104" s="13" t="s">
        <v>980</v>
      </c>
      <c r="B104" s="13" t="s">
        <v>981</v>
      </c>
      <c r="C104" s="13" t="s">
        <v>71</v>
      </c>
      <c r="D104" s="13" t="s">
        <v>72</v>
      </c>
      <c r="E104" s="13" t="s">
        <v>70</v>
      </c>
      <c r="F104" s="18" t="n">
        <v>5989</v>
      </c>
      <c r="G104" s="19" t="n">
        <v>0.253</v>
      </c>
      <c r="H104" s="19" t="n">
        <v>0.016</v>
      </c>
      <c r="I104" s="18" t="n">
        <f aca="false">ROUND(F104*H104,0)</f>
        <v>96</v>
      </c>
      <c r="J104" s="18" t="n">
        <v>65</v>
      </c>
      <c r="K104" s="20" t="n">
        <f aca="false">IF(F104=0,0,J104/F104)</f>
        <v>0.0108532309233595</v>
      </c>
      <c r="L104" s="18" t="n">
        <v>54</v>
      </c>
      <c r="M104" s="19" t="n">
        <f aca="false">IF(F104+L104=0,0,L104/(F104+L104))</f>
        <v>0.00893595896078107</v>
      </c>
      <c r="N104" s="26" t="s">
        <v>847</v>
      </c>
    </row>
  </sheetData>
  <autoFilter ref="A4:N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982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5" t="s">
        <v>983</v>
      </c>
      <c r="B3" s="16" t="s">
        <v>984</v>
      </c>
    </row>
    <row r="4" customFormat="false" ht="15" hidden="false" customHeight="false" outlineLevel="0" collapsed="false">
      <c r="A4" s="5" t="s">
        <v>985</v>
      </c>
      <c r="B4" s="16" t="s">
        <v>986</v>
      </c>
    </row>
    <row r="5" customFormat="false" ht="15" hidden="false" customHeight="false" outlineLevel="0" collapsed="false">
      <c r="A5" s="5" t="s">
        <v>987</v>
      </c>
      <c r="B5" s="16" t="s">
        <v>988</v>
      </c>
    </row>
    <row r="6" customFormat="false" ht="23.85" hidden="false" customHeight="false" outlineLevel="0" collapsed="false">
      <c r="A6" s="5" t="s">
        <v>141</v>
      </c>
      <c r="B6" s="16" t="s">
        <v>989</v>
      </c>
    </row>
    <row r="7" customFormat="false" ht="15" hidden="false" customHeight="false" outlineLevel="0" collapsed="false">
      <c r="A7" s="5" t="s">
        <v>12</v>
      </c>
      <c r="B7" s="16" t="s">
        <v>990</v>
      </c>
    </row>
    <row r="8" customFormat="false" ht="15" hidden="false" customHeight="false" outlineLevel="0" collapsed="false">
      <c r="A8" s="5" t="s">
        <v>65</v>
      </c>
      <c r="B8" s="16" t="s">
        <v>991</v>
      </c>
    </row>
    <row r="9" customFormat="false" ht="15" hidden="false" customHeight="false" outlineLevel="0" collapsed="false">
      <c r="A9" s="5" t="s">
        <v>992</v>
      </c>
      <c r="B9" s="16" t="s">
        <v>993</v>
      </c>
    </row>
    <row r="10" customFormat="false" ht="15" hidden="false" customHeight="false" outlineLevel="0" collapsed="false">
      <c r="A10" s="5" t="s">
        <v>59</v>
      </c>
      <c r="B10" s="16" t="s">
        <v>994</v>
      </c>
    </row>
    <row r="11" customFormat="false" ht="15" hidden="false" customHeight="false" outlineLevel="0" collapsed="false">
      <c r="A11" s="5" t="s">
        <v>191</v>
      </c>
      <c r="B11" s="16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2026-10-08T10:07:19Z</dcterms:created>
  <dc:creator>openpyxl</dc:creator>
  <dc:description/>
  <dc:language>en-US</dc:language>
  <cp:lastModifiedBy/>
  <dcterms:modified xsi:type="dcterms:W3CDTF">2026-10-08T10:07:19Z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