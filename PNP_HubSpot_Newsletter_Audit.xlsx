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ewsletter Map" sheetId="2" state="visible" r:id="rId4"/>
    <sheet name="Location Audit" sheetId="3" state="visible" r:id="rId5"/>
    <sheet name="Industry Newsletters" sheetId="4" state="visible" r:id="rId6"/>
    <sheet name="Contacts" sheetId="5" state="visible" r:id="rId7"/>
    <sheet name="Subscription Types" sheetId="6" state="visible" r:id="rId8"/>
    <sheet name="Workflows" sheetId="7" state="visible" r:id="rId9"/>
    <sheet name="Campaigns" sheetId="8" state="visible" r:id="rId10"/>
    <sheet name="Teams" sheetId="9" state="visible" r:id="rId11"/>
    <sheet name="All Emails" sheetId="10" state="visible" r:id="rId12"/>
    <sheet name="Sources" sheetId="11" state="visible" r:id="rId13"/>
  </sheets>
  <definedNames>
    <definedName function="false" hidden="true" localSheetId="9" name="_xlnm._FilterDatabase" vbProcedure="false">'All Emails'!$A$4:$W$1067</definedName>
    <definedName function="false" hidden="true" localSheetId="1" name="_xlnm._FilterDatabase" vbProcedure="false">'Newsletter Map'!$A$4:$S$44</definedName>
    <definedName function="false" hidden="true" localSheetId="6" name="_xlnm._FilterDatabase" vbProcedure="false">Workflows!$A$4:$E$313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<sst xmlns="http://schemas.openxmlformats.org/spreadsheetml/2006/main" count="11124" uniqueCount="2421">
  <si>
    <t xml:space="preserve">HubSpot Newsletter Audit – Summary data</t>
  </si>
  <si>
    <t xml:space="preserve">Source: HubSpot Analyze export and Health tab, pulled 8 Oct 2026.</t>
  </si>
  <si>
    <t xml:space="preserve">All marketing emails, 1 Oct 2025 – 30 Sep 2026 (vs previous 365 days)</t>
  </si>
  <si>
    <t xml:space="preserve">Metric</t>
  </si>
  <si>
    <t xml:space="preserve">Value</t>
  </si>
  <si>
    <t xml:space="preserve">Change vs previous 365 days</t>
  </si>
  <si>
    <t xml:space="preserve">Emails sent</t>
  </si>
  <si>
    <t xml:space="preserve">Unique emails</t>
  </si>
  <si>
    <t xml:space="preserve">–</t>
  </si>
  <si>
    <t xml:space="preserve">Delivered</t>
  </si>
  <si>
    <t xml:space="preserve">Delivery rate</t>
  </si>
  <si>
    <t xml:space="preserve">Open rate</t>
  </si>
  <si>
    <t xml:space="preserve">Click rate</t>
  </si>
  <si>
    <t xml:space="preserve">Click-through rate (clicks ÷ opens)</t>
  </si>
  <si>
    <t xml:space="preserve">Reply rate</t>
  </si>
  <si>
    <t xml:space="preserve">Hard bounce rate</t>
  </si>
  <si>
    <t xml:space="preserve">Unsubscribe rate</t>
  </si>
  <si>
    <t xml:space="preserve">Spam report rate</t>
  </si>
  <si>
    <t xml:space="preserve">Email health, last 30 days (5 Sep – 5 Oct 2026)</t>
  </si>
  <si>
    <t xml:space="preserve">PnP</t>
  </si>
  <si>
    <t xml:space="preserve">HubSpot benchmark</t>
  </si>
  <si>
    <t xml:space="preserve">HubSpot rating</t>
  </si>
  <si>
    <t xml:space="preserve">Email health score</t>
  </si>
  <si>
    <t xml:space="preserve">3 / 10</t>
  </si>
  <si>
    <t xml:space="preserve">Needs work</t>
  </si>
  <si>
    <t xml:space="preserve">Opens</t>
  </si>
  <si>
    <t xml:space="preserve">Very good</t>
  </si>
  <si>
    <t xml:space="preserve">Click-throughs</t>
  </si>
  <si>
    <t xml:space="preserve">Okay</t>
  </si>
  <si>
    <t xml:space="preserve">Hard bounces</t>
  </si>
  <si>
    <t xml:space="preserve">Poor</t>
  </si>
  <si>
    <t xml:space="preserve">Unsubscribes</t>
  </si>
  <si>
    <t xml:space="preserve">Spam reports</t>
  </si>
  <si>
    <t xml:space="preserve">Email health by month (HubSpot Health tab)</t>
  </si>
  <si>
    <t xml:space="preserve">Month</t>
  </si>
  <si>
    <t xml:space="preserve">Health score (/10)</t>
  </si>
  <si>
    <t xml:space="preserve">Oct 2025</t>
  </si>
  <si>
    <t xml:space="preserve">Nov 2025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</si>
  <si>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</si>
  <si>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</si>
  <si>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</si>
  <si>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</si>
  <si>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</si>
  <si>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</si>
  <si>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</si>
  <si>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</si>
  <si>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</si>
  <si>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</si>
  <si>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Red = above HubSpot benchmark (hard bounces 0.25%, unsubscribes 0.35%).</t>
  </si>
  <si>
    <t xml:space="preserve">Device type (1 Oct 2025 – 30 Sep 2026)</t>
  </si>
  <si>
    <t xml:space="preserve">Device</t>
  </si>
  <si>
    <t xml:space="preserve">Clicks</t>
  </si>
  <si>
    <t xml:space="preserve">Desktop</t>
  </si>
  <si>
    <t xml:space="preserve">Mobile</t>
  </si>
  <si>
    <t xml:space="preserve">Other</t>
  </si>
  <si>
    <t xml:space="preserve">Unsubscribe reasons</t>
  </si>
  <si>
    <t xml:space="preserve">No data</t>
  </si>
  <si>
    <t xml:space="preserve">Emails by HubSpot classification (1 Oct 2025 – 30 Sep 2026)</t>
  </si>
  <si>
    <t xml:space="preserve">HubSpot classification</t>
  </si>
  <si>
    <t xml:space="preserve">Emails</t>
  </si>
  <si>
    <t xml:space="preserve">Event Invitation or Reminder</t>
  </si>
  <si>
    <t xml:space="preserve">Newsletter</t>
  </si>
  <si>
    <t xml:space="preserve">Not classified</t>
  </si>
  <si>
    <t xml:space="preserve">Initial Engagement</t>
  </si>
  <si>
    <t xml:space="preserve">Account Management</t>
  </si>
  <si>
    <t xml:space="preserve">Educational</t>
  </si>
  <si>
    <t xml:space="preserve">Feedback</t>
  </si>
  <si>
    <t xml:space="preserve">Product or Feature Announcement</t>
  </si>
  <si>
    <t xml:space="preserve">Promotional Offer</t>
  </si>
  <si>
    <t xml:space="preserve">Total</t>
  </si>
  <si>
    <t xml:space="preserve">Of which HR birthday / anniversary emails (name starts 'HR_')</t>
  </si>
  <si>
    <t xml:space="preserve">3 emails with the most bounces, 1 Aug – 30 Sep 2026</t>
  </si>
  <si>
    <t xml:space="preserve">Email</t>
  </si>
  <si>
    <t xml:space="preserve">Bounces</t>
  </si>
  <si>
    <t xml:space="preserve">JTP | JAP_Sansan List_Consent Mail_20260909</t>
  </si>
  <si>
    <t xml:space="preserve">Plug and Play's 2026 Corporate Partnership Survey - Third Batch</t>
  </si>
  <si>
    <t xml:space="preserve">FR_ALIBABA COCREATE STARUP EMAIL FINAL</t>
  </si>
  <si>
    <t xml:space="preserve">These 3 emails</t>
  </si>
  <si>
    <t xml:space="preserve">All emails sent 1 Aug – 30 Sep 2026</t>
  </si>
  <si>
    <t xml:space="preserve">Share caused by these 3 emails</t>
  </si>
  <si>
    <t xml:space="preserve">Newsletter Map – recurring newsletters, 1 Oct 2025 – 30 Sep 2026</t>
  </si>
  <si>
    <t xml:space="preserve">Calculated from 'All Emails'. Sends within 3 days of each other (clones, part 2s, A/B versions) count as one send. 'How often' = based on the median number of days between sends.</t>
  </si>
  <si>
    <t xml:space="preserve">Type</t>
  </si>
  <si>
    <t xml:space="preserve">Location / program</t>
  </si>
  <si>
    <t xml:space="preserve">Sender (From name)</t>
  </si>
  <si>
    <t xml:space="preserve">Created by</t>
  </si>
  <si>
    <t xml:space="preserve">Subscription type(s) used (emails)</t>
  </si>
  <si>
    <t xml:space="preserve">How often</t>
  </si>
  <si>
    <t xml:space="preserve">Median days between sends</t>
  </si>
  <si>
    <t xml:space="preserve">Sends</t>
  </si>
  <si>
    <t xml:space="preserve">First sent</t>
  </si>
  <si>
    <t xml:space="preserve">Last sent</t>
  </si>
  <si>
    <t xml:space="preserve">Months sent</t>
  </si>
  <si>
    <t xml:space="preserve">Sent Jul–Sep 2026</t>
  </si>
  <si>
    <t xml:space="preserve">Delivered (total)</t>
  </si>
  <si>
    <t xml:space="preserve">Avg. delivered per send</t>
  </si>
  <si>
    <t xml:space="preserve">Unsub rate</t>
  </si>
  <si>
    <t xml:space="preserve">Bounce rate</t>
  </si>
  <si>
    <t xml:space="preserve">Global Newsletter (GNL)</t>
  </si>
  <si>
    <t xml:space="preserve">Global</t>
  </si>
  <si>
    <t xml:space="preserve">Silicon Valley (HQ)</t>
  </si>
  <si>
    <t xml:space="preserve">Jacky from Plug and Play</t>
  </si>
  <si>
    <t xml:space="preserve">Jacky Tsang, Anto Guarin</t>
  </si>
  <si>
    <t xml:space="preserve">Plug and Play Global Newsletter (13)</t>
  </si>
  <si>
    <t xml:space="preserve">Monthly</t>
  </si>
  <si>
    <t xml:space="preserve">Oct 25, Nov 25, Dec 25, Jan 26, Feb 26, Mar 26, Apr 26, May 26, Jun 26, Jul 26, Aug 26, Sep 26</t>
  </si>
  <si>
    <t xml:space="preserve">Yes</t>
  </si>
  <si>
    <t xml:space="preserve">UK Newsletter</t>
  </si>
  <si>
    <t xml:space="preserve">Location</t>
  </si>
  <si>
    <t xml:space="preserve">UK</t>
  </si>
  <si>
    <t xml:space="preserve">Kieran Borrett</t>
  </si>
  <si>
    <t xml:space="preserve">Margherita Giol, Christina Kim</t>
  </si>
  <si>
    <t xml:space="preserve">Plug and Play Marketing Communications (9); Plug and Play UK Communications (3)</t>
  </si>
  <si>
    <t xml:space="preserve">Oct 25, Nov 25, Jan 26, Feb 26, Mar 26, Apr 26, May 26, Jun 26, Jul 26, Sep 26</t>
  </si>
  <si>
    <t xml:space="preserve">Texas Newsletter</t>
  </si>
  <si>
    <t xml:space="preserve">Texas</t>
  </si>
  <si>
    <t xml:space="preserve">Francis from Plug and Play</t>
  </si>
  <si>
    <t xml:space="preserve">Francis Garner</t>
  </si>
  <si>
    <t xml:space="preserve">Plug and Play Marketing Communications (6)</t>
  </si>
  <si>
    <t xml:space="preserve">Feb 26, Mar 26, Apr 26, Jun 26, Aug 26, Sep 26</t>
  </si>
  <si>
    <t xml:space="preserve">Italy Newsletter</t>
  </si>
  <si>
    <t xml:space="preserve">Italy</t>
  </si>
  <si>
    <t xml:space="preserve">Tommaso Maschera</t>
  </si>
  <si>
    <t xml:space="preserve">Ilaria Battistutta, Alessandro Tino</t>
  </si>
  <si>
    <t xml:space="preserve">Plug and Play Marketing Communications (8); Plug and Play Italy (5)</t>
  </si>
  <si>
    <t xml:space="preserve">APAC Newsletter</t>
  </si>
  <si>
    <t xml:space="preserve">APAC</t>
  </si>
  <si>
    <t xml:space="preserve">Plug and Play APAC</t>
  </si>
  <si>
    <t xml:space="preserve">Madeleine Gan</t>
  </si>
  <si>
    <t xml:space="preserve">Plug and Play APAC (10)</t>
  </si>
  <si>
    <t xml:space="preserve">Nov 25, Jan 26, Feb 26, Mar 26, Apr 26, May 26, Jun 26, Jul 26, Aug 26, Sep 26</t>
  </si>
  <si>
    <t xml:space="preserve">Arizona Monthly eBlast</t>
  </si>
  <si>
    <t xml:space="preserve">Arizona</t>
  </si>
  <si>
    <t xml:space="preserve">Plug and Play Arizona</t>
  </si>
  <si>
    <t xml:space="preserve">Dean Simms</t>
  </si>
  <si>
    <t xml:space="preserve">Plug and Play Events (5)</t>
  </si>
  <si>
    <t xml:space="preserve">Oct 25, Nov 25, Dec 25, Mar 26</t>
  </si>
  <si>
    <t xml:space="preserve">No</t>
  </si>
  <si>
    <t xml:space="preserve">APAC Ventures Wrap-Up</t>
  </si>
  <si>
    <t xml:space="preserve">James Conde</t>
  </si>
  <si>
    <t xml:space="preserve">Plug and Play APAC (2)</t>
  </si>
  <si>
    <t xml:space="preserve">Quarterly</t>
  </si>
  <si>
    <t xml:space="preserve">Apr 26, Jul 26</t>
  </si>
  <si>
    <t xml:space="preserve">Central Asia &amp; Caucasus Newsletter</t>
  </si>
  <si>
    <t xml:space="preserve">Central Asia &amp; Caucasus</t>
  </si>
  <si>
    <t xml:space="preserve">Gohar from Plug and Play Central Asia and Caucasus, Julia from Plug and Play, Sofi from Plug and Play Central Asia and Caucasus</t>
  </si>
  <si>
    <t xml:space="preserve">Goharik Hovhannisyan, Julia Schimpf</t>
  </si>
  <si>
    <t xml:space="preserve">Plug and Play Marketing Communications (7); Plug and Play Central Asia &amp; Caucasus (2)</t>
  </si>
  <si>
    <t xml:space="preserve">Every 2 months</t>
  </si>
  <si>
    <t xml:space="preserve">Oct 25, Dec 25, Feb 26, Mar 26, May 26, Jun 26, Sep 26</t>
  </si>
  <si>
    <t xml:space="preserve">Japan Newsletter</t>
  </si>
  <si>
    <t xml:space="preserve">Japan</t>
  </si>
  <si>
    <t xml:space="preserve">Plug and Play Japan</t>
  </si>
  <si>
    <t xml:space="preserve">Chiyo Kamino, Yuki Nakatani</t>
  </si>
  <si>
    <t xml:space="preserve">Plug and Play Japan (23)</t>
  </si>
  <si>
    <t xml:space="preserve">Every 2 weeks</t>
  </si>
  <si>
    <t xml:space="preserve">Oct 25, Nov 25, Dec 25, Jan 26, Feb 26, Apr 26, May 26, Jun 26, Jul 26, Aug 26, Sep 26</t>
  </si>
  <si>
    <t xml:space="preserve">Seattle Community Newsletter</t>
  </si>
  <si>
    <t xml:space="preserve">Seattle</t>
  </si>
  <si>
    <t xml:space="preserve">Emmanuel Chan, Plug and Play Seattle</t>
  </si>
  <si>
    <t xml:space="preserve">Emmanuel Chan</t>
  </si>
  <si>
    <t xml:space="preserve">Plug and Play Marketing Communications (5); Enterprise &amp; AI Newsletter (4)</t>
  </si>
  <si>
    <t xml:space="preserve">Oct 25, Nov 25, Dec 25, Jan 26, Mar 26, Apr 26, May 26, Jun 26, Sep 26</t>
  </si>
  <si>
    <t xml:space="preserve">Indiana Medtech + Lifetech Newsletter</t>
  </si>
  <si>
    <t xml:space="preserve">Indiana (Indianapolis / Warsaw IN)</t>
  </si>
  <si>
    <t xml:space="preserve">Eileen Alberding, Plug and Play Indiana</t>
  </si>
  <si>
    <t xml:space="preserve">Eileen Alberding</t>
  </si>
  <si>
    <t xml:space="preserve">Plug and Play Marketing Communications (7)</t>
  </si>
  <si>
    <t xml:space="preserve">Feb 26, Apr 26, May 26, Jun 26, Jul 26, Sep 26</t>
  </si>
  <si>
    <t xml:space="preserve">Türkiye Newsletter</t>
  </si>
  <si>
    <t xml:space="preserve">Türkiye</t>
  </si>
  <si>
    <t xml:space="preserve">Zeynep from Plug and Play</t>
  </si>
  <si>
    <t xml:space="preserve">Zeynep Uzun</t>
  </si>
  <si>
    <t xml:space="preserve">Plug and Play Marketing Communications (8); Plug and Play Istanbul Communications (4)</t>
  </si>
  <si>
    <t xml:space="preserve">Medtech Community Newsletter</t>
  </si>
  <si>
    <t xml:space="preserve">Plug and Play Warsaw (4)</t>
  </si>
  <si>
    <t xml:space="preserve">Oct 25, Nov 25, Dec 25, Jan 26</t>
  </si>
  <si>
    <t xml:space="preserve">Cambodia Newsletter</t>
  </si>
  <si>
    <t xml:space="preserve">Jez Chin</t>
  </si>
  <si>
    <t xml:space="preserve">Apr 26, Jun 26</t>
  </si>
  <si>
    <t xml:space="preserve">Lifetech Community Newsletter</t>
  </si>
  <si>
    <t xml:space="preserve">Plug and Play Indiana (2)</t>
  </si>
  <si>
    <t xml:space="preserve">Nov 25, Dec 25</t>
  </si>
  <si>
    <t xml:space="preserve">Vienna Recap</t>
  </si>
  <si>
    <t xml:space="preserve">Austria (Vienna)</t>
  </si>
  <si>
    <t xml:space="preserve">Plug and Play Vienna</t>
  </si>
  <si>
    <t xml:space="preserve">Christina Schiefauer</t>
  </si>
  <si>
    <t xml:space="preserve">Plug and Play Austria (2); Plug and Play Marketing Communications (2)</t>
  </si>
  <si>
    <t xml:space="preserve">Oct 25, Dec 25, Mar 26, Jul 26</t>
  </si>
  <si>
    <t xml:space="preserve">Enterprise &amp; AI Newsletter</t>
  </si>
  <si>
    <t xml:space="preserve">Industry</t>
  </si>
  <si>
    <t xml:space="preserve">Industry newsletters</t>
  </si>
  <si>
    <t xml:space="preserve">Amit from Plug and Play</t>
  </si>
  <si>
    <t xml:space="preserve">Anto Guarin</t>
  </si>
  <si>
    <t xml:space="preserve">Plug and Play Marketing Communications (1)</t>
  </si>
  <si>
    <t xml:space="preserve">Once</t>
  </si>
  <si>
    <t xml:space="preserve">Apr 26</t>
  </si>
  <si>
    <t xml:space="preserve">Sustainable Future Newsletter</t>
  </si>
  <si>
    <t xml:space="preserve">Robert Grey</t>
  </si>
  <si>
    <t xml:space="preserve">Anto Guarin, Jacky Tsang</t>
  </si>
  <si>
    <t xml:space="preserve">Plug and Play Marketing Communications (4)</t>
  </si>
  <si>
    <t xml:space="preserve">Oct 25, Nov 25, Apr 26, Jul 26</t>
  </si>
  <si>
    <t xml:space="preserve">Fintech &amp; AI Fund Insights</t>
  </si>
  <si>
    <t xml:space="preserve">Brooke Ballinger</t>
  </si>
  <si>
    <t xml:space="preserve">Fintech &amp; AI Fund Insights (2)</t>
  </si>
  <si>
    <t xml:space="preserve">New (started Aug–Sep 2026)</t>
  </si>
  <si>
    <t xml:space="preserve">Aug 26, Sep 26</t>
  </si>
  <si>
    <t xml:space="preserve">Smart Cities Newsletter</t>
  </si>
  <si>
    <t xml:space="preserve">Angie from Plug and Play, Sobhan Khani</t>
  </si>
  <si>
    <t xml:space="preserve">Plug and Play Marketing Communications (2)</t>
  </si>
  <si>
    <t xml:space="preserve">Twice a year</t>
  </si>
  <si>
    <t xml:space="preserve">Oct 25, Jun 26</t>
  </si>
  <si>
    <t xml:space="preserve">Global Travel &amp; Hospitality Newsletter</t>
  </si>
  <si>
    <t xml:space="preserve">Christina from Plug and Play, Plug and Play Vienna</t>
  </si>
  <si>
    <t xml:space="preserve">Plug and Play Global Newsletter (2); Plug and Play Marketing Communications (1)</t>
  </si>
  <si>
    <t xml:space="preserve">Jan 26, Apr 26, Jul 26</t>
  </si>
  <si>
    <t xml:space="preserve">Health Newsletter</t>
  </si>
  <si>
    <t xml:space="preserve">Ayah from Plug and Play</t>
  </si>
  <si>
    <t xml:space="preserve">Plug and Play Marketing Communications (3)</t>
  </si>
  <si>
    <t xml:space="preserve">Nov 25, Apr 26, Jul 26</t>
  </si>
  <si>
    <t xml:space="preserve">Financial Services Newsletter</t>
  </si>
  <si>
    <t xml:space="preserve">Davis Auksmuksts</t>
  </si>
  <si>
    <t xml:space="preserve">Brand &amp; Retail (BRAM) Newsletter</t>
  </si>
  <si>
    <t xml:space="preserve">Brand &amp; Retail (program)</t>
  </si>
  <si>
    <t xml:space="preserve">Plug and Play Brand and Retail</t>
  </si>
  <si>
    <t xml:space="preserve">Alise Plotova</t>
  </si>
  <si>
    <t xml:space="preserve">Plug and Play Brand and Retail team (2); Plug and Play Information &amp; Services (1)</t>
  </si>
  <si>
    <t xml:space="preserve">Sep 26</t>
  </si>
  <si>
    <t xml:space="preserve">Supply Chain – SLAM Innovation Brief</t>
  </si>
  <si>
    <t xml:space="preserve">Supply Chain (program)</t>
  </si>
  <si>
    <t xml:space="preserve">Plug and Play Supply Chain</t>
  </si>
  <si>
    <t xml:space="preserve">Alaina Pattillo</t>
  </si>
  <si>
    <t xml:space="preserve">Plug and Play Information &amp; Services (3)</t>
  </si>
  <si>
    <t xml:space="preserve">Jul 26, Aug 26, Sep 26</t>
  </si>
  <si>
    <t xml:space="preserve">Startup Autobahn – Monthly Dose of Tech Inspiration</t>
  </si>
  <si>
    <t xml:space="preserve">Program</t>
  </si>
  <si>
    <t xml:space="preserve">Germany</t>
  </si>
  <si>
    <t xml:space="preserve">STARTUP AUTOBAHN powered by Plug and Play</t>
  </si>
  <si>
    <t xml:space="preserve">Julia Schimpf</t>
  </si>
  <si>
    <t xml:space="preserve">Startup Autobahn Communications (7)</t>
  </si>
  <si>
    <t xml:space="preserve">Oct 25, Jan 26, Feb 26, Mar 26, Apr 26, May 26, Sep 26</t>
  </si>
  <si>
    <t xml:space="preserve">Foundation Newsletter</t>
  </si>
  <si>
    <t xml:space="preserve">Foundation</t>
  </si>
  <si>
    <t xml:space="preserve">Dominique Reese</t>
  </si>
  <si>
    <t xml:space="preserve">Dominique Reese, Jacky Tsang</t>
  </si>
  <si>
    <t xml:space="preserve">Plug and Play Foundation (4)</t>
  </si>
  <si>
    <t xml:space="preserve">Oct 25, Dec 25, Aug 26</t>
  </si>
  <si>
    <t xml:space="preserve">Startup Autobahn Alumni Newsletter</t>
  </si>
  <si>
    <t xml:space="preserve">Startup Autobahn Communications (2)</t>
  </si>
  <si>
    <t xml:space="preserve">Jun 26, Aug 26</t>
  </si>
  <si>
    <t xml:space="preserve">UK Mobilise Monthly Update</t>
  </si>
  <si>
    <t xml:space="preserve">Adam McGuinness</t>
  </si>
  <si>
    <t xml:space="preserve">Margherita Giol</t>
  </si>
  <si>
    <t xml:space="preserve">Plug and Play Events (7)</t>
  </si>
  <si>
    <t xml:space="preserve">Mar 26, Apr 26, May 26, Jun 26, Jul 26, Sep 26</t>
  </si>
  <si>
    <t xml:space="preserve">Indianapolis Lifetech Batch Newsletter</t>
  </si>
  <si>
    <t xml:space="preserve">Eileen Alberding, Plug and Play Indianapolis - Lifetech, Plug and Play Lifetech</t>
  </si>
  <si>
    <t xml:space="preserve">Plug and Play Indiana (8); Plug and Play Warsaw (2); Plug and Play Marketing Communications (1)</t>
  </si>
  <si>
    <t xml:space="preserve">Weekly</t>
  </si>
  <si>
    <t xml:space="preserve">Oct 25, Nov 25, Dec 25, Jan 26, Feb 26</t>
  </si>
  <si>
    <t xml:space="preserve">Warsaw Medtech Batch Newsletter</t>
  </si>
  <si>
    <t xml:space="preserve">Plug and Play Medtech, Plug and Play Warsaw - Medtech</t>
  </si>
  <si>
    <t xml:space="preserve">Plug and Play Marketing Communications (15); Plug and Play Warsaw (9)</t>
  </si>
  <si>
    <t xml:space="preserve">Oct 25, Nov 25, Dec 25, Jan 26, Feb 26, Mar 26, Apr 26, May 26, Jun 26, Jul 26</t>
  </si>
  <si>
    <t xml:space="preserve">AgTech &amp; Animal Health Alumni/Mentor Newsletter</t>
  </si>
  <si>
    <t xml:space="preserve">Mentor / alumni</t>
  </si>
  <si>
    <t xml:space="preserve">AgTech (program)</t>
  </si>
  <si>
    <t xml:space="preserve">Anne Gunden</t>
  </si>
  <si>
    <t xml:space="preserve">Plug and Play Marketing Communications (3); Agtech and Animal Health Newsletter (1)</t>
  </si>
  <si>
    <t xml:space="preserve">Oct 25, Feb 26, May 26, Aug 26</t>
  </si>
  <si>
    <t xml:space="preserve">Medtech Alumni Newsletter</t>
  </si>
  <si>
    <t xml:space="preserve">Plug and Play Marketing Communications (2); Plug and Play Warsaw (2)</t>
  </si>
  <si>
    <t xml:space="preserve">Medtech Mentor Newsletter</t>
  </si>
  <si>
    <t xml:space="preserve">Plug and Play Marketing Communications (2); Plug and Play Warsaw (1)</t>
  </si>
  <si>
    <t xml:space="preserve">Dec 25, Mar 26, Jul 26</t>
  </si>
  <si>
    <t xml:space="preserve">Travel Mentor Newsletter</t>
  </si>
  <si>
    <t xml:space="preserve">Travel (program)</t>
  </si>
  <si>
    <t xml:space="preserve">Curtis Chan, Sophia Nguyen</t>
  </si>
  <si>
    <t xml:space="preserve">Plug and Play Marketing Communications (1); Travel Newsletter (1)</t>
  </si>
  <si>
    <t xml:space="preserve">Dec 25, Mar 26</t>
  </si>
  <si>
    <t xml:space="preserve">Brand &amp; Retail Mentor Newsletter</t>
  </si>
  <si>
    <t xml:space="preserve">Sophia Nguyen</t>
  </si>
  <si>
    <t xml:space="preserve">Brand &amp; Retail Mentor Newsletter (2)</t>
  </si>
  <si>
    <t xml:space="preserve">Oct 25, Dec 25</t>
  </si>
  <si>
    <t xml:space="preserve">Lifetech Mentor Newsletter</t>
  </si>
  <si>
    <t xml:space="preserve">Dec 25, Jan 26</t>
  </si>
  <si>
    <t xml:space="preserve">NMP Mentor Newsletter</t>
  </si>
  <si>
    <t xml:space="preserve">Minnesota</t>
  </si>
  <si>
    <t xml:space="preserve">Tabitha Mills</t>
  </si>
  <si>
    <t xml:space="preserve">Plug and Play Global Newsletter (3)</t>
  </si>
  <si>
    <t xml:space="preserve">Jan 26, Sep 26</t>
  </si>
  <si>
    <t xml:space="preserve">Minnesota Sustainability Mentor Newsletter</t>
  </si>
  <si>
    <t xml:space="preserve">Plug and Play Global Newsletter (4)</t>
  </si>
  <si>
    <t xml:space="preserve">Jan 26, Feb 26, Sep 26</t>
  </si>
  <si>
    <t xml:space="preserve">Internal Newsletter</t>
  </si>
  <si>
    <t xml:space="preserve">Internal</t>
  </si>
  <si>
    <t xml:space="preserve">Internal / HR</t>
  </si>
  <si>
    <t xml:space="preserve">Sanam Amidi</t>
  </si>
  <si>
    <t xml:space="preserve">Allison Romero, Ben Ahrens</t>
  </si>
  <si>
    <t xml:space="preserve">Internal Plug and Play Communications (13)</t>
  </si>
  <si>
    <t xml:space="preserve">Oct 25, Dec 25, Jan 26, Feb 26, Mar 26, Apr 26, May 26, Jun 26, Jul 26, Aug 26, Sep 26</t>
  </si>
  <si>
    <t xml:space="preserve">Red unsub rate = above HubSpot benchmark (0.35%). Red subscription type = 'Plug and Play Marketing Communications' used.</t>
  </si>
  <si>
    <t xml:space="preserve">Count by how often</t>
  </si>
  <si>
    <t xml:space="preserve">Newsletters</t>
  </si>
  <si>
    <t xml:space="preserve">Location Audit – email activity by location, 1 Oct 2025 – 30 Sep 2026</t>
  </si>
  <si>
    <t xml:space="preserve">Location taken from the email name, sender or campaign (see 'Location based on' in 'All Emails'). Teams from HubSpot teams list.</t>
  </si>
  <si>
    <t xml:space="preserve">Last email sent</t>
  </si>
  <si>
    <t xml:space="preserve">Recurring newsletters</t>
  </si>
  <si>
    <t xml:space="preserve">Senders (From name, emails)</t>
  </si>
  <si>
    <t xml:space="preserve">Subscription types used (emails)</t>
  </si>
  <si>
    <t xml:space="preserve">Own subscription type</t>
  </si>
  <si>
    <t xml:space="preserve">HubSpot team (users)</t>
  </si>
  <si>
    <t xml:space="preserve">Rick Hernandez (90), Jacky from Plug and Play (15), Angie from Plug and Play (11), Seena Amidi (4), +1 more</t>
  </si>
  <si>
    <t xml:space="preserve">Plug and Play Events (103), Plug and Play Global Newsletter (15), Plug and Play Information &amp; Services (4)</t>
  </si>
  <si>
    <t xml:space="preserve">Plug and Play Global Newsletter / Events – Active</t>
  </si>
  <si>
    <t xml:space="preserve">Silicon Valley (2), Building Ops SV (2), Marketing (18)</t>
  </si>
  <si>
    <t xml:space="preserve">Indiana Medtech + Lifetech Newsletter, Medtech Community Newsletter, Lifetech Community Newsletter, Warsaw Medtech Batch Newsletter, Indianapolis Lifetech Batch Newsletter, Medtech Mentor Newsletter, Medtech Alumni Newsletter, Lifetech Mentor Newsletter</t>
  </si>
  <si>
    <t xml:space="preserve">Plug and Play Medtech (23), Eileen Alberding (21), Plug and Play Indianapolis - Lifetech (17), Plug and Play Indiana (15), +2 more</t>
  </si>
  <si>
    <t xml:space="preserve">Plug and Play Marketing Communications (54), Plug and Play Warsaw (21), Plug and Play Indiana (20)</t>
  </si>
  <si>
    <t xml:space="preserve">Plug and Play Indiana, Plug and Play Warsaw – Archived</t>
  </si>
  <si>
    <t xml:space="preserve">APAC Newsletter, Cambodia Newsletter, APAC Ventures Wrap-Up</t>
  </si>
  <si>
    <t xml:space="preserve">Plug and Play APAC (30), Amazon Devices Climate Tech Accelerator (15), Tae Rin Ha (14), John Ang (5), +11 more</t>
  </si>
  <si>
    <t xml:space="preserve">Plug and Play APAC (91), Plug and Play Marketing Communications (2)</t>
  </si>
  <si>
    <t xml:space="preserve">Plug and Play APAC – Active</t>
  </si>
  <si>
    <t xml:space="preserve">APAC (5)</t>
  </si>
  <si>
    <t xml:space="preserve">Plug and Play Japan (50), Web Marketing Leads (8), Tatsuhisa Takahashi (2), Kathy Liu (2)</t>
  </si>
  <si>
    <t xml:space="preserve">Plug and Play Japan (58), Plug and Play Information &amp; Services (4)</t>
  </si>
  <si>
    <t xml:space="preserve">Plug and Play Japan – Active</t>
  </si>
  <si>
    <t xml:space="preserve">Japan (32)</t>
  </si>
  <si>
    <t xml:space="preserve">UK Newsletter, UK Mobilise Monthly Update</t>
  </si>
  <si>
    <t xml:space="preserve">Adam McGuinness (19), Kieran Borrett (13), Christina Kim (2), Plug and Play team (1)</t>
  </si>
  <si>
    <t xml:space="preserve">Plug and Play Events (15), Plug and Play Marketing Communications (11), Plug and Play UK Communications (9)</t>
  </si>
  <si>
    <t xml:space="preserve">Plug and Play UK Communications – Archived</t>
  </si>
  <si>
    <t xml:space="preserve">London (3)</t>
  </si>
  <si>
    <t xml:space="preserve">Gohar from Plug and Play Central Asia and Caucasus (9), Julia from Plug and Play (5), Goharik Hovhannisyan (5), Alfredo Gómez (3), +7 more</t>
  </si>
  <si>
    <t xml:space="preserve">Plug and Play Marketing Communications (19), Plug and Play Events (10), Plug and Play Central Asia &amp; Caucasus (3)</t>
  </si>
  <si>
    <t xml:space="preserve">Plug and Play Central Asia &amp; Caucasus – Archived</t>
  </si>
  <si>
    <t xml:space="preserve">Kazakhstan (1)</t>
  </si>
  <si>
    <t xml:space="preserve">Minnesota Sustainability Mentor Newsletter, NMP Mentor Newsletter</t>
  </si>
  <si>
    <t xml:space="preserve">John Oconnell (11), Tabitha Mills (10), Matthew Claxton (10)</t>
  </si>
  <si>
    <t xml:space="preserve">Plug and Play Global Newsletter (16), Sustainability Newsletter (8), Plug and Play Events (7)</t>
  </si>
  <si>
    <t xml:space="preserve">None</t>
  </si>
  <si>
    <t xml:space="preserve">Startup Autobahn – Monthly Dose of Tech Inspiration, Startup Autobahn Alumni Newsletter</t>
  </si>
  <si>
    <t xml:space="preserve">STARTUP AUTOBAHN powered by Plug and Play (18), Plug and Play Munich (11), Plug and Play Vienna (1), Giota Papavasileiou (1)</t>
  </si>
  <si>
    <t xml:space="preserve">Startup Autobahn Communications (17), Plug and Play Events (12), Plug and Play Marketing Communications (1)</t>
  </si>
  <si>
    <t xml:space="preserve">Munich / Hamburg / Frankfurt – Archived; Startup Autobahn Communications – Active</t>
  </si>
  <si>
    <t xml:space="preserve">Munich (1), Frankfurt (1), Hamburg (3), Startup Autobahn (4)</t>
  </si>
  <si>
    <t xml:space="preserve">Tommaso Maschera (13), Plug and Play (11), Plug and Play Italy (1), Ilaria Battistutta (1)</t>
  </si>
  <si>
    <t xml:space="preserve">Plug and Play Events (10), Plug and Play Marketing Communications (8), Plug and Play Italy (5)</t>
  </si>
  <si>
    <t xml:space="preserve">Plug and Play Italy (2) – Archived</t>
  </si>
  <si>
    <t xml:space="preserve">Italy (3), ITALY BD (2)</t>
  </si>
  <si>
    <t xml:space="preserve">Financial Services Newsletter, Health Newsletter, Smart Cities Newsletter, Enterprise &amp; AI Newsletter, Sustainable Future Newsletter, Global Travel &amp; Hospitality Newsletter, Fintech &amp; AI Fund Insights</t>
  </si>
  <si>
    <t xml:space="preserve">Robert Grey (8), Ayah from Plug and Play (3), Brooke Ballinger (2), Davis Auksmuksts (2), +8 more</t>
  </si>
  <si>
    <t xml:space="preserve">Plug and Play Marketing Communications (18), Plug and Play Global Newsletter (3), Fintech &amp; AI Fund Insights (2)</t>
  </si>
  <si>
    <t xml:space="preserve">Global content marketing (CDW emails)</t>
  </si>
  <si>
    <t xml:space="preserve">Mike from Plug and Play (20), Frederik from Plug and Play Supply Chain (1), Dr. Phillipp Gneiting (1), Frederik Bohn (1)</t>
  </si>
  <si>
    <t xml:space="preserve">Plug and Play Marketing Communications (23)</t>
  </si>
  <si>
    <t xml:space="preserve">Nordics (Finland / Sweden)</t>
  </si>
  <si>
    <t xml:space="preserve">Plug and Play Finland (11), Christian Johansson (8), Emelie from Plug and Play (1)</t>
  </si>
  <si>
    <t xml:space="preserve">Plug and Play Events (14), Plug and Play Marketing Communications (6)</t>
  </si>
  <si>
    <t xml:space="preserve">Nordics (0)</t>
  </si>
  <si>
    <t xml:space="preserve">Plug and Play Supply Chain (12), Monika Sieg (5), Frederik from Plug and Play Supply Chain (1)</t>
  </si>
  <si>
    <t xml:space="preserve">Plug and Play Marketing Communications (7), Plug and Play Supply Chain (4), Plug and Play Information &amp; Services (3)</t>
  </si>
  <si>
    <t xml:space="preserve">Supply Chain (3)</t>
  </si>
  <si>
    <t xml:space="preserve">Lithuania</t>
  </si>
  <si>
    <t xml:space="preserve">Povilas Zinys (13), Viktorija Janilionyte (4)</t>
  </si>
  <si>
    <t xml:space="preserve">Plug and Play Events (10), Plug and Play Global Newsletter (5), Plug and Play Lithuania (2)</t>
  </si>
  <si>
    <t xml:space="preserve">Plug and Play Lithuania – Archived</t>
  </si>
  <si>
    <t xml:space="preserve">Francis from Plug and Play (7), Kevin Farjallah (6), James Peterson (2)</t>
  </si>
  <si>
    <t xml:space="preserve">Plug and Play Events (8), Plug and Play Marketing Communications (7)</t>
  </si>
  <si>
    <t xml:space="preserve">Plug and Play Texas – Archived</t>
  </si>
  <si>
    <t xml:space="preserve">Plug and Play Vienna (14)</t>
  </si>
  <si>
    <t xml:space="preserve">Plug and Play Events (9), Plug and Play Austria (3), Plug and Play Marketing Communications (2)</t>
  </si>
  <si>
    <t xml:space="preserve">Plug and Play Austria / Vienna Communications – Archived</t>
  </si>
  <si>
    <t xml:space="preserve">Travel EU/Vienna (5)</t>
  </si>
  <si>
    <t xml:space="preserve">Albania</t>
  </si>
  <si>
    <t xml:space="preserve">Plug and Play Tirana (6), Plug and Play Albania (5), Plug and Play Albania Team (2)</t>
  </si>
  <si>
    <t xml:space="preserve">Plug and Play Marketing Communications (7), Plug and Play Events (6)</t>
  </si>
  <si>
    <t xml:space="preserve">Zeynep from Plug and Play (13)</t>
  </si>
  <si>
    <t xml:space="preserve">Plug and Play Marketing Communications (8), Plug and Play Istanbul Communications (4), Plug and Play Events (1)</t>
  </si>
  <si>
    <t xml:space="preserve">Plug and Play Istanbul Communications – Archived</t>
  </si>
  <si>
    <t xml:space="preserve">Istanbul (1)</t>
  </si>
  <si>
    <t xml:space="preserve">Florida (Orlando / NeoCity)</t>
  </si>
  <si>
    <t xml:space="preserve">Plug and Play Semiconductors (5), Amanda Allen (2), Plug and Play Orlando (2), Jon from Plug and Play (1), +1 more</t>
  </si>
  <si>
    <t xml:space="preserve">Plug and Play NeoCity (7), Plug and Play Events (3), Plug and Play Florida (1)</t>
  </si>
  <si>
    <t xml:space="preserve">Plug and Play Florida / NeoCity – Archived</t>
  </si>
  <si>
    <t xml:space="preserve">France</t>
  </si>
  <si>
    <t xml:space="preserve">Philipp Hödl (4), Katya Rozhkova (2), Ava Milana (1), Alba Brotons (1), +3 more</t>
  </si>
  <si>
    <t xml:space="preserve">Plug and Play Marketing Communications (7), Plug and Play Events (3), Plug and Play Los Angeles (1)</t>
  </si>
  <si>
    <t xml:space="preserve">Plug and Play France – Archived</t>
  </si>
  <si>
    <t xml:space="preserve">Paris (0)</t>
  </si>
  <si>
    <t xml:space="preserve">Emmanuel Chan (9), Plug and Play Seattle (1)</t>
  </si>
  <si>
    <t xml:space="preserve">Plug and Play Marketing Communications (6), Enterprise &amp; AI Newsletter (4)</t>
  </si>
  <si>
    <t xml:space="preserve">Plug and Play Seattle – Archived</t>
  </si>
  <si>
    <t xml:space="preserve">Middle East &amp; Africa</t>
  </si>
  <si>
    <t xml:space="preserve">Wissal Bentaleb (5), Ava Milana (2), Plug and Play Saudi Arabia (1), Povilas Zinys (1)</t>
  </si>
  <si>
    <t xml:space="preserve">Plug and Play Africa Communications (5), Plug and Play Events (2), Plug and Play Marketing Communications (1)</t>
  </si>
  <si>
    <t xml:space="preserve">Middle East / UAE / Africa types – Archived</t>
  </si>
  <si>
    <t xml:space="preserve">Abu Dhabi (3), Saudi (1), Egypt (1), South Africa (1)</t>
  </si>
  <si>
    <t xml:space="preserve">Spain</t>
  </si>
  <si>
    <t xml:space="preserve">Plug and Play Spain (6), Alex Tortosa (1)</t>
  </si>
  <si>
    <t xml:space="preserve">Plug and Play Events (6), Plug and Play Spain (1)</t>
  </si>
  <si>
    <t xml:space="preserve">Plug and Play Spain – Archived</t>
  </si>
  <si>
    <t xml:space="preserve">Barcelona (3), Spain (1), Borja's team - VLC (6)</t>
  </si>
  <si>
    <t xml:space="preserve">Plug and Play Arizona (5)</t>
  </si>
  <si>
    <t xml:space="preserve">Plug and Play Arizona – Archived</t>
  </si>
  <si>
    <t xml:space="preserve">Arizona (5)</t>
  </si>
  <si>
    <t xml:space="preserve">Brand &amp; Retail Mentor Newsletter, Brand &amp; Retail (BRAM) Newsletter</t>
  </si>
  <si>
    <t xml:space="preserve">Plug and Play Brand and Retail (3), Sophia Nguyen (2)</t>
  </si>
  <si>
    <t xml:space="preserve">Plug and Play Brand and Retail team (2), Brand &amp; Retail Mentor Newsletter (2), Plug and Play Information &amp; Services (1)</t>
  </si>
  <si>
    <t xml:space="preserve">Retail (4)</t>
  </si>
  <si>
    <t xml:space="preserve">Dominique Reese (4), Rick Hernandez (1)</t>
  </si>
  <si>
    <t xml:space="preserve">Plug and Play Foundation (4), Plug and Play Events (1)</t>
  </si>
  <si>
    <t xml:space="preserve">Plug and Play Foundation – Active</t>
  </si>
  <si>
    <t xml:space="preserve">Anne Gunden (4)</t>
  </si>
  <si>
    <t xml:space="preserve">Plug and Play Marketing Communications (3), Agtech and Animal Health Newsletter (1)</t>
  </si>
  <si>
    <t xml:space="preserve">AgTech (0)</t>
  </si>
  <si>
    <t xml:space="preserve">Cyprus</t>
  </si>
  <si>
    <t xml:space="preserve">Victoria from Plug and Play Cyprus (2), Alfredo Gómez (2)</t>
  </si>
  <si>
    <t xml:space="preserve">Plug and Play Marketing Communications (2), Plug and Play Events (2)</t>
  </si>
  <si>
    <t xml:space="preserve">Sophia Nguyen (1), Curtis Chan (1)</t>
  </si>
  <si>
    <t xml:space="preserve">Plug and Play Marketing Communications (1), Travel Newsletter (1)</t>
  </si>
  <si>
    <t xml:space="preserve">Travel (1)</t>
  </si>
  <si>
    <t xml:space="preserve">Canada</t>
  </si>
  <si>
    <t xml:space="preserve">Katie Greenshields (1)</t>
  </si>
  <si>
    <t xml:space="preserve">Plug and Play Canada Communications (1)</t>
  </si>
  <si>
    <t xml:space="preserve">Plug and Play Canada Communications – Archived</t>
  </si>
  <si>
    <t xml:space="preserve">Alberta (3), Toronto (1)</t>
  </si>
  <si>
    <t xml:space="preserve">Candela FitzGerald (204), Candela Fitzgerald (27), Sanam Amidi (13), Playbook team (1), +3 more</t>
  </si>
  <si>
    <t xml:space="preserve">Internal Plug and Play Communications (248)</t>
  </si>
  <si>
    <t xml:space="preserve">Not identifiable</t>
  </si>
  <si>
    <t xml:space="preserve">Jacky Tsang (7), Ava Milana (7), Aitana Hierro (5), Brandon Lee (3), +18 more</t>
  </si>
  <si>
    <t xml:space="preserve">Plug and Play Marketing Communications (17), Plug and Play Events (15), Plug and Play Information &amp; Services (6)</t>
  </si>
  <si>
    <t xml:space="preserve">HubSpot teams whose location is not named in any email (name, sender, campaign or subscription type), 1 Oct 2025 – 30 Sep 2026</t>
  </si>
  <si>
    <t xml:space="preserve">Team</t>
  </si>
  <si>
    <t xml:space="preserve">Users</t>
  </si>
  <si>
    <t xml:space="preserve">Amsterdam</t>
  </si>
  <si>
    <t xml:space="preserve">1</t>
  </si>
  <si>
    <t xml:space="preserve">Basel</t>
  </si>
  <si>
    <t xml:space="preserve">0</t>
  </si>
  <si>
    <t xml:space="preserve">Brazil</t>
  </si>
  <si>
    <t xml:space="preserve">LATAM</t>
  </si>
  <si>
    <t xml:space="preserve">Cleveland Team</t>
  </si>
  <si>
    <t xml:space="preserve">2</t>
  </si>
  <si>
    <t xml:space="preserve">Savannah</t>
  </si>
  <si>
    <t xml:space="preserve">South Africa</t>
  </si>
  <si>
    <t xml:space="preserve">Egypt</t>
  </si>
  <si>
    <t xml:space="preserve">'Plug and Play Los Angeles' (active type) was used by 1 email in the period ('New email', 25 Jun 2026).</t>
  </si>
  <si>
    <t xml:space="preserve">Marketing contacts by 'Location' property (location__c), 8 Oct 2026</t>
  </si>
  <si>
    <t xml:space="preserve">Location value</t>
  </si>
  <si>
    <t xml:space="preserve">Marketing contacts</t>
  </si>
  <si>
    <t xml:space="preserve">Empty (no value)</t>
  </si>
  <si>
    <t xml:space="preserve">N/A</t>
  </si>
  <si>
    <t xml:space="preserve">SilliconValley</t>
  </si>
  <si>
    <t xml:space="preserve">Tokyo</t>
  </si>
  <si>
    <t xml:space="preserve">Munich</t>
  </si>
  <si>
    <t xml:space="preserve">Uzbekistan</t>
  </si>
  <si>
    <t xml:space="preserve">Milan</t>
  </si>
  <si>
    <t xml:space="preserve">Valencia</t>
  </si>
  <si>
    <t xml:space="preserve">Barcelona</t>
  </si>
  <si>
    <t xml:space="preserve">Vienna</t>
  </si>
  <si>
    <t xml:space="preserve">Yerevan</t>
  </si>
  <si>
    <t xml:space="preserve">Stuttgart</t>
  </si>
  <si>
    <t xml:space="preserve">Gothenburg</t>
  </si>
  <si>
    <t xml:space="preserve">Frisco, TX</t>
  </si>
  <si>
    <t xml:space="preserve">Madrid</t>
  </si>
  <si>
    <t xml:space="preserve">Vilnius</t>
  </si>
  <si>
    <t xml:space="preserve">Topeka</t>
  </si>
  <si>
    <t xml:space="preserve">Northwest Arkansas</t>
  </si>
  <si>
    <t xml:space="preserve">London</t>
  </si>
  <si>
    <t xml:space="preserve">Frankfurt</t>
  </si>
  <si>
    <t xml:space="preserve">Orlando, FL</t>
  </si>
  <si>
    <t xml:space="preserve">Phoenix</t>
  </si>
  <si>
    <t xml:space="preserve">Singapore</t>
  </si>
  <si>
    <t xml:space="preserve">Paris</t>
  </si>
  <si>
    <t xml:space="preserve">Kyoto</t>
  </si>
  <si>
    <t xml:space="preserve">Warsaw, IN</t>
  </si>
  <si>
    <t xml:space="preserve">Cairo</t>
  </si>
  <si>
    <t xml:space="preserve">Calgary</t>
  </si>
  <si>
    <t xml:space="preserve">Detroit</t>
  </si>
  <si>
    <t xml:space="preserve">Sugar Land, TX</t>
  </si>
  <si>
    <t xml:space="preserve">Marketing contacts (base)</t>
  </si>
  <si>
    <t xml:space="preserve">Share empty or N/A</t>
  </si>
  <si>
    <t xml:space="preserve">Top 30 values shown (95 possible values). Spelling as stored in HubSpot.</t>
  </si>
  <si>
    <t xml:space="preserve">Industry (vertical) newsletters, 1 Oct 2025 – 30 Sep 2026</t>
  </si>
  <si>
    <t xml:space="preserve">Rows linked from 'Newsletter Map' (green).</t>
  </si>
  <si>
    <t xml:space="preserve">Sender</t>
  </si>
  <si>
    <t xml:space="preserve">Subscription type(s) used</t>
  </si>
  <si>
    <t xml:space="preserve">Vertical properties on marketing contacts (590,464), 8 Oct 2026</t>
  </si>
  <si>
    <t xml:space="preserve">Property</t>
  </si>
  <si>
    <t xml:space="preserve">Marketing contacts with a value</t>
  </si>
  <si>
    <t xml:space="preserve">% of marketing contacts</t>
  </si>
  <si>
    <t xml:space="preserve">Industry (text)</t>
  </si>
  <si>
    <t xml:space="preserve">Vertical (dropdown, 38 values)</t>
  </si>
  <si>
    <t xml:space="preserve">Newsletter_Subscription_All verticals</t>
  </si>
  <si>
    <t xml:space="preserve">Vertical (Salesforce)</t>
  </si>
  <si>
    <t xml:space="preserve">Archived vertical subscription types</t>
  </si>
  <si>
    <t xml:space="preserve">Aerospace &amp; Defence Newsletter</t>
  </si>
  <si>
    <t xml:space="preserve">Agtech and Animal Health Newsletter</t>
  </si>
  <si>
    <t xml:space="preserve">Deeptech Newsletter</t>
  </si>
  <si>
    <t xml:space="preserve">Industry Newsletters</t>
  </si>
  <si>
    <t xml:space="preserve">Retail &amp; Media Newsletter</t>
  </si>
  <si>
    <t xml:space="preserve">Semiconductors Newsletter</t>
  </si>
  <si>
    <t xml:space="preserve">Sportstech Newsletter</t>
  </si>
  <si>
    <t xml:space="preserve">Supply Chain and Maritime Newsletter</t>
  </si>
  <si>
    <t xml:space="preserve">Sustainability Newsletter</t>
  </si>
  <si>
    <t xml:space="preserve">Travel Newsletter</t>
  </si>
  <si>
    <t xml:space="preserve">Contacts</t>
  </si>
  <si>
    <t xml:space="preserve">Source: HubSpot contact counts and Settings › Account &amp; Billing › Usage, 8 Oct 2026.</t>
  </si>
  <si>
    <t xml:space="preserve">Measure</t>
  </si>
  <si>
    <t xml:space="preserve">All contacts</t>
  </si>
  <si>
    <t xml:space="preserve">Marketing contacts (Marketing contact status = Marketing contact)</t>
  </si>
  <si>
    <t xml:space="preserve">Marketing contact tier</t>
  </si>
  <si>
    <t xml:space="preserve">Marketing contacts with no marketing email open or click in last 12 months (never opened/clicked included)</t>
  </si>
  <si>
    <t xml:space="preserve">Marketing contacts who never opened a marketing email</t>
  </si>
  <si>
    <t xml:space="preserve">Marketing contacts with known open/click dates, both older than 12 months</t>
  </si>
  <si>
    <t xml:space="preserve">Contacts who clicked a marketing email in last 12 months</t>
  </si>
  <si>
    <t xml:space="preserve">Contacts who clicked a marketing email in last 6 months</t>
  </si>
  <si>
    <t xml:space="preserve">Contacts with a bounce recorded (marketing emails bounced or hard bounce reason known)</t>
  </si>
  <si>
    <t xml:space="preserve">Contacts unsubscribed from all email</t>
  </si>
  <si>
    <t xml:space="preserve">Contacts scheduled to become non-marketing before 31 Oct 2026</t>
  </si>
  <si>
    <t xml:space="preserve">Marketing contacts who opened or clicked in last 12 months</t>
  </si>
  <si>
    <t xml:space="preserve">Marketing contacts left before the tier limit (and % of tier used)</t>
  </si>
  <si>
    <t xml:space="preserve">Next marketing contact update: 31 Oct 2026. Last billing date: 19 Sep 2026.</t>
  </si>
  <si>
    <t xml:space="preserve">Contact properties: how many marketing contacts have a value (base 590,464)</t>
  </si>
  <si>
    <t xml:space="preserve">With a value</t>
  </si>
  <si>
    <t xml:space="preserve">Location (location__c)</t>
  </si>
  <si>
    <t xml:space="preserve">STA_PNPTC_Office</t>
  </si>
  <si>
    <t xml:space="preserve">Vertical</t>
  </si>
  <si>
    <t xml:space="preserve">Location: 184,223 contacts have a value, of which 161,614 are 'N/A'; 22,609 have a real location.</t>
  </si>
  <si>
    <t xml:space="preserve">Subscription types (95: 14 active, 81 archived)</t>
  </si>
  <si>
    <t xml:space="preserve">Source: Settings › Marketing › Email › Subscriptions, 8 Oct 2026. All on the default business unit.</t>
  </si>
  <si>
    <t xml:space="preserve">Name</t>
  </si>
  <si>
    <t xml:space="preserve">Description</t>
  </si>
  <si>
    <t xml:space="preserve">Status</t>
  </si>
  <si>
    <t xml:space="preserve">This newsletter is where we'll track what's actually happening across our fund, including partnerships going live, portfolio wins, and the shifts we're watching in fintech and AI.</t>
  </si>
  <si>
    <t xml:space="preserve">Active</t>
  </si>
  <si>
    <t xml:space="preserve">Internal Plug and Play Communications</t>
  </si>
  <si>
    <t xml:space="preserve">Internal updates and announcements for Plug and Play teams</t>
  </si>
  <si>
    <t xml:space="preserve">One to One</t>
  </si>
  <si>
    <t xml:space="preserve">One to One emails</t>
  </si>
  <si>
    <t xml:space="preserve">The latest news, event updates, and more about Plug and Play APAC in your inbox</t>
  </si>
  <si>
    <t xml:space="preserve">Plug and Play Brand and Retail team</t>
  </si>
  <si>
    <t xml:space="preserve">News, insights and events from Plug and Play Brand and Retail</t>
  </si>
  <si>
    <t xml:space="preserve">Plug and Play Events</t>
  </si>
  <si>
    <t xml:space="preserve">The latest event updates from Plug and Play in your inbox</t>
  </si>
  <si>
    <t xml:space="preserve">Plug and Play Foundation</t>
  </si>
  <si>
    <t xml:space="preserve">Latest updates and news from the Plug and Play Foundation</t>
  </si>
  <si>
    <t xml:space="preserve">Plug and Play Global Newsletter</t>
  </si>
  <si>
    <t xml:space="preserve">The latest news, event updates, and more about Plug and Play in your inbox</t>
  </si>
  <si>
    <t xml:space="preserve">Plug and Play Information &amp; Services</t>
  </si>
  <si>
    <t xml:space="preserve">Information about programs and services from Plug and Play</t>
  </si>
  <si>
    <t xml:space="preserve">The latest news, event updates, and more about Plug and Play Japan in your inbox</t>
  </si>
  <si>
    <t xml:space="preserve">Plug and Play Los Angeles</t>
  </si>
  <si>
    <t xml:space="preserve">Los Angeles</t>
  </si>
  <si>
    <t xml:space="preserve">Plug and Play Marketing Communications</t>
  </si>
  <si>
    <t xml:space="preserve">About our programs, events, news, investments, and industry content</t>
  </si>
  <si>
    <t xml:space="preserve">Plug and Play Travel and Hospitality Silicon Valley</t>
  </si>
  <si>
    <t xml:space="preserve">News, insights and events from Plug and Play Travel and Hospitality</t>
  </si>
  <si>
    <t xml:space="preserve">Startup Autobahn Communications</t>
  </si>
  <si>
    <t xml:space="preserve">The latest news, event updates, and more about Startup Autobahn in your inbox</t>
  </si>
  <si>
    <t xml:space="preserve">Industry focused information</t>
  </si>
  <si>
    <t xml:space="preserve">Archived</t>
  </si>
  <si>
    <t xml:space="preserve">Updates from our programs!</t>
  </si>
  <si>
    <t xml:space="preserve">Alumni Startups</t>
  </si>
  <si>
    <t xml:space="preserve">BRAM Alumni</t>
  </si>
  <si>
    <t xml:space="preserve">BRAM</t>
  </si>
  <si>
    <t xml:space="preserve">CIRCUL-A-THON</t>
  </si>
  <si>
    <t xml:space="preserve">CIRCUL-A-THON communication</t>
  </si>
  <si>
    <t xml:space="preserve">Customer Service Communication</t>
  </si>
  <si>
    <t xml:space="preserve">Receive feedback requests and customer service information.</t>
  </si>
  <si>
    <t xml:space="preserve">Energy Mentor Newsletter</t>
  </si>
  <si>
    <t xml:space="preserve">Updates on batch companies and upcoming events!</t>
  </si>
  <si>
    <t xml:space="preserve">Events</t>
  </si>
  <si>
    <t xml:space="preserve">Updates and announcements of Plug and Play's events!</t>
  </si>
  <si>
    <t xml:space="preserve">GIGA Communications</t>
  </si>
  <si>
    <t xml:space="preserve">Communication to startups from the Giga Accelerator programme</t>
  </si>
  <si>
    <t xml:space="preserve">The latest on the most innovative industries in your inbox</t>
  </si>
  <si>
    <r>
      <rPr>
        <sz val="10"/>
        <color rgb="FF000000"/>
        <rFont val="Arial"/>
        <family val="0"/>
        <charset val="1"/>
      </rPr>
      <t xml:space="preserve">JTP | JAP_</t>
    </r>
    <r>
      <rPr>
        <sz val="10"/>
        <color rgb="FF000000"/>
        <rFont val="WenQuanYi Zen Hei"/>
        <family val="2"/>
      </rPr>
      <t xml:space="preserve">導入事例 </t>
    </r>
    <r>
      <rPr>
        <sz val="10"/>
        <color rgb="FF000000"/>
        <rFont val="Arial"/>
        <family val="0"/>
        <charset val="1"/>
      </rPr>
      <t xml:space="preserve">Subscription (English - United States)</t>
    </r>
  </si>
  <si>
    <t xml:space="preserve">Receive timely updates with the latest blog posts.</t>
  </si>
  <si>
    <t xml:space="preserve">LA Innovates</t>
  </si>
  <si>
    <t xml:space="preserve">Master Email List - Indian Tech Network</t>
  </si>
  <si>
    <t xml:space="preserve">Mi Subscription Type _ DEMO</t>
  </si>
  <si>
    <t xml:space="preserve">Esto es una demo de Andrea</t>
  </si>
  <si>
    <t xml:space="preserve">Motor Valley Accelerator Communications</t>
  </si>
  <si>
    <t xml:space="preserve">The latest news, event updates, and more about Motor Valley Accelerator in your inbox</t>
  </si>
  <si>
    <t xml:space="preserve">Plug and Play - CaixaBank Newsletter</t>
  </si>
  <si>
    <t xml:space="preserve">Caixa monthly: Fintech news and updates, portfolio startups and dealflow generation</t>
  </si>
  <si>
    <t xml:space="preserve">Plug and Play Africa</t>
  </si>
  <si>
    <t xml:space="preserve">News, updates and announcements from Plug and Play Africa</t>
  </si>
  <si>
    <t xml:space="preserve">Plug and Play Africa Communications</t>
  </si>
  <si>
    <t xml:space="preserve">The latest news, event updates, and more about Plug and Play Africa in your inbox</t>
  </si>
  <si>
    <t xml:space="preserve">Plug and Play Alberta Health Program</t>
  </si>
  <si>
    <t xml:space="preserve">Program-related communications for batch companies</t>
  </si>
  <si>
    <t xml:space="preserve">Plug and Play Alberta Sector Agnostic</t>
  </si>
  <si>
    <t xml:space="preserve">Alberta Sector Agnostic Update</t>
  </si>
  <si>
    <t xml:space="preserve">Full list of Arizona contacts that are invited to events</t>
  </si>
  <si>
    <t xml:space="preserve">Plug and Play Austria</t>
  </si>
  <si>
    <t xml:space="preserve">Updates on the lates news and events from Plug and Play Vienna</t>
  </si>
  <si>
    <t xml:space="preserve">Plug and Play Brazil Communications</t>
  </si>
  <si>
    <t xml:space="preserve">Receba Nossa notícias todos os meses!</t>
  </si>
  <si>
    <t xml:space="preserve">Plug and Play Canada Communications</t>
  </si>
  <si>
    <t xml:space="preserve">The latest news, event updates, and more about Plug and Play Canada in your inbox</t>
  </si>
  <si>
    <t xml:space="preserve">Plug and Play Cedar Park</t>
  </si>
  <si>
    <t xml:space="preserve">Insights from the Plug and Play Cedar Park-Austin Hub</t>
  </si>
  <si>
    <t xml:space="preserve">Plug and Play Central Asia &amp; Caucasus</t>
  </si>
  <si>
    <t xml:space="preserve">Latest news, programs, events, and opportunities in the region!</t>
  </si>
  <si>
    <t xml:space="preserve">Plug and Play Fintech Spain</t>
  </si>
  <si>
    <t xml:space="preserve">Fintech News and Events</t>
  </si>
  <si>
    <t xml:space="preserve">Plug and Play Florida</t>
  </si>
  <si>
    <t xml:space="preserve">Florida Communications</t>
  </si>
  <si>
    <t xml:space="preserve">Plug and Play Foodtech SV</t>
  </si>
  <si>
    <t xml:space="preserve">Plug and Play France</t>
  </si>
  <si>
    <t xml:space="preserve">The latest news, event updates, and more about Plug and Play France in your inbox</t>
  </si>
  <si>
    <t xml:space="preserve">Plug and Play Frankfurt</t>
  </si>
  <si>
    <t xml:space="preserve">The latest news, event updates, and more about Plug and Play Frankfurt in your inbox</t>
  </si>
  <si>
    <t xml:space="preserve">Plug and Play GOAL</t>
  </si>
  <si>
    <t xml:space="preserve">Plug and Play GOAL (Global Overseas Acceleration &amp; Learning)</t>
  </si>
  <si>
    <t xml:space="preserve">Newsletter for Plug and Play GOAL Community</t>
  </si>
  <si>
    <t xml:space="preserve">Plug and Play Hamburg</t>
  </si>
  <si>
    <t xml:space="preserve">Updates, news and announcements from Plug and Play Hamburg</t>
  </si>
  <si>
    <t xml:space="preserve">Plug and Play Hamburg Communications</t>
  </si>
  <si>
    <t xml:space="preserve">The latest news, event updates, and more about Plug and Play Hamburg in your inbox</t>
  </si>
  <si>
    <t xml:space="preserve">Plug and Play Indiana</t>
  </si>
  <si>
    <t xml:space="preserve">The latest news, event updates, and more about Plug and Play Indiana in your inbox</t>
  </si>
  <si>
    <t xml:space="preserve">Plug and Play Istanbul Communications</t>
  </si>
  <si>
    <t xml:space="preserve">Email | Plug and Play Istanbul Communications The latest news, event updates, and more about Plug and Play Istanbul in your inbox</t>
  </si>
  <si>
    <t xml:space="preserve">Plug and Play IT</t>
  </si>
  <si>
    <t xml:space="preserve">Information technology</t>
  </si>
  <si>
    <t xml:space="preserve">Plug and Play Italy</t>
  </si>
  <si>
    <t xml:space="preserve">News, updates and announcements from Plug and Play Italy</t>
  </si>
  <si>
    <t xml:space="preserve">Plug and Play Italy (2nd)</t>
  </si>
  <si>
    <t xml:space="preserve">The latest news, event updates, and more about Plug and Play Italy in your inbox</t>
  </si>
  <si>
    <t xml:space="preserve">Plug and Play LA Japan Event 9/24</t>
  </si>
  <si>
    <t xml:space="preserve">JETRO Cohort 2025</t>
  </si>
  <si>
    <t xml:space="preserve">Plug and Play Lifetech</t>
  </si>
  <si>
    <t xml:space="preserve">A newsletter focused on news, events, and updates for our Lifetech program</t>
  </si>
  <si>
    <t xml:space="preserve">Plug and Play Lithuania</t>
  </si>
  <si>
    <t xml:space="preserve">Communications &amp; Events</t>
  </si>
  <si>
    <t xml:space="preserve">Plug and Play Maritime Communications</t>
  </si>
  <si>
    <t xml:space="preserve">The latest news, event updates, and more about Plug and Play Maritime in your inbox</t>
  </si>
  <si>
    <t xml:space="preserve">Plug and Play Middle East Communications</t>
  </si>
  <si>
    <t xml:space="preserve">The latest news, event updates, and more about Plug and Play Middle East in your inbox</t>
  </si>
  <si>
    <t xml:space="preserve">Plug and Play Mobility</t>
  </si>
  <si>
    <t xml:space="preserve">Accelerator Program | Batch Startups | Weekly Emails</t>
  </si>
  <si>
    <t xml:space="preserve">Plug and Play Morocco</t>
  </si>
  <si>
    <t xml:space="preserve">Latest news, events &amp; opps</t>
  </si>
  <si>
    <t xml:space="preserve">Plug and Play Munich</t>
  </si>
  <si>
    <t xml:space="preserve">The latest news, event updates, and more about Plug and Play Munich in your inbox</t>
  </si>
  <si>
    <t xml:space="preserve">Plug and Play Munich Communications</t>
  </si>
  <si>
    <t xml:space="preserve">Plug and Play NeoCity</t>
  </si>
  <si>
    <t xml:space="preserve">Semiconductors</t>
  </si>
  <si>
    <t xml:space="preserve">Plug and Play New Jersey</t>
  </si>
  <si>
    <t xml:space="preserve">Information, events, updates</t>
  </si>
  <si>
    <t xml:space="preserve">Plug and Play Seattle</t>
  </si>
  <si>
    <t xml:space="preserve">Communications, news and updates from PNPTC Seattle</t>
  </si>
  <si>
    <t xml:space="preserve">Plug and Play Spain</t>
  </si>
  <si>
    <t xml:space="preserve">Email | Plug and Play Spain Communications The latest news, event updates, and more about Plug and Play Spain in your inbox</t>
  </si>
  <si>
    <t xml:space="preserve">Supply Chain and Advanced Manufacturing communications and updates</t>
  </si>
  <si>
    <t xml:space="preserve">Plug and Play Switzerland Communications</t>
  </si>
  <si>
    <t xml:space="preserve">The latest news, event updates, and more about Plug and Play Switzerland in your inbox</t>
  </si>
  <si>
    <t xml:space="preserve">Plug and Play Texas</t>
  </si>
  <si>
    <t xml:space="preserve">Insights and Updates from Plug and Play Texas</t>
  </si>
  <si>
    <t xml:space="preserve">Plug and Play Topeka</t>
  </si>
  <si>
    <t xml:space="preserve">Alumni Mentor Newsletter</t>
  </si>
  <si>
    <t xml:space="preserve">Plug and Play UAE</t>
  </si>
  <si>
    <t xml:space="preserve">News, updates and announcements from Plug and Play UAE</t>
  </si>
  <si>
    <t xml:space="preserve">Plug and Play UK Communications</t>
  </si>
  <si>
    <t xml:space="preserve">The latest news, event updates, and more about Plug and Play UK in your inbox</t>
  </si>
  <si>
    <t xml:space="preserve">Plug and Play Vienna Communications</t>
  </si>
  <si>
    <t xml:space="preserve">The latest news, event updates, and more about Plug and Play Vienna in your inbox</t>
  </si>
  <si>
    <t xml:space="preserve">Plug and Play Warsaw</t>
  </si>
  <si>
    <t xml:space="preserve">Newsletter for those interested in keeping in touch with Plug and Play Warsaw's events, innovative medtech startups, and more.</t>
  </si>
  <si>
    <t xml:space="preserve">PNP University Sessions</t>
  </si>
  <si>
    <t xml:space="preserve">We invite founders from a specific university every week to pitch their startup in front of 100+ VCs and corp. partners.</t>
  </si>
  <si>
    <t xml:space="preserve">Information about Brand &amp; Retail and Media &amp; Ad</t>
  </si>
  <si>
    <t xml:space="preserve">ShelterTech sub-Saharan Africa Accelerator</t>
  </si>
  <si>
    <t xml:space="preserve">The latest news, updates and more from Habitat For Humanity and Plug and Play's ShelterTech Accelerator in sub-Saharan Africa</t>
  </si>
  <si>
    <t xml:space="preserve">Startup Creasphere Communications</t>
  </si>
  <si>
    <t xml:space="preserve">The latest news, event updates, and more about Startup Creasphere in your inbox</t>
  </si>
  <si>
    <t xml:space="preserve">SV Energy Alumni</t>
  </si>
  <si>
    <t xml:space="preserve">- Energy program alumni</t>
  </si>
  <si>
    <t xml:space="preserve">SV Japanese Corporate Partnerships</t>
  </si>
  <si>
    <t xml:space="preserve">Newsletter for SV Japanese Corporate Partners</t>
  </si>
  <si>
    <t xml:space="preserve">TakeOff Communications</t>
  </si>
  <si>
    <t xml:space="preserve">The latest news, event updates, and more about Take Off Accelerator in your inbox</t>
  </si>
  <si>
    <t xml:space="preserve">Takeoff Expo</t>
  </si>
  <si>
    <t xml:space="preserve">Invitation &amp; more - Takeoff Expo</t>
  </si>
  <si>
    <t xml:space="preserve">University Pitch Session Americas</t>
  </si>
  <si>
    <t xml:space="preserve">30 startups from different universities pitch every Wednesday</t>
  </si>
  <si>
    <t xml:space="preserve">Subscription settings</t>
  </si>
  <si>
    <t xml:space="preserve">Unsubscribe feedback survey</t>
  </si>
  <si>
    <t xml:space="preserve">OFF</t>
  </si>
  <si>
    <t xml:space="preserve">Resubscription email</t>
  </si>
  <si>
    <t xml:space="preserve">Don't send to unengaged contacts</t>
  </si>
  <si>
    <t xml:space="preserve">ON</t>
  </si>
  <si>
    <t xml:space="preserve">Compliance BCC</t>
  </si>
  <si>
    <t xml:space="preserve">Active subscription types (count)</t>
  </si>
  <si>
    <t xml:space="preserve">Archived subscription types (count)</t>
  </si>
  <si>
    <t xml:space="preserve">Workflows with a 'Send email' action (309)</t>
  </si>
  <si>
    <t xml:space="preserve">Source: Automation › Workflows, 8 Oct 2026.</t>
  </si>
  <si>
    <t xml:space="preserve">Workflow</t>
  </si>
  <si>
    <t xml:space="preserve">Currently enrolled</t>
  </si>
  <si>
    <t xml:space="preserve">Last updated</t>
  </si>
  <si>
    <t xml:space="preserve">ON and last updated before 2024</t>
  </si>
  <si>
    <t xml:space="preserve">LNS - RFI - 2025</t>
  </si>
  <si>
    <t xml:space="preserve">On</t>
  </si>
  <si>
    <t xml:space="preserve">2026-09-03</t>
  </si>
  <si>
    <t xml:space="preserve">IA - CDW - EAI - Report - The Ultimate AI Playbook</t>
  </si>
  <si>
    <t xml:space="preserve">2026-03-09</t>
  </si>
  <si>
    <t xml:space="preserve">GNL reactivation campaign</t>
  </si>
  <si>
    <t xml:space="preserve">2026-04-09</t>
  </si>
  <si>
    <t xml:space="preserve">IA - CDW - EGY - Report - Energizing AI: A Deep Dive Into the Data Center Energy Value Chain</t>
  </si>
  <si>
    <t xml:space="preserve">2026-09-23</t>
  </si>
  <si>
    <t xml:space="preserve">IA - CDW - AI Survey Report</t>
  </si>
  <si>
    <t xml:space="preserve">2026-09-22</t>
  </si>
  <si>
    <t xml:space="preserve">Send a follow-up email after form submission</t>
  </si>
  <si>
    <t xml:space="preserve">2026-09-09</t>
  </si>
  <si>
    <t xml:space="preserve">JAP \| JTP_Japan Summit Inquiry</t>
  </si>
  <si>
    <t xml:space="preserve">2026-07-29</t>
  </si>
  <si>
    <t xml:space="preserve">IA - CDW - EGY - Report - Secure Systems: Building Resilient Energy Infrastructure</t>
  </si>
  <si>
    <t xml:space="preserve">2026-07-09</t>
  </si>
  <si>
    <t xml:space="preserve">IA - CDW - Innovation Assessment Report</t>
  </si>
  <si>
    <t xml:space="preserve">2026-07-06</t>
  </si>
  <si>
    <t xml:space="preserve">IA - CDW - EAI - Report - The AI-Enabled Waste Recovery Opportunity</t>
  </si>
  <si>
    <t xml:space="preserve">2026-07-02</t>
  </si>
  <si>
    <t xml:space="preserve">JAP \| JTP_Resource Download Thanks Mail_Trend Report</t>
  </si>
  <si>
    <t xml:space="preserve">2026-06-16</t>
  </si>
  <si>
    <t xml:space="preserve">JAP \| JTP_Resource Download Thanks Mail_Company Report</t>
  </si>
  <si>
    <t xml:space="preserve">JAP \| JTP_Resource Download Thanks Mail_Case Study</t>
  </si>
  <si>
    <t xml:space="preserve">JAP_Contact Form (Salesforce \| Corporate)</t>
  </si>
  <si>
    <t xml:space="preserve">IA - CDW - SMC - Report - The Intelligence Layer Teaser</t>
  </si>
  <si>
    <t xml:space="preserve">2026-06-11</t>
  </si>
  <si>
    <t xml:space="preserve">TyE - CFA - EGT - GIZ Venture Ready</t>
  </si>
  <si>
    <t xml:space="preserve">2026-04-30</t>
  </si>
  <si>
    <t xml:space="preserve">TyE - CFA - EGT - Cairo Program 2026</t>
  </si>
  <si>
    <t xml:space="preserve">IA - CDW - LITH - Report - Startup Lithuania \| Batches 1–5 Report</t>
  </si>
  <si>
    <t xml:space="preserve">2026-04-16</t>
  </si>
  <si>
    <t xml:space="preserve">IA - CDW - FIN - Report - French AI Startups to Watch in 2026 According to 16 VCs</t>
  </si>
  <si>
    <t xml:space="preserve">2026-04-03</t>
  </si>
  <si>
    <t xml:space="preserve">JAP_VR_F&amp;B2022</t>
  </si>
  <si>
    <t xml:space="preserve">2026-02-27</t>
  </si>
  <si>
    <t xml:space="preserve">JAP_VR_Energy2022</t>
  </si>
  <si>
    <t xml:space="preserve">JAP_VR_Fintech2022</t>
  </si>
  <si>
    <t xml:space="preserve">JAP_VR_Insurtech2022</t>
  </si>
  <si>
    <t xml:space="preserve">JAP_VR_Carbon neutrality</t>
  </si>
  <si>
    <t xml:space="preserve">JAP_Open Innovation</t>
  </si>
  <si>
    <t xml:space="preserve">JAP_VR_Health2022</t>
  </si>
  <si>
    <t xml:space="preserve">JAP_Unicorn Report 2022</t>
  </si>
  <si>
    <t xml:space="preserve">JAP_VR_Mobility2023</t>
  </si>
  <si>
    <t xml:space="preserve">JAP_CompanyReport2022</t>
  </si>
  <si>
    <t xml:space="preserve">JAP_VR_Space</t>
  </si>
  <si>
    <t xml:space="preserve">JAP_VR_F&amp;B_23</t>
  </si>
  <si>
    <t xml:space="preserve">JAP_VTE_Circular Economy</t>
  </si>
  <si>
    <t xml:space="preserve">JAP_VR_Fintech_23</t>
  </si>
  <si>
    <t xml:space="preserve">JAP_Insurtech2024</t>
  </si>
  <si>
    <t xml:space="preserve">JAP_CompanyReport2023</t>
  </si>
  <si>
    <t xml:space="preserve">JAP_CaseStudy_GlobalCaseStudy</t>
  </si>
  <si>
    <t xml:space="preserve">JAP_CaseStudy_Suzuki-Self</t>
  </si>
  <si>
    <t xml:space="preserve">JAP_CaseStudy_JRTokai-Resonai</t>
  </si>
  <si>
    <t xml:space="preserve">JAP_CaseStudy_JPower-ACES</t>
  </si>
  <si>
    <t xml:space="preserve">JAP_CaseStudy_Kintetsu-PLEN</t>
  </si>
  <si>
    <t xml:space="preserve">JAP_CaseStudy_PLEN-Rimtech</t>
  </si>
  <si>
    <t xml:space="preserve">JAP_CaseStudy_Suzuki-CommerceAI</t>
  </si>
  <si>
    <t xml:space="preserve">JAP_CaseStudy_Kyocera-LO3Energy</t>
  </si>
  <si>
    <t xml:space="preserve">JAP_CaseStudy_Flora-Toyobo</t>
  </si>
  <si>
    <t xml:space="preserve">JAP_CaseStudy_nehan-JR</t>
  </si>
  <si>
    <t xml:space="preserve">JAP_CaseStudy_Varinos-famione-dentsu</t>
  </si>
  <si>
    <t xml:space="preserve">JAP_CaseStudy_Solarduck-Tokyu</t>
  </si>
  <si>
    <t xml:space="preserve">JAP_CaseStudy_SMBC</t>
  </si>
  <si>
    <t xml:space="preserve">JAP_eBook_StartupSchool_Series1</t>
  </si>
  <si>
    <t xml:space="preserve">JAP_eBook_Femtech</t>
  </si>
  <si>
    <t xml:space="preserve">JTP \| JAP_Case Study_Global Case Study 2024-2025</t>
  </si>
  <si>
    <t xml:space="preserve">JAP_Fintech Payment Report 2024_eBook</t>
  </si>
  <si>
    <t xml:space="preserve">JAP_Company Performance Report 2024_eBook</t>
  </si>
  <si>
    <t xml:space="preserve">JAP_Carveout_eBook</t>
  </si>
  <si>
    <t xml:space="preserve">JAP_Mobility_Consortium_eBook</t>
  </si>
  <si>
    <t xml:space="preserve">JAP_C&amp;I Energy Supply Infrastructure Report</t>
  </si>
  <si>
    <t xml:space="preserve">JAP_Fintech Megatrends_eBook</t>
  </si>
  <si>
    <t xml:space="preserve">IA - CDW - JPN - Report - Japan's Fintech Future — 2026 Market Trends</t>
  </si>
  <si>
    <t xml:space="preserve">2026-02-26</t>
  </si>
  <si>
    <t xml:space="preserve">JAP_VT Trend Report 2026_Ventures</t>
  </si>
  <si>
    <t xml:space="preserve">2026-02-19</t>
  </si>
  <si>
    <t xml:space="preserve">IA - CDW - 20 Year Anniversary Book</t>
  </si>
  <si>
    <t xml:space="preserve">2026-01-29</t>
  </si>
  <si>
    <t xml:space="preserve">JAP_Insurtech2024 (En)</t>
  </si>
  <si>
    <t xml:space="preserve">2026-01-23</t>
  </si>
  <si>
    <t xml:space="preserve">JAP_CaseStudy_Plug and Play Japan_All</t>
  </si>
  <si>
    <t xml:space="preserve">JAP_eBook_Materials for Sustainable Future</t>
  </si>
  <si>
    <t xml:space="preserve">JAP_Ebook_Insurtech Ebook</t>
  </si>
  <si>
    <t xml:space="preserve">JAP_Company Report 2021_JA</t>
  </si>
  <si>
    <t xml:space="preserve">JAP_Company Report 2021</t>
  </si>
  <si>
    <t xml:space="preserve">JAP_Ebook_Smart Cities Ebook</t>
  </si>
  <si>
    <t xml:space="preserve">IA - CDW - CPR - Company Performance Report 2025</t>
  </si>
  <si>
    <t xml:space="preserve">2026-01-22</t>
  </si>
  <si>
    <t xml:space="preserve">IA - CDW - AI - Video - The Ultimate Enterprise AI Trend Report</t>
  </si>
  <si>
    <t xml:space="preserve">2025-12-11</t>
  </si>
  <si>
    <t xml:space="preserve">IA - CDW - SPC - Report - Humanoid Robotics Teaser Reoprt</t>
  </si>
  <si>
    <t xml:space="preserve">2025-12-03</t>
  </si>
  <si>
    <t xml:space="preserve">IA - CDW - HLT - Report - Our Health Program \| 2025 Overview</t>
  </si>
  <si>
    <t xml:space="preserve">2025-12-02</t>
  </si>
  <si>
    <t xml:space="preserve">JTP_Thank You - Speak to our experts</t>
  </si>
  <si>
    <t xml:space="preserve">2025-11-27</t>
  </si>
  <si>
    <t xml:space="preserve">IA - CDW - Supply Chain Annual Report 2025</t>
  </si>
  <si>
    <t xml:space="preserve">2025-11-18</t>
  </si>
  <si>
    <t xml:space="preserve">IA - CDW - EGY Spain Grid</t>
  </si>
  <si>
    <t xml:space="preserve">2025-10-28</t>
  </si>
  <si>
    <t xml:space="preserve">IA - CDW - SUS -  Ebook - Building Monitoring &amp; Decarbonization in Buildings</t>
  </si>
  <si>
    <t xml:space="preserve">2025-10-23</t>
  </si>
  <si>
    <t xml:space="preserve">JAP_Plug and Play Japan Innovation Services</t>
  </si>
  <si>
    <t xml:space="preserve">2025-10-09</t>
  </si>
  <si>
    <t xml:space="preserve">IA - CDW - EAI -  Ebook - How Embedded AI Robotics is Transforming Industries &amp; Daily Life</t>
  </si>
  <si>
    <t xml:space="preserve">2025-10-02</t>
  </si>
  <si>
    <t xml:space="preserve">Quiz Archetype 2_The Traditionalist</t>
  </si>
  <si>
    <t xml:space="preserve">Quiz Archetype 1_Stuck in Status Quo</t>
  </si>
  <si>
    <t xml:space="preserve">JAP_Summit_eventbrite Form</t>
  </si>
  <si>
    <t xml:space="preserve">2025-09-11</t>
  </si>
  <si>
    <t xml:space="preserve">IA - CDW - MOB - Case Study - The ZF &amp; Synop Success Story</t>
  </si>
  <si>
    <t xml:space="preserve">2025-08-21</t>
  </si>
  <si>
    <t xml:space="preserve">IA - CDW - HTH - Ebook - Sustainable Solutions for a Healthier Healthcare System</t>
  </si>
  <si>
    <t xml:space="preserve">2025-08-20</t>
  </si>
  <si>
    <t xml:space="preserve">IA - CDW - IOT - Report - The Quantum Leap: Transforming Industries With Emerging Tech</t>
  </si>
  <si>
    <t xml:space="preserve">2025-08-15</t>
  </si>
  <si>
    <t xml:space="preserve">Quiz Archetype 4_The Disruptor</t>
  </si>
  <si>
    <t xml:space="preserve">2025-08-12</t>
  </si>
  <si>
    <t xml:space="preserve">Quiz Archetype 3_The Experimenter</t>
  </si>
  <si>
    <t xml:space="preserve">IA - CDW - TVL - Ebook - The State of Travel &amp; Hospitality Innovation</t>
  </si>
  <si>
    <t xml:space="preserve">2025-07-29</t>
  </si>
  <si>
    <t xml:space="preserve">IA - CDW - FIN - Report - MegaTrends in Financial Services 2025</t>
  </si>
  <si>
    <t xml:space="preserve">2025-07-10</t>
  </si>
  <si>
    <t xml:space="preserve">IA - CDW - TVL - Case Study - Lima Airport (Fraport) x FacilityBot</t>
  </si>
  <si>
    <t xml:space="preserve">2025-07-03</t>
  </si>
  <si>
    <t xml:space="preserve">IA - CDW - SLAM - Ebook - Exploring Advanced Materials &amp; Automation in Manufacturing</t>
  </si>
  <si>
    <t xml:space="preserve">2025-06-25</t>
  </si>
  <si>
    <t xml:space="preserve">IA - CDW - Ebook - Startup Funding Playbook</t>
  </si>
  <si>
    <t xml:space="preserve">2025-06-24</t>
  </si>
  <si>
    <t xml:space="preserve">IA - CDW - Ebook - Texas Story</t>
  </si>
  <si>
    <t xml:space="preserve">2025-06-10</t>
  </si>
  <si>
    <t xml:space="preserve">IA - CDW - Ebook - Our Story So Far...</t>
  </si>
  <si>
    <t xml:space="preserve">IA - CDW - SPC - Ebook - Solutions for Supply Chain Management \| 2025 Collections</t>
  </si>
  <si>
    <t xml:space="preserve">2025-06-06</t>
  </si>
  <si>
    <t xml:space="preserve">IA - CDW - SPC - Case Study - The Success Story of Mitsubishi Electric x Kamet AI</t>
  </si>
  <si>
    <t xml:space="preserve">JAP_Contact From_Startups</t>
  </si>
  <si>
    <t xml:space="preserve">2025-05-20</t>
  </si>
  <si>
    <t xml:space="preserve">IA - CDW - TVL - Case Study - The Success Story of iGA Istanbul Airport x DELIVERS.AI</t>
  </si>
  <si>
    <t xml:space="preserve">2025-05-07</t>
  </si>
  <si>
    <t xml:space="preserve">IA - CDW - TVL - Case Study - The Success Story of Fraport AG x Prewave</t>
  </si>
  <si>
    <t xml:space="preserve">2025-04-27</t>
  </si>
  <si>
    <t xml:space="preserve">JAP_SUTEAM 2025</t>
  </si>
  <si>
    <t xml:space="preserve">IA - CDW - INS - Case Study - The Success Story of Aflac Ventures x Lazarus AI</t>
  </si>
  <si>
    <t xml:space="preserve">IA - CDW - SLAM - Collection 3 Startups List (April 2025)</t>
  </si>
  <si>
    <t xml:space="preserve">IA - CDW - INS - Video - Transforming Insurance at Selection Day</t>
  </si>
  <si>
    <t xml:space="preserve">IA - CDW - INS - Video - Natural Catastrophe Session</t>
  </si>
  <si>
    <t xml:space="preserve">IA - CDW - TVL - Case Study - The Success Story of Vienna Airport x Cartken</t>
  </si>
  <si>
    <t xml:space="preserve">IA - CDW - BRT - Report - The Future of Commerce</t>
  </si>
  <si>
    <t xml:space="preserve">IA - CDW - CPR - Company Performance Report 2024</t>
  </si>
  <si>
    <t xml:space="preserve">IA - CDW - CAS - Ebook - A Launchpad for Success: Inside the CASSINI Business Accelerator's Achievements</t>
  </si>
  <si>
    <t xml:space="preserve">IA - CDW - SLAM - Collection 1 Startups List (January 2025)</t>
  </si>
  <si>
    <t xml:space="preserve">IA - CDW -TVL - Ebook - Robotics in Aviation</t>
  </si>
  <si>
    <t xml:space="preserve">IA - CDW - FIN - Report - The Future of Banking</t>
  </si>
  <si>
    <t xml:space="preserve">IA - CDW - Innovation Academy</t>
  </si>
  <si>
    <t xml:space="preserve">IA - CDW -INS - Ebook - The State of AI in the Insurance Industry</t>
  </si>
  <si>
    <t xml:space="preserve">IA - CDW - GEN - Report - Investment Portfolio</t>
  </si>
  <si>
    <t xml:space="preserve">IA - CDW - SUS - Ebook - Revealing the Water and Energy Consumption of Data Centers</t>
  </si>
  <si>
    <t xml:space="preserve">IA - CDW - TAK - Ebook - From Concept to Capital: How Takeoff Accelerator Boosts Startups</t>
  </si>
  <si>
    <t xml:space="preserve">IA - CDW - SLAM - Ebook - Supply Chain Logistics &amp; Advanced Manufacturing Report</t>
  </si>
  <si>
    <t xml:space="preserve">IA - CDW - TVL - Report - Gen AI in Travel</t>
  </si>
  <si>
    <t xml:space="preserve">IA - CDW - INS - Ebook - AI for Insurance Trends</t>
  </si>
  <si>
    <t xml:space="preserve">IA - CDW - UNIV - Ebook - Innovation for Universities</t>
  </si>
  <si>
    <t xml:space="preserve">IA - CDW - FIN - Payment Ecosystem Report 2024</t>
  </si>
  <si>
    <t xml:space="preserve">IA - CDW - Report - 15-Year Anniversary Book</t>
  </si>
  <si>
    <t xml:space="preserve">JAP_JAP_Batch Application (WS25)</t>
  </si>
  <si>
    <t xml:space="preserve">IA - CDW - GOT - Nordics Startup Report 2024</t>
  </si>
  <si>
    <t xml:space="preserve">IA - CDW - MOB - The Success Story of Koito and Cepton</t>
  </si>
  <si>
    <t xml:space="preserve">IA - CDW - MOB - The Success Story of BASF, Motherson, and Porsche</t>
  </si>
  <si>
    <t xml:space="preserve">IA - CDW - FIN - The Success Story of Banco BRB and Cashbanx</t>
  </si>
  <si>
    <t xml:space="preserve">IA - CDW - The Success Story of Grupo Bolivar and TytoCare</t>
  </si>
  <si>
    <t xml:space="preserve">IA - CDW - DPT - The Success Story of Fujitsu and MoBagel</t>
  </si>
  <si>
    <t xml:space="preserve">IA - CDW - ITA - MVA - Driving Innovation in Mobility: The Motor Valley Accelerator Success Story</t>
  </si>
  <si>
    <t xml:space="preserve">IA - CDW - TVL - The Success Story of Aeroporti Di Roma and Ottonomy</t>
  </si>
  <si>
    <t xml:space="preserve">IA - CDW - BRZ - Ebook - Fintech Innovation in Latin America</t>
  </si>
  <si>
    <t xml:space="preserve">Registration Confirmation: Investing in Tomorrow \| Advancing Technology &amp; Society</t>
  </si>
  <si>
    <t xml:space="preserve">IA - CDW - MAR - The Success Story of IINO and Greywing</t>
  </si>
  <si>
    <t xml:space="preserve">IA - CDW - GEN - Ebook - Unleashing the Future: AI Innovation Reshaping Industries Today</t>
  </si>
  <si>
    <t xml:space="preserve">IA - CDW - SUS - Ebook - Climate Fintech</t>
  </si>
  <si>
    <t xml:space="preserve">IA - CDW - FIN - Ebook - Embedded Finance</t>
  </si>
  <si>
    <t xml:space="preserve">IA - CDW - The Success Story of Banco BRB and Plug and Play</t>
  </si>
  <si>
    <t xml:space="preserve">IA - CDW - HYD - Ebook - Hydrogen Report</t>
  </si>
  <si>
    <t xml:space="preserve">IA - CDW - Fintech Megatrends 2024 report</t>
  </si>
  <si>
    <t xml:space="preserve">IA - CDW - DPT - Case Study - The Success Story of Ooredoo and Quantive</t>
  </si>
  <si>
    <t xml:space="preserve">IA - CDW - JAP - Ebook - Achieving Circular Economy through Open Innovation in Japan</t>
  </si>
  <si>
    <t xml:space="preserve">IA - CDW - FIN - Ebook - Wealth &amp; Asset Management Tech</t>
  </si>
  <si>
    <t xml:space="preserve">IA - CDW - KSA - Report - KSA 2023 Venture Investment Report</t>
  </si>
  <si>
    <t xml:space="preserve">JAP_JAP_Batch Application (24 Summer) WIP</t>
  </si>
  <si>
    <t xml:space="preserve">IA - CDW - TVL - Case Study - The Success Story of Fraport AG and Arivo</t>
  </si>
  <si>
    <t xml:space="preserve">IA - CDW - GEN - Ebook - Exploring Saudi Arabia's Thriving VC Ecosystem: A 5-Year Analysis</t>
  </si>
  <si>
    <t xml:space="preserve">IA - CDW - EGY - Ebook - C&amp;I Energy Supply Infrastructure Report</t>
  </si>
  <si>
    <t xml:space="preserve">JAP_SUTEAM 2024</t>
  </si>
  <si>
    <t xml:space="preserve">IA - CDW - FIN - Case Study - The Success Story of SMBC Group and Allganize</t>
  </si>
  <si>
    <t xml:space="preserve">IA - CDW - GEN - Ebook - Essential Guide Of Corporate innovation</t>
  </si>
  <si>
    <t xml:space="preserve">IA - CDW - GEN - Ebook - How to Scale Global Teams for Success Through Innovation Leadership</t>
  </si>
  <si>
    <t xml:space="preserve">IA - CDW - TVL - Case Study - The Success Story of Vienna Airport and Sitemark</t>
  </si>
  <si>
    <t xml:space="preserve">IA - CDW - REC - Ebook - New Materials and Construction Technologies</t>
  </si>
  <si>
    <t xml:space="preserve">IA - CDW - HAM - Case Study - The Success Story of Hamburg Invest and Plug and Play</t>
  </si>
  <si>
    <t xml:space="preserve">IA - CDW - SUS - Ebook - Sustainable Mining: Ensuring the Responsible Use of Raw Material</t>
  </si>
  <si>
    <t xml:space="preserve">IA - CDW - MOB - Case Study - The Success Story of ZF and Intenseye</t>
  </si>
  <si>
    <t xml:space="preserve">IA - CDW - INS - Ebook - The Generative AI Revolution in Insurance</t>
  </si>
  <si>
    <t xml:space="preserve">IA - CDW - INS - Ebook - Japan Insurtech Report 2023</t>
  </si>
  <si>
    <t xml:space="preserve">IA - CDW - MOB - Case Study - The Success Story of ZF and Dristhi</t>
  </si>
  <si>
    <t xml:space="preserve">JAP_Contact From_WS24 Startups_Batch Application</t>
  </si>
  <si>
    <t xml:space="preserve">IA - CDW - SMC - Ebook - Smart Cities Using Mobility Solutions for Urban Life</t>
  </si>
  <si>
    <t xml:space="preserve">IA - CDW - EGY - Case Study - The Success Story Of SolarDuck and Tokyu Land Corporation</t>
  </si>
  <si>
    <t xml:space="preserve">IA - CDW - Ebook - 10 Startups to Help You Build Your Own: A Quick Guide</t>
  </si>
  <si>
    <t xml:space="preserve">IA - CDW - SUS - Case Study - The Success Story of COWI and nuron</t>
  </si>
  <si>
    <t xml:space="preserve">IA - CDW - DTT - Case Study - The Success Story Of Sanyo Trading and #Tide Ocean Material</t>
  </si>
  <si>
    <t xml:space="preserve">IA - CDW - SPC - Case Study - The Success Story of COWI and CONXAI</t>
  </si>
  <si>
    <t xml:space="preserve">IA - CDW - MOB - Case Study - The Success Story of Mitsubishi Electric and Cartken</t>
  </si>
  <si>
    <t xml:space="preserve">IA - CDW - TVL - Case Study - The Success Story of Fraport AG and Blickfeld</t>
  </si>
  <si>
    <t xml:space="preserve">IA - CDW - MAR - Case Study - The Success Story of Port of Antwerp-Bruges and Awake.AI</t>
  </si>
  <si>
    <t xml:space="preserve">IA - CDW - MOB - Case Study - The Success Story of Suzuki and Soar Robotics</t>
  </si>
  <si>
    <t xml:space="preserve">IA - CDW - INS - Case Study - The Success Story of American National and Attensi</t>
  </si>
  <si>
    <t xml:space="preserve">2024-11-20</t>
  </si>
  <si>
    <t xml:space="preserve">JAP_Contact From_Other</t>
  </si>
  <si>
    <t xml:space="preserve">2024-11-19</t>
  </si>
  <si>
    <t xml:space="preserve">2024-09-04</t>
  </si>
  <si>
    <t xml:space="preserve">JAP_CaseStudy_Fujikura-SleepShepherd</t>
  </si>
  <si>
    <t xml:space="preserve">IA - CDW - JPN - EGY - Ebook - Japan Energy Report 2022</t>
  </si>
  <si>
    <t xml:space="preserve">JAP_eBook_COVID-19</t>
  </si>
  <si>
    <t xml:space="preserve">CFA MVA 2024 - Email notification to applicants</t>
  </si>
  <si>
    <t xml:space="preserve">2024-05-15</t>
  </si>
  <si>
    <t xml:space="preserve">2024-03-01</t>
  </si>
  <si>
    <t xml:space="preserve">2024-01-25</t>
  </si>
  <si>
    <t xml:space="preserve">IA - CDW - TVL -Ebook - Deep Diving into Travel Behavior with Data, Analytics, and AI</t>
  </si>
  <si>
    <t xml:space="preserve">2024-01-23</t>
  </si>
  <si>
    <t xml:space="preserve">2024-01-15</t>
  </si>
  <si>
    <t xml:space="preserve">MOB_Case Study_SEKISUI &amp; META</t>
  </si>
  <si>
    <t xml:space="preserve">2024-01-11</t>
  </si>
  <si>
    <t xml:space="preserve">IOT_Case Study_Neener &amp; Telcom</t>
  </si>
  <si>
    <t xml:space="preserve">BRT_Ebook_Emerging Beauty Trends</t>
  </si>
  <si>
    <t xml:space="preserve">IA - CDW - SMC - Ebook - Driving Energy Efficiency in Smart Cities</t>
  </si>
  <si>
    <t xml:space="preserve">2023-11-27</t>
  </si>
  <si>
    <t xml:space="preserve">EXPO2024 Newsletter Signup (Automated Reply &amp; Added to Newsletter Campaign List)</t>
  </si>
  <si>
    <t xml:space="preserve">2023-11-17</t>
  </si>
  <si>
    <t xml:space="preserve">IA - CDW - MOB - Case Study - The Success Story of Stellantis and Miles</t>
  </si>
  <si>
    <t xml:space="preserve">2023-10-11</t>
  </si>
  <si>
    <t xml:space="preserve">IA - CDW - JPN -Ebook - Japan Insurtech Report 2022</t>
  </si>
  <si>
    <t xml:space="preserve">IA - CDW - AGT - Case Study - The Success Story of Soiltech Wireless &amp; Grand Farm</t>
  </si>
  <si>
    <t xml:space="preserve">IA - CDW - CHN - Ebook - The Innovation Ecosystem in China</t>
  </si>
  <si>
    <t xml:space="preserve">IA - CDW - SMC - Case Study - The Success Story of Kajima and Kaarta</t>
  </si>
  <si>
    <t xml:space="preserve">IA - CDW - INS - Ebook - Proptech and Its Applications in Insurance</t>
  </si>
  <si>
    <t xml:space="preserve">IA - CDW - SPC - Case Study - The Success Story of DB Schenker and Avatour</t>
  </si>
  <si>
    <t xml:space="preserve">LG Chem \| send auto reply</t>
  </si>
  <si>
    <t xml:space="preserve">2023-08-21</t>
  </si>
  <si>
    <t xml:space="preserve">JAP_Contact From_Corporates</t>
  </si>
  <si>
    <t xml:space="preserve">2023-08-09</t>
  </si>
  <si>
    <t xml:space="preserve">SPC_Case Study_DSV &amp; Tive</t>
  </si>
  <si>
    <t xml:space="preserve">2023-07-26</t>
  </si>
  <si>
    <t xml:space="preserve">TVL_Ebook_Rebooting Travel after COVID-19</t>
  </si>
  <si>
    <t xml:space="preserve">2023-06-29</t>
  </si>
  <si>
    <t xml:space="preserve">PNP_World After COVID_Ebook Download</t>
  </si>
  <si>
    <t xml:space="preserve">PNP_Case Study_Baloise &amp; Automation Hero</t>
  </si>
  <si>
    <t xml:space="preserve">MOB_Case Study_Schaeffler &amp; Atheer</t>
  </si>
  <si>
    <t xml:space="preserve">MOB_Case Study_Suzuki &amp; CommerceAI</t>
  </si>
  <si>
    <t xml:space="preserve">EGY_Case Study_Simply Energy &amp; Sapient</t>
  </si>
  <si>
    <t xml:space="preserve">FIN_Case Study_Raiffeisen Bank &amp; Plug and Play</t>
  </si>
  <si>
    <t xml:space="preserve">SMC_Case Study_Vienna Airport &amp; Bespoke</t>
  </si>
  <si>
    <t xml:space="preserve">2023-02-06</t>
  </si>
  <si>
    <t xml:space="preserve">JAP_Contact From_SF23 Startups_Batch Applicatio</t>
  </si>
  <si>
    <t xml:space="preserve">2022-12-27</t>
  </si>
  <si>
    <t xml:space="preserve">JAP_Contact From_WS23 Startups_Batch Application</t>
  </si>
  <si>
    <t xml:space="preserve">JAP_Contact From_SC Batch 4 Startups_Batch Application</t>
  </si>
  <si>
    <t xml:space="preserve">JAP_Contact From_AEPW Startups_Batch Application</t>
  </si>
  <si>
    <t xml:space="preserve">MVA_Startup Application Ext Alert + Internal Data</t>
  </si>
  <si>
    <t xml:space="preserve">FOO_Ebook_Foodtech in Europe</t>
  </si>
  <si>
    <t xml:space="preserve">TVL_Ebook_Tackling Climate Change</t>
  </si>
  <si>
    <t xml:space="preserve">JAP_Contact From_Startups_Batch Application</t>
  </si>
  <si>
    <t xml:space="preserve">IOT_Case Study_Ooredoo &amp; Cerebri AI</t>
  </si>
  <si>
    <t xml:space="preserve">FIN_Case Study_Aareal &amp; Plug and Play</t>
  </si>
  <si>
    <t xml:space="preserve">SMC_Ebook_Rethinking Smart Cities after COVID-19</t>
  </si>
  <si>
    <t xml:space="preserve">IOT_Case Study_Rheem &amp; Atollogy</t>
  </si>
  <si>
    <t xml:space="preserve">SMC_Case Study_Thaioil &amp; EcoWorth</t>
  </si>
  <si>
    <t xml:space="preserve">JAP_Contact From_Media</t>
  </si>
  <si>
    <t xml:space="preserve">MOB_Case Study_BASF Motherson and Porsche</t>
  </si>
  <si>
    <t xml:space="preserve">RFI - Web - General RFI form : sequential email workflow</t>
  </si>
  <si>
    <t xml:space="preserve">2022-06-13</t>
  </si>
  <si>
    <t xml:space="preserve">V0_Mentors Applications_BRA Batch#2_FINAL: sequential email workflow</t>
  </si>
  <si>
    <t xml:space="preserve">Internal workflow</t>
  </si>
  <si>
    <t xml:space="preserve">2022-06-08</t>
  </si>
  <si>
    <t xml:space="preserve">MENA_Ebook_Going Global</t>
  </si>
  <si>
    <t xml:space="preserve">2022-04-30</t>
  </si>
  <si>
    <t xml:space="preserve">HAM_Expo 3_Recording_Form: sequential email workflow</t>
  </si>
  <si>
    <t xml:space="preserve">2021-11-26</t>
  </si>
  <si>
    <t xml:space="preserve">Brazil newsletter sign-up form (August 26, 2020 6:47:55 PM) : sequential email workflow</t>
  </si>
  <si>
    <t xml:space="preserve">2021-03-11</t>
  </si>
  <si>
    <t xml:space="preserve">MOB_Case Study_Koito &amp; Relativity</t>
  </si>
  <si>
    <t xml:space="preserve">2021-02-22</t>
  </si>
  <si>
    <t xml:space="preserve">SMC_Ebook_Reopening Manufacturing Facilities</t>
  </si>
  <si>
    <t xml:space="preserve">2021-02-17</t>
  </si>
  <si>
    <t xml:space="preserve">FOO_Ebook_Agtech_Trends_2020</t>
  </si>
  <si>
    <t xml:space="preserve">HTH_Ebook_Future of Health</t>
  </si>
  <si>
    <t xml:space="preserve">SMC_Ebook_Making Cities Smarter</t>
  </si>
  <si>
    <t xml:space="preserve">INS_Report_New Risks &amp; Products</t>
  </si>
  <si>
    <t xml:space="preserve">BNR_Ebook_Technologies shaping Retail</t>
  </si>
  <si>
    <t xml:space="preserve">IoT_Case Study_Caban System &amp; Ooredoo</t>
  </si>
  <si>
    <t xml:space="preserve">MOB_Case Study_Koito &amp; Cepton</t>
  </si>
  <si>
    <t xml:space="preserve">IoT_Case Study_Tatsuta &amp; ACI</t>
  </si>
  <si>
    <t xml:space="preserve">BNR_Case Study_NEC, WalkOut &amp; Wheel.me</t>
  </si>
  <si>
    <t xml:space="preserve">HTH_Ebook_Top Health Startups fighting COVID-19</t>
  </si>
  <si>
    <t xml:space="preserve">FIN_Report_Fintech Tech Trend Report</t>
  </si>
  <si>
    <t xml:space="preserve">IoT_Case Study_Kyocera &amp; LO3</t>
  </si>
  <si>
    <t xml:space="preserve">2021-02-16</t>
  </si>
  <si>
    <t xml:space="preserve">INS_Case Study_EMC &amp; Matterport</t>
  </si>
  <si>
    <t xml:space="preserve">TVL_Ebook_The Future of Travel</t>
  </si>
  <si>
    <t xml:space="preserve">E20_Case Study_WTW and Syndio</t>
  </si>
  <si>
    <t xml:space="preserve">FIN_Ebook_Frankfurt Understanding Changing EU Regulations</t>
  </si>
  <si>
    <t xml:space="preserve">FIN_Case Study_Us Bank and Socure</t>
  </si>
  <si>
    <t xml:space="preserve">CHA_Ebook Guide Email Download</t>
  </si>
  <si>
    <t xml:space="preserve">FIN_Insights_Report_2020</t>
  </si>
  <si>
    <t xml:space="preserve">2020-10-05</t>
  </si>
  <si>
    <t xml:space="preserve">Off</t>
  </si>
  <si>
    <t xml:space="preserve">2026-09-04</t>
  </si>
  <si>
    <t xml:space="preserve">Pipeline is "Startup Camp EMEA - Pipeline", deal stage is "Schedule Pitch/Call"</t>
  </si>
  <si>
    <t xml:space="preserve">2026-08-27</t>
  </si>
  <si>
    <t xml:space="preserve">Pipeline is "Startup Camp EMEA - Pipeline", deal stage is "Pass after Pitch/Call"</t>
  </si>
  <si>
    <t xml:space="preserve">Pipeline is "Startup Camp EMEA - Pipeline", deal stage is "Pass Directly"</t>
  </si>
  <si>
    <t xml:space="preserve">Watchleads outreach automation</t>
  </si>
  <si>
    <t xml:space="preserve">2026-04-02</t>
  </si>
  <si>
    <r>
      <rPr>
        <sz val="10"/>
        <color rgb="FF000000"/>
        <rFont val="WenQuanYi Zen Hei"/>
        <family val="2"/>
      </rPr>
      <t xml:space="preserve">フォーム送信後にフォローアップ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メールを送信</t>
    </r>
  </si>
  <si>
    <t xml:space="preserve">2026-03-11</t>
  </si>
  <si>
    <t xml:space="preserve">260616 Italy Summit \| Pre-event comms</t>
  </si>
  <si>
    <t xml:space="preserve">2026-03-04</t>
  </si>
  <si>
    <t xml:space="preserve">2026-03-03</t>
  </si>
  <si>
    <t xml:space="preserve">JAP_EL_DX Beauty Industory</t>
  </si>
  <si>
    <t xml:space="preserve">JAP_Company Performance Report 2025</t>
  </si>
  <si>
    <t xml:space="preserve">2026-02-17</t>
  </si>
  <si>
    <t xml:space="preserve">JP_Gov_Proposal</t>
  </si>
  <si>
    <t xml:space="preserve">2026-02-13</t>
  </si>
  <si>
    <t xml:space="preserve">251209 Sweden Expo</t>
  </si>
  <si>
    <t xml:space="preserve">2026-02-12</t>
  </si>
  <si>
    <t xml:space="preserve">2025-09-08</t>
  </si>
  <si>
    <t xml:space="preserve">IA - CDW - TVL - Ebook - The State of Travel &amp; Hospitality Innovation (cloned)</t>
  </si>
  <si>
    <t xml:space="preserve">2025-07-31</t>
  </si>
  <si>
    <t xml:space="preserve">LNS - RFI - Emails</t>
  </si>
  <si>
    <t xml:space="preserve">2025-05-05</t>
  </si>
  <si>
    <t xml:space="preserve">JAP_Template_eBook</t>
  </si>
  <si>
    <t xml:space="preserve">2025-05-02</t>
  </si>
  <si>
    <t xml:space="preserve">JAP_Contact From_Corporates (cloned)</t>
  </si>
  <si>
    <t xml:space="preserve">REC_Case Study_Kajima &amp; Holobuilder</t>
  </si>
  <si>
    <t xml:space="preserve">PNP_Content_Template Workflow</t>
  </si>
  <si>
    <t xml:space="preserve">INS_Case Study_VKB &amp; FairFleet</t>
  </si>
  <si>
    <t xml:space="preserve">2023-12-19</t>
  </si>
  <si>
    <t xml:space="preserve">INS_TrendReport_Agriculture_Insurance</t>
  </si>
  <si>
    <t xml:space="preserve">INS_Case Study_Nexar &amp; Nationwide</t>
  </si>
  <si>
    <t xml:space="preserve">INS_TrendReport_Chronic Disease_March_2019</t>
  </si>
  <si>
    <t xml:space="preserve">INS_TrendReport_Insurtech China_July_2019</t>
  </si>
  <si>
    <t xml:space="preserve">INS_TrendReport_Insurtech Japan_June_2019</t>
  </si>
  <si>
    <t xml:space="preserve">INS_Case Study_NRI_Sureify</t>
  </si>
  <si>
    <t xml:space="preserve">IoT_Case Study_Daikin and eLichens</t>
  </si>
  <si>
    <t xml:space="preserve">SMC_Ebook_Cost-Saving Technologies for Manufacturing</t>
  </si>
  <si>
    <t xml:space="preserve">SMC_Ebook_Smart Cities Against Covid-19</t>
  </si>
  <si>
    <t xml:space="preserve">EGY_Ebook_Synthetic Data</t>
  </si>
  <si>
    <t xml:space="preserve">INS_TrendReport_Heading Towards a Sustainable Pension System_May 2020</t>
  </si>
  <si>
    <t xml:space="preserve">AGT_Case Study_Tridon (Agtech)</t>
  </si>
  <si>
    <t xml:space="preserve">PNP_Report_Portfolio_Highlight_Book</t>
  </si>
  <si>
    <t xml:space="preserve">INS_Ebook_Featured Startups Fighting Covid-19_June 2020</t>
  </si>
  <si>
    <t xml:space="preserve">INS_Report_Insurers: Staying relevant to your policyholders in 2020 (June 2020)</t>
  </si>
  <si>
    <t xml:space="preserve">FOO_Case Study_Lavazza</t>
  </si>
  <si>
    <t xml:space="preserve">SPC_Report_Top Founders Africa</t>
  </si>
  <si>
    <t xml:space="preserve">EGY_Ebook_Electric Vehicles</t>
  </si>
  <si>
    <t xml:space="preserve">TVL_Ebook_Travel after COVID-19</t>
  </si>
  <si>
    <t xml:space="preserve">E20_Case Study_Mars &amp; Diana AI</t>
  </si>
  <si>
    <t xml:space="preserve">SMC_Ebook_The Future of Building Materials</t>
  </si>
  <si>
    <t xml:space="preserve">SPC_Case Study_Georgia Pacific &amp; Specright</t>
  </si>
  <si>
    <t xml:space="preserve">EGY_Ebook_Hydrogen The Green Transition</t>
  </si>
  <si>
    <t xml:space="preserve">INS_Case Study_EMC &amp; Kespry</t>
  </si>
  <si>
    <t xml:space="preserve">INS_Report_Emerging startups to realize the vision of a Digital P&amp;C Insurer (Jan 2021)</t>
  </si>
  <si>
    <t xml:space="preserve">SUS_Case Study_Litterati_AEPW</t>
  </si>
  <si>
    <t xml:space="preserve">INS_Case Study_WTW &amp; Relativity</t>
  </si>
  <si>
    <t xml:space="preserve">SUS_Report_Portfolio Impact Report 2020</t>
  </si>
  <si>
    <t xml:space="preserve">2023-11-18</t>
  </si>
  <si>
    <t xml:space="preserve">2023-11-08</t>
  </si>
  <si>
    <t xml:space="preserve">INS_Report_The Cyber Insurance Handbook_Jan21_2020</t>
  </si>
  <si>
    <t xml:space="preserve">2023-09-20</t>
  </si>
  <si>
    <t xml:space="preserve">SUS_Report_2 year anniversary</t>
  </si>
  <si>
    <t xml:space="preserve">2023-06-19</t>
  </si>
  <si>
    <t xml:space="preserve">INS_Case Study_Generali and Pathmate</t>
  </si>
  <si>
    <t xml:space="preserve">2023-03-21</t>
  </si>
  <si>
    <t xml:space="preserve">2023-01-19</t>
  </si>
  <si>
    <t xml:space="preserve">NS_EB/CS/IR_NV</t>
  </si>
  <si>
    <t xml:space="preserve">2022-03-29</t>
  </si>
  <si>
    <t xml:space="preserve">LNS_Lead Nurturing_Lead to SQL</t>
  </si>
  <si>
    <t xml:space="preserve">2022-02-15</t>
  </si>
  <si>
    <t xml:space="preserve">ON with 'COVID' in the name</t>
  </si>
  <si>
    <t xml:space="preserve">Campaigns</t>
  </si>
  <si>
    <t xml:space="preserve">Source: HubSpot › Marketing › Campaigns, 8 Oct 2026.</t>
  </si>
  <si>
    <t xml:space="preserve">Count</t>
  </si>
  <si>
    <t xml:space="preserve">Campaigns in the account</t>
  </si>
  <si>
    <t xml:space="preserve">With a start or end date in 1 Oct 2025 – 30 Sep 2026</t>
  </si>
  <si>
    <t xml:space="preserve">With no start or end date</t>
  </si>
  <si>
    <t xml:space="preserve">…of which contain emails</t>
  </si>
  <si>
    <t xml:space="preserve">Emails sent in the period with a campaign</t>
  </si>
  <si>
    <t xml:space="preserve">Emails sent in the period without a campaign</t>
  </si>
  <si>
    <t xml:space="preserve">Campaign (dated, in period)</t>
  </si>
  <si>
    <t xml:space="preserve">Owner</t>
  </si>
  <si>
    <t xml:space="preserve">Start</t>
  </si>
  <si>
    <t xml:space="preserve">End</t>
  </si>
  <si>
    <t xml:space="preserve">Marketing emails</t>
  </si>
  <si>
    <t xml:space="preserve">260310 Germany Summit</t>
  </si>
  <si>
    <t xml:space="preserve">user ID 210508648</t>
  </si>
  <si>
    <t xml:space="preserve">2026-03-12</t>
  </si>
  <si>
    <t xml:space="preserve">2026-04-23</t>
  </si>
  <si>
    <t xml:space="preserve">2026 Plug and Play Italy Summit – Pre-event communication</t>
  </si>
  <si>
    <t xml:space="preserve">user ID 380135023</t>
  </si>
  <si>
    <t xml:space="preserve">2026-02-01</t>
  </si>
  <si>
    <t xml:space="preserve">US_WA_26 Newsletter-Seattle</t>
  </si>
  <si>
    <t xml:space="preserve">Alyson Serrano</t>
  </si>
  <si>
    <t xml:space="preserve">2026-01-01</t>
  </si>
  <si>
    <t xml:space="preserve">2026-12-31</t>
  </si>
  <si>
    <t xml:space="preserve">US_TX_26 Newsletter</t>
  </si>
  <si>
    <t xml:space="preserve">MKT_Industry Newsletters 2026</t>
  </si>
  <si>
    <t xml:space="preserve">user ID 108145561</t>
  </si>
  <si>
    <t xml:space="preserve">US_IN_26 Newsletter</t>
  </si>
  <si>
    <t xml:space="preserve">US_FL_26 Newsletter</t>
  </si>
  <si>
    <t xml:space="preserve">JPN_NikkeiBP_tieup_2510</t>
  </si>
  <si>
    <t xml:space="preserve">Kaori Shimizu</t>
  </si>
  <si>
    <t xml:space="preserve">2025-10-01</t>
  </si>
  <si>
    <t xml:space="preserve">2025-12-31</t>
  </si>
  <si>
    <t xml:space="preserve">JPN_Mynavi_SummitAD_2510</t>
  </si>
  <si>
    <t xml:space="preserve">Warsaw Medtech Expo Batch 3</t>
  </si>
  <si>
    <t xml:space="preserve">user ID 753190293</t>
  </si>
  <si>
    <t xml:space="preserve">JPN_Explorers_3rd Party Event_2507</t>
  </si>
  <si>
    <t xml:space="preserve">2025-07-01</t>
  </si>
  <si>
    <t xml:space="preserve">Location Newsletters 2025</t>
  </si>
  <si>
    <t xml:space="preserve">2025-01-01</t>
  </si>
  <si>
    <t xml:space="preserve">MKT_Newsletters 2025</t>
  </si>
  <si>
    <t xml:space="preserve">Marketing Campaigns 2025</t>
  </si>
  <si>
    <t xml:space="preserve">HubSpot teams (62)</t>
  </si>
  <si>
    <t xml:space="preserve">Source: HubSpot teams list, 8 Oct 2026. None of the 1,042 emails sent 1 Oct 2025 – 30 Sep 2026 has a team assigned.</t>
  </si>
  <si>
    <t xml:space="preserve">Primary users</t>
  </si>
  <si>
    <t xml:space="preserve">Secondary users</t>
  </si>
  <si>
    <t xml:space="preserve">Parent team</t>
  </si>
  <si>
    <t xml:space="preserve">Abu Dhabi</t>
  </si>
  <si>
    <t xml:space="preserve">AgTech</t>
  </si>
  <si>
    <t xml:space="preserve">Alberta</t>
  </si>
  <si>
    <t xml:space="preserve">Supply Chain</t>
  </si>
  <si>
    <t xml:space="preserve">Borja's team - VLC</t>
  </si>
  <si>
    <t xml:space="preserve">Building Ops SV</t>
  </si>
  <si>
    <t xml:space="preserve">Corporate Overall</t>
  </si>
  <si>
    <t xml:space="preserve">EMEA Fund</t>
  </si>
  <si>
    <t xml:space="preserve">Energy</t>
  </si>
  <si>
    <t xml:space="preserve">Fintech</t>
  </si>
  <si>
    <t xml:space="preserve">Food</t>
  </si>
  <si>
    <t xml:space="preserve">Hamburg</t>
  </si>
  <si>
    <t xml:space="preserve">Health</t>
  </si>
  <si>
    <t xml:space="preserve">HR</t>
  </si>
  <si>
    <t xml:space="preserve">Insurtech</t>
  </si>
  <si>
    <t xml:space="preserve">International</t>
  </si>
  <si>
    <t xml:space="preserve">Istanbul</t>
  </si>
  <si>
    <t xml:space="preserve">IT</t>
  </si>
  <si>
    <t xml:space="preserve">ITALY BD</t>
  </si>
  <si>
    <t xml:space="preserve">Kazakhstan</t>
  </si>
  <si>
    <t xml:space="preserve">LA</t>
  </si>
  <si>
    <t xml:space="preserve">Maritime</t>
  </si>
  <si>
    <t xml:space="preserve">Marketing</t>
  </si>
  <si>
    <t xml:space="preserve">Materials</t>
  </si>
  <si>
    <t xml:space="preserve">Media</t>
  </si>
  <si>
    <t xml:space="preserve">Media &amp; Advertising</t>
  </si>
  <si>
    <t xml:space="preserve">Mobility/IoT</t>
  </si>
  <si>
    <t xml:space="preserve">munich</t>
  </si>
  <si>
    <t xml:space="preserve">Nordics</t>
  </si>
  <si>
    <t xml:space="preserve">Operations</t>
  </si>
  <si>
    <t xml:space="preserve">Real Estate</t>
  </si>
  <si>
    <t xml:space="preserve">Retail</t>
  </si>
  <si>
    <t xml:space="preserve">Sanam's Test Team</t>
  </si>
  <si>
    <t xml:space="preserve">Saudi</t>
  </si>
  <si>
    <t xml:space="preserve">Silicon Valley</t>
  </si>
  <si>
    <t xml:space="preserve">Smart Cities</t>
  </si>
  <si>
    <t xml:space="preserve">star</t>
  </si>
  <si>
    <t xml:space="preserve">Startup Autobahn</t>
  </si>
  <si>
    <t xml:space="preserve">Startup Camp EMEA</t>
  </si>
  <si>
    <t xml:space="preserve">Sustainability</t>
  </si>
  <si>
    <t xml:space="preserve">SV Japanese Partnerships</t>
  </si>
  <si>
    <t xml:space="preserve">Toronto</t>
  </si>
  <si>
    <t xml:space="preserve">Travel</t>
  </si>
  <si>
    <t xml:space="preserve">Travel EU/Vienna</t>
  </si>
  <si>
    <t xml:space="preserve">Ventures</t>
  </si>
  <si>
    <t xml:space="preserve">All marketing emails sent 1 Oct 2025 – 30 Sep 2026 (1,063)</t>
  </si>
  <si>
    <t xml:space="preserve">Source: HubSpot › Marketing › Email › Export emails (8 Oct 2026). Published emails only (5 drafts excluded). Stats as exported.</t>
  </si>
  <si>
    <t xml:space="preserve">Email name</t>
  </si>
  <si>
    <t xml:space="preserve">Send date</t>
  </si>
  <si>
    <t xml:space="preserve">Email type</t>
  </si>
  <si>
    <t xml:space="preserve">From name</t>
  </si>
  <si>
    <t xml:space="preserve">Subscription type</t>
  </si>
  <si>
    <t xml:space="preserve">Campaign</t>
  </si>
  <si>
    <t xml:space="preserve">Newsletter series</t>
  </si>
  <si>
    <t xml:space="preserve">Location based on</t>
  </si>
  <si>
    <t xml:space="preserve">Sent</t>
  </si>
  <si>
    <t xml:space="preserve">Opened</t>
  </si>
  <si>
    <t xml:space="preserve">Clicked</t>
  </si>
  <si>
    <t xml:space="preserve">Unsubscribed</t>
  </si>
  <si>
    <t xml:space="preserve">Plug and Play Türkiye September 2026 Newsletter</t>
  </si>
  <si>
    <t xml:space="preserve">Regular</t>
  </si>
  <si>
    <t xml:space="preserve">Name / sender / campaign</t>
  </si>
  <si>
    <t xml:space="preserve">JAP_Japan Summit 2026_Sansan - Sept - 2026 - 18</t>
  </si>
  <si>
    <t xml:space="preserve">Yuki Nakatani</t>
  </si>
  <si>
    <t xml:space="preserve">2026 travel nov summit outreach (rest)</t>
  </si>
  <si>
    <t xml:space="preserve">Brandon Lee</t>
  </si>
  <si>
    <t xml:space="preserve">Summit ads</t>
  </si>
  <si>
    <t xml:space="preserve">September_Internal_Newsletter</t>
  </si>
  <si>
    <t xml:space="preserve">Allison Romero</t>
  </si>
  <si>
    <t xml:space="preserve">Physical AI</t>
  </si>
  <si>
    <t xml:space="preserve">Rick Hernandez</t>
  </si>
  <si>
    <t xml:space="preserve">My-Dung Tran</t>
  </si>
  <si>
    <t xml:space="preserve">Same sender's other emails</t>
  </si>
  <si>
    <t xml:space="preserve">UK September 2026 Newsletter</t>
  </si>
  <si>
    <t xml:space="preserve">UK26 Newsletter</t>
  </si>
  <si>
    <t xml:space="preserve">JAP_Newsletter_Sept - 2026 - 30</t>
  </si>
  <si>
    <t xml:space="preserve">Tirana Expo Invitation (2) 2026</t>
  </si>
  <si>
    <t xml:space="preserve">Plug and Play Tirana</t>
  </si>
  <si>
    <t xml:space="preserve">Klajdi Shyti</t>
  </si>
  <si>
    <t xml:space="preserve">October Events</t>
  </si>
  <si>
    <t xml:space="preserve">GNL_September 2026</t>
  </si>
  <si>
    <t xml:space="preserve">Jacky Tsang</t>
  </si>
  <si>
    <t xml:space="preserve">GNL 2026</t>
  </si>
  <si>
    <t xml:space="preserve">TEXAS September Newsletter</t>
  </si>
  <si>
    <t xml:space="preserve">BRAM Newsletter #2 - RetailClub Notes/ September 2026</t>
  </si>
  <si>
    <t xml:space="preserve">🚀 Plug and Play Cyprus_Expo News</t>
  </si>
  <si>
    <t xml:space="preserve">Victoria from Plug and Play Cyprus</t>
  </si>
  <si>
    <t xml:space="preserve">Victoria Hinsche</t>
  </si>
  <si>
    <t xml:space="preserve">THF Launch_General (registered) (Sept 28)</t>
  </si>
  <si>
    <t xml:space="preserve">Plug and Play Finland</t>
  </si>
  <si>
    <t xml:space="preserve">Live Pitch Feedback Event: Mobility &amp; Advanced Hardware</t>
  </si>
  <si>
    <t xml:space="preserve">New email</t>
  </si>
  <si>
    <t xml:space="preserve">roza amrollah</t>
  </si>
  <si>
    <t xml:space="preserve">Summit for Tenants</t>
  </si>
  <si>
    <t xml:space="preserve">Fintech &amp; AI Insights - Edition 2 - September 23, 2026</t>
  </si>
  <si>
    <t xml:space="preserve">ME Innovation Day, Email 2</t>
  </si>
  <si>
    <t xml:space="preserve">Ava Milana</t>
  </si>
  <si>
    <t xml:space="preserve">Alignment 2026</t>
  </si>
  <si>
    <t xml:space="preserve">APAC_Newsletter_September_2026</t>
  </si>
  <si>
    <t xml:space="preserve">CDW - Email - The 2026 Enterprise AI Strategy Pulse Survey</t>
  </si>
  <si>
    <t xml:space="preserve">Automated</t>
  </si>
  <si>
    <t xml:space="preserve">Mike from Plug and Play</t>
  </si>
  <si>
    <t xml:space="preserve">THF Launch_General (registered) (Sept 22)</t>
  </si>
  <si>
    <t xml:space="preserve">SMB Tech Connect</t>
  </si>
  <si>
    <t xml:space="preserve">Indiana Medtech + Lifetech Newsletter September 2026</t>
  </si>
  <si>
    <t xml:space="preserve">A/B test</t>
  </si>
  <si>
    <t xml:space="preserve">Plug and Play Indiana Lifetech &amp; Medtech</t>
  </si>
  <si>
    <t xml:space="preserve">2026 travel nov summit outreach</t>
  </si>
  <si>
    <t xml:space="preserve">CDW - Email - EGY- Report - Energizing AI: A Deep Dive Into the Data Center Energy Value Chain</t>
  </si>
  <si>
    <t xml:space="preserve">Andrew Jerrom</t>
  </si>
  <si>
    <t xml:space="preserve">Indiana Lifetech &amp; Medtech Alumni - Invitation to SV Summit November 2026</t>
  </si>
  <si>
    <t xml:space="preserve">Time zone send</t>
  </si>
  <si>
    <t xml:space="preserve">Indiana Lifetech &amp; Medtech Mentors - Invitation to SV Summit November 2026 (Clone)</t>
  </si>
  <si>
    <t xml:space="preserve">ITA26_Newsletter September</t>
  </si>
  <si>
    <t xml:space="preserve">Ilaria Battistutta</t>
  </si>
  <si>
    <t xml:space="preserve">Ita26 Newsletter</t>
  </si>
  <si>
    <t xml:space="preserve">JAP_Newsletter - Sept - 2026 - 16</t>
  </si>
  <si>
    <t xml:space="preserve">KOCCA SG Biz Matching -1</t>
  </si>
  <si>
    <t xml:space="preserve">Tae Rin Ha</t>
  </si>
  <si>
    <t xml:space="preserve">THF_Selected (FORM - follow up)</t>
  </si>
  <si>
    <t xml:space="preserve">CDW - CPR 2025 TyE</t>
  </si>
  <si>
    <t xml:space="preserve">CDW - 20 Year Book TyE</t>
  </si>
  <si>
    <t xml:space="preserve">CDW - Email - Innovation Assessment Report</t>
  </si>
  <si>
    <t xml:space="preserve">innovation-assessment-report26</t>
  </si>
  <si>
    <t xml:space="preserve">CDW - Email - EGY - Report - Secure Systems: Building Resilient Energy Infrastructure</t>
  </si>
  <si>
    <t xml:space="preserve">CDW - Email - SMC - Report - AI-Enabled Waste Recovery</t>
  </si>
  <si>
    <t xml:space="preserve">Ben Ahrens</t>
  </si>
  <si>
    <t xml:space="preserve">CDW - Email - SMC - Report - The Intelligence Layer Teaser</t>
  </si>
  <si>
    <t xml:space="preserve">CDW - Email - FIN - Report - French AI Startups to Watch in 2026 According to 16 VCs</t>
  </si>
  <si>
    <t xml:space="preserve">THF Launch_General (NOT registered) (Sept 15)</t>
  </si>
  <si>
    <t xml:space="preserve">THF Launch_General (registered) (Sept 15)</t>
  </si>
  <si>
    <t xml:space="preserve">THF_Selected (FORM)</t>
  </si>
  <si>
    <t xml:space="preserve">Reminder: Founders Lunch</t>
  </si>
  <si>
    <t xml:space="preserve">Shamrock Foods - Monthly Signal August 31 (v1)</t>
  </si>
  <si>
    <t xml:space="preserve">Selection Day &amp; Batch Kickoff Thank you email | General Mills</t>
  </si>
  <si>
    <t xml:space="preserve">Career, Rewired for the AI Age</t>
  </si>
  <si>
    <t xml:space="preserve">THF_Selected</t>
  </si>
  <si>
    <t xml:space="preserve">THF_Not Selected</t>
  </si>
  <si>
    <t xml:space="preserve">THF_Not Shortlisted</t>
  </si>
  <si>
    <t xml:space="preserve">CLONE Revised BRAM Newsletter #1 / September 2026 - Version A</t>
  </si>
  <si>
    <t xml:space="preserve">Revised BRAM Newsletter #1 / September 2026</t>
  </si>
  <si>
    <t xml:space="preserve">Pitch Deck Teardown</t>
  </si>
  <si>
    <t xml:space="preserve">Youth Social</t>
  </si>
  <si>
    <t xml:space="preserve">San Jose office Event</t>
  </si>
  <si>
    <t xml:space="preserve">Thank you - Medtech Expo attendees September 2026</t>
  </si>
  <si>
    <t xml:space="preserve">Plug and Play Warsaw - Medtech</t>
  </si>
  <si>
    <t xml:space="preserve">warsaw Medtech Expo Batch 5</t>
  </si>
  <si>
    <t xml:space="preserve">SLAM Innovation Brief 3 September 2026</t>
  </si>
  <si>
    <t xml:space="preserve">Confirmation Applicants UK - MTC</t>
  </si>
  <si>
    <t xml:space="preserve">Plug and Play team</t>
  </si>
  <si>
    <t xml:space="preserve">FR_ALIBABA COCREATE TIER 1 FINALISTS</t>
  </si>
  <si>
    <t xml:space="preserve">Philipp Hödl</t>
  </si>
  <si>
    <t xml:space="preserve">Alba Brotons</t>
  </si>
  <si>
    <t xml:space="preserve">Alibaba2026</t>
  </si>
  <si>
    <t xml:space="preserve">FR_ALIBABA COCREATE FINALISTS-GENERAL</t>
  </si>
  <si>
    <t xml:space="preserve">Your Monthly Dose of Tech Inspiration 🍁 Autumn is here!</t>
  </si>
  <si>
    <t xml:space="preserve">STARTUP AUTOBAHN</t>
  </si>
  <si>
    <t xml:space="preserve">GoSentrix</t>
  </si>
  <si>
    <t xml:space="preserve">🚀 Plug and Play Cyprus_Latest News_09/26</t>
  </si>
  <si>
    <t xml:space="preserve">PNPCA_Latest News_ August_2026</t>
  </si>
  <si>
    <t xml:space="preserve">Sofi from Plug and Play Central Asia and Caucasus</t>
  </si>
  <si>
    <t xml:space="preserve">Sofi Rafayelyan</t>
  </si>
  <si>
    <t xml:space="preserve">Minnesota Sustainability 2026 H2 Mentor Newsletter</t>
  </si>
  <si>
    <t xml:space="preserve">NMP 2026 H2 Mentor Newsletter</t>
  </si>
  <si>
    <t xml:space="preserve">UK - Mobilise Monthly Update (August)</t>
  </si>
  <si>
    <t xml:space="preserve">2026 Batch 22 Kickoff Newsletter</t>
  </si>
  <si>
    <t xml:space="preserve">Finovate Fall Blast (Final)</t>
  </si>
  <si>
    <t xml:space="preserve">YOU ARE INVITED: Innovation Connect</t>
  </si>
  <si>
    <t xml:space="preserve">FR_ALIBABA COCREATE UNI EMAIL FOLLOW UP</t>
  </si>
  <si>
    <t xml:space="preserve">Katya Rozhkova</t>
  </si>
  <si>
    <t xml:space="preserve">FR_ALIBABA COCREATE VC EMAIL FOLLOW UP</t>
  </si>
  <si>
    <t xml:space="preserve">UK August 2026 Newsletter</t>
  </si>
  <si>
    <t xml:space="preserve">JAP_Newsletter_Sept - 2026 - 2</t>
  </si>
  <si>
    <t xml:space="preserve">Seattle Community Newsletter (Aug 2026)</t>
  </si>
  <si>
    <t xml:space="preserve">Finovate Fall Blast</t>
  </si>
  <si>
    <t xml:space="preserve">August_Internal_Newsletter</t>
  </si>
  <si>
    <t xml:space="preserve">Plug and Play's 2026 Corporate Partnership Survey - Final Email</t>
  </si>
  <si>
    <t xml:space="preserve">Plug and Play Türkiye August 2026 Newsletter</t>
  </si>
  <si>
    <t xml:space="preserve">September Events (Clone)</t>
  </si>
  <si>
    <t xml:space="preserve">PNPCA_ISAA grant announcement</t>
  </si>
  <si>
    <t xml:space="preserve">Alfredo from Plug and Play</t>
  </si>
  <si>
    <t xml:space="preserve">ME Innovation Day, Email 1</t>
  </si>
  <si>
    <t xml:space="preserve">THF Launch_VIP (VC session) 2 invitation</t>
  </si>
  <si>
    <t xml:space="preserve">Christian Johansson</t>
  </si>
  <si>
    <t xml:space="preserve">THF Launch_Soft launch attendees - 2nd invite</t>
  </si>
  <si>
    <t xml:space="preserve">ICT Week 2026 invitations - Uzbekistan</t>
  </si>
  <si>
    <t xml:space="preserve">Alfredo Gómez</t>
  </si>
  <si>
    <t xml:space="preserve">Sardorbek Axmedov</t>
  </si>
  <si>
    <t xml:space="preserve">TEXAS August Newsletter</t>
  </si>
  <si>
    <t xml:space="preserve">AgAH Alumni/Mentor 2026 Q3 Newsletter</t>
  </si>
  <si>
    <t xml:space="preserve">MedTech Warsaw Expo B5 Save the Date - Expo Only - Last Call 1 week</t>
  </si>
  <si>
    <t xml:space="preserve">GNL_August 2026</t>
  </si>
  <si>
    <t xml:space="preserve">Plug and Play's 2026 Corporate Partnership Survey - Email #4</t>
  </si>
  <si>
    <t xml:space="preserve">JAP_IA_Report / eBook</t>
  </si>
  <si>
    <t xml:space="preserve">Web Marketing Leads</t>
  </si>
  <si>
    <t xml:space="preserve">Toastmasters</t>
  </si>
  <si>
    <t xml:space="preserve">Paris Motor Show 2026</t>
  </si>
  <si>
    <t xml:space="preserve">Cedar Park 1 Week Out Email Aug 2026 Expo 8.19.26</t>
  </si>
  <si>
    <t xml:space="preserve">Kevin Farjallah</t>
  </si>
  <si>
    <t xml:space="preserve">James Peterson</t>
  </si>
  <si>
    <t xml:space="preserve">MedTech Warsaw Expo B5 Save the Date - Expo Only (Speaker Announcement! 2 weeks</t>
  </si>
  <si>
    <t xml:space="preserve">APAC_Newsletter_August_2026</t>
  </si>
  <si>
    <t xml:space="preserve">JAP_Newsletter - Aug - 2026 - 19</t>
  </si>
  <si>
    <t xml:space="preserve">Chiyo Kamino</t>
  </si>
  <si>
    <t xml:space="preserve">PNP Foundation Newsletter (July 2026)</t>
  </si>
  <si>
    <t xml:space="preserve">Plug and Play's 2026 Corporate Partnership Survey - Email #3</t>
  </si>
  <si>
    <t xml:space="preserve">Plug and Play Cedar Park Aug 26 Expo 8.11.26 (Clone)</t>
  </si>
  <si>
    <t xml:space="preserve">THF Launch_VIP (VC session+lunch) invitation</t>
  </si>
  <si>
    <t xml:space="preserve">THF Launch_Soft launch attendees invitation 1</t>
  </si>
  <si>
    <t xml:space="preserve">APAC_Cambodia Community Series 3_ThankYou</t>
  </si>
  <si>
    <t xml:space="preserve">STARTUP AUTOBAHN Alumni Newsletter 🌻 August 2026</t>
  </si>
  <si>
    <t xml:space="preserve">Plug and Play's 2026 Corporate Partnership Survey - Email #2</t>
  </si>
  <si>
    <t xml:space="preserve">ITA26_Newsletter August</t>
  </si>
  <si>
    <t xml:space="preserve">SLAM Innovation Brief 2 August 2026</t>
  </si>
  <si>
    <t xml:space="preserve">JAP_Newsletter - Aug - 2026 - 5</t>
  </si>
  <si>
    <t xml:space="preserve">Fintech &amp; AI Fund Edition 1</t>
  </si>
  <si>
    <t xml:space="preserve">Plug and Play Cedar Park Aug 26 Expo 8.2.26</t>
  </si>
  <si>
    <t xml:space="preserve">Partner NPS and Feedback Survey (PNP) (thank-you) (mob)</t>
  </si>
  <si>
    <t xml:space="preserve">Jacqueline Pham</t>
  </si>
  <si>
    <t xml:space="preserve">Angie Aviles</t>
  </si>
  <si>
    <t xml:space="preserve">Plug and Play's 2026 Corporate Partnership Survey - Email #1 - Second Batch</t>
  </si>
  <si>
    <t xml:space="preserve">August Events</t>
  </si>
  <si>
    <t xml:space="preserve">Partner NPS and Feedback Survey (PNP) (thank-you) (Clone)</t>
  </si>
  <si>
    <t xml:space="preserve">Saeed Amidi</t>
  </si>
  <si>
    <t xml:space="preserve">Partner NPS and Feedback Survey (PNP) (thank-you)</t>
  </si>
  <si>
    <t xml:space="preserve">Plug and Play</t>
  </si>
  <si>
    <t xml:space="preserve">Plug and Play Türkiye July Newsletter</t>
  </si>
  <si>
    <t xml:space="preserve">UK July 2026 Newsletter</t>
  </si>
  <si>
    <t xml:space="preserve">KOCCA LA EDM (Reminder)</t>
  </si>
  <si>
    <t xml:space="preserve">July_Internal_Newsletter</t>
  </si>
  <si>
    <t xml:space="preserve">HR_Birthd Brenda</t>
  </si>
  <si>
    <t xml:space="preserve">Candela FitzGerald</t>
  </si>
  <si>
    <t xml:space="preserve">Cristina Sancho</t>
  </si>
  <si>
    <t xml:space="preserve">APAC_Newsletter_July_2026</t>
  </si>
  <si>
    <t xml:space="preserve">HR_Birthd Fede</t>
  </si>
  <si>
    <t xml:space="preserve">APAC eDM - Cambodia Batch 3 Email Invitation</t>
  </si>
  <si>
    <t xml:space="preserve">JAP_IA_Contact_Form_New Startup</t>
  </si>
  <si>
    <t xml:space="preserve">Yue Yamamoto</t>
  </si>
  <si>
    <t xml:space="preserve">HR_Birthd Julia</t>
  </si>
  <si>
    <t xml:space="preserve">Plug and Play's 2026 Corporate Partnership Survey - Email #1 - First Batch</t>
  </si>
  <si>
    <t xml:space="preserve">MedTech Warsaw Expo B5 Save the Date - Expo Only (Speaker Announcement! 5 weeks)</t>
  </si>
  <si>
    <t xml:space="preserve">MedTech Warsaw Expo B5 + VIP Dinner Save the Date (Keynote speaker- 5 weeks)</t>
  </si>
  <si>
    <t xml:space="preserve">HR_Birthd Guillaume</t>
  </si>
  <si>
    <t xml:space="preserve">HR_Birthd Abdullah</t>
  </si>
  <si>
    <t xml:space="preserve">HR_Birthd Prajwal</t>
  </si>
  <si>
    <t xml:space="preserve">HR_Birthd Alba</t>
  </si>
  <si>
    <t xml:space="preserve">NEDO</t>
  </si>
  <si>
    <t xml:space="preserve">HR_Birthd Hafez</t>
  </si>
  <si>
    <t xml:space="preserve">KOCCA LA EDM</t>
  </si>
  <si>
    <t xml:space="preserve">GNL_July 2026</t>
  </si>
  <si>
    <t xml:space="preserve">Warsaw Medtech Batch Newsletter - 7/23/2026</t>
  </si>
  <si>
    <t xml:space="preserve">Plug and Play Medtech</t>
  </si>
  <si>
    <t xml:space="preserve">Warsaw Medtech Batch 5</t>
  </si>
  <si>
    <t xml:space="preserve">MKT_Sustainable Future Newsletter_July 2026</t>
  </si>
  <si>
    <t xml:space="preserve">Tirana Expo Invitation 2026</t>
  </si>
  <si>
    <t xml:space="preserve">Eleonora Boni</t>
  </si>
  <si>
    <t xml:space="preserve">JAP_Newsletter - Jul - 2026 - 22</t>
  </si>
  <si>
    <t xml:space="preserve">Plug and Play Cedar Park Aug 26 Expo</t>
  </si>
  <si>
    <t xml:space="preserve">NeoCity SD+Expo Invite_2</t>
  </si>
  <si>
    <t xml:space="preserve">Jon from Plug and Play</t>
  </si>
  <si>
    <t xml:space="preserve">BizBen Lunch</t>
  </si>
  <si>
    <t xml:space="preserve">PNPCA_Armenia Batch 3 Expo_July 2026</t>
  </si>
  <si>
    <t xml:space="preserve">Victoria from Plug and Play Armenia</t>
  </si>
  <si>
    <t xml:space="preserve">CFA_Email Blast_Tampere (1)</t>
  </si>
  <si>
    <t xml:space="preserve">Emelie from Plug and Play</t>
  </si>
  <si>
    <t xml:space="preserve">PNP Medtech AlumniNewsletter July 2026</t>
  </si>
  <si>
    <t xml:space="preserve">Indiana Medtech + Lifetech Newsletter July 2026</t>
  </si>
  <si>
    <t xml:space="preserve">PNP Medtech Mentor Newsletter July 2026</t>
  </si>
  <si>
    <t xml:space="preserve">PingCAP Workshop</t>
  </si>
  <si>
    <t xml:space="preserve">MKT_Financial Services_Newsletter Q2</t>
  </si>
  <si>
    <t xml:space="preserve">SLAM Innovation Brief 1 July 2026</t>
  </si>
  <si>
    <t xml:space="preserve">It's a wrap! 🌟 Thank you for joining us at Expo 2026</t>
  </si>
  <si>
    <t xml:space="preserve">APAC eDM - GIA Email Invitation Jul 2026 (Ecosystem)</t>
  </si>
  <si>
    <t xml:space="preserve">(A) APAC_Ventures_2026Q2WrapUp</t>
  </si>
  <si>
    <t xml:space="preserve">UK - Mobilise Monthly Update (July)</t>
  </si>
  <si>
    <t xml:space="preserve">ITA26_Newsletter July</t>
  </si>
  <si>
    <t xml:space="preserve">JAP_Newsletter - Jul - 2026 - 8</t>
  </si>
  <si>
    <t xml:space="preserve">MedTech Warsaw Expo B5 Save the Date - Expo Only (8 weeks ahead)</t>
  </si>
  <si>
    <t xml:space="preserve">MedTech Warsaw Expo B5 + VIP Dinner Save the Date (8 weeks ahead)</t>
  </si>
  <si>
    <t xml:space="preserve">VIE_Recap Q2_2026</t>
  </si>
  <si>
    <t xml:space="preserve">Global Travel &amp; Hospitality Newsletter_Q2 2026</t>
  </si>
  <si>
    <t xml:space="preserve">Christina from Plug and Play</t>
  </si>
  <si>
    <t xml:space="preserve">Plug and Play Armenia July 9 Expo 2026 Campaign #2</t>
  </si>
  <si>
    <t xml:space="preserve">JAP_IA_Contact_Form_Other</t>
  </si>
  <si>
    <t xml:space="preserve">APAC_Jakarta Innovation Network Socials_ThankYou</t>
  </si>
  <si>
    <t xml:space="preserve">JAP_eDM - Playbook - Jul - 2026 - 2</t>
  </si>
  <si>
    <t xml:space="preserve">We are Live! 🚀 Join Expo 2026 Online Streaming Now</t>
  </si>
  <si>
    <t xml:space="preserve">MKT_Newsletter_Health Q2</t>
  </si>
  <si>
    <t xml:space="preserve">JAP_eDM - Playbook - Jul - 2026 - 1 (Clone: for PSM)</t>
  </si>
  <si>
    <t xml:space="preserve">JAP_eDM - Playbook - Jul - 2026 - 1</t>
  </si>
  <si>
    <t xml:space="preserve">Movement</t>
  </si>
  <si>
    <t xml:space="preserve">TEXAS June Newsletter</t>
  </si>
  <si>
    <t xml:space="preserve">UK June 2026 Newsletter</t>
  </si>
  <si>
    <t xml:space="preserve">PnP Armenia_2026_EXPO Invitations-preaccelerator (Clone)</t>
  </si>
  <si>
    <t xml:space="preserve">Gohar from Plug and Play Tech Center</t>
  </si>
  <si>
    <t xml:space="preserve">Goharik Hovhannisyan</t>
  </si>
  <si>
    <t xml:space="preserve">Expo 2026 is just around the corner. Here's what you need to know</t>
  </si>
  <si>
    <t xml:space="preserve">Plug and Play Türkiye June Newsletter</t>
  </si>
  <si>
    <t xml:space="preserve">Plug and Play Insurtech Expo 16_Speakers &amp; Startup Announcement</t>
  </si>
  <si>
    <t xml:space="preserve">Seattle Community Newsletter (June 2026)</t>
  </si>
  <si>
    <t xml:space="preserve">US_WA_26 Newsletter-Seattle; Location Newsletters 2025</t>
  </si>
  <si>
    <t xml:space="preserve">June_Internal_Newsletter</t>
  </si>
  <si>
    <t xml:space="preserve">JULY Events to Tenants</t>
  </si>
  <si>
    <t xml:space="preserve">JAP_IA_Contact_Form_Media</t>
  </si>
  <si>
    <t xml:space="preserve">JAP_IA_Contact_Form_NewCorporate</t>
  </si>
  <si>
    <t xml:space="preserve">Warsaw Medtech Batch Newsletter - 6/26/26</t>
  </si>
  <si>
    <t xml:space="preserve">Top 5 Things to Do at STARTUP AUTOBAHN Expo 2026 on July 2 in Stuttgart</t>
  </si>
  <si>
    <t xml:space="preserve">HR_Birthd Geoffrey</t>
  </si>
  <si>
    <t xml:space="preserve">Pedram Zamanpour</t>
  </si>
  <si>
    <t xml:space="preserve">GNL_June 2026</t>
  </si>
  <si>
    <t xml:space="preserve">Women in Batteries</t>
  </si>
  <si>
    <t xml:space="preserve">MKT_Newsletter_Smart Cities June 2026</t>
  </si>
  <si>
    <t xml:space="preserve">Angie from Plug and Play</t>
  </si>
  <si>
    <t xml:space="preserve">Paraguay Event</t>
  </si>
  <si>
    <t xml:space="preserve">(A) JAP_Newsletter - Jun - 2026 - 24</t>
  </si>
  <si>
    <t xml:space="preserve">Cambodia_Newsletter_June_2026</t>
  </si>
  <si>
    <t xml:space="preserve">NeoCity Batch 3 Expo - Save the Date</t>
  </si>
  <si>
    <t xml:space="preserve">Amanda Allen</t>
  </si>
  <si>
    <t xml:space="preserve">(A) CFA_Email Blast_Innovation Assessment Report</t>
  </si>
  <si>
    <t xml:space="preserve">HR_Birthd Clemente</t>
  </si>
  <si>
    <t xml:space="preserve">NeoCity - Save the Date June 30 Plug in</t>
  </si>
  <si>
    <t xml:space="preserve">CDW - Email - SPC Annual Report 2025</t>
  </si>
  <si>
    <t xml:space="preserve">Frederik from Plug and Play Supply Chain</t>
  </si>
  <si>
    <t xml:space="preserve">We missed you! 🌟 This happened at Plug and Play Italy Summit!</t>
  </si>
  <si>
    <t xml:space="preserve">2026 Plug and Play Italy Summit | Post-event communication</t>
  </si>
  <si>
    <t xml:space="preserve">Thank you for joining the Plug and Play Italy Summit 2026! Photos, Press Release and much more</t>
  </si>
  <si>
    <t xml:space="preserve">STARTUP AUTOBAHN Expo 2026_Agenda, Speakers &amp; Startups are now live!</t>
  </si>
  <si>
    <t xml:space="preserve">Indiana Medtech + Lifetech Newsletter June 2026</t>
  </si>
  <si>
    <t xml:space="preserve">Plug and Play Indiana Lifetech &amp; Medtech; US_IN_26 Newsletter</t>
  </si>
  <si>
    <t xml:space="preserve">Warsaw Medtech Batch Newsletter - 6/18/26</t>
  </si>
  <si>
    <t xml:space="preserve">HR_Birthd Sona</t>
  </si>
  <si>
    <t xml:space="preserve">Plug and Play Insurtech Expo 16</t>
  </si>
  <si>
    <t xml:space="preserve">APAC_Newsletter_June_2026</t>
  </si>
  <si>
    <t xml:space="preserve">HR_EMAIL ANNIV Nacho</t>
  </si>
  <si>
    <t xml:space="preserve">Candela Fitzgerald</t>
  </si>
  <si>
    <t xml:space="preserve">FR_ALIBABA COCREATE UNI EMAIL FINAL</t>
  </si>
  <si>
    <t xml:space="preserve">VIE_Registrations we missed_Expo 7 Mail 2</t>
  </si>
  <si>
    <t xml:space="preserve">VIE_It's a wrap! Expo 7_Mail 2 Attendees</t>
  </si>
  <si>
    <t xml:space="preserve">FR_ALIBABA COCREATE VC EMAIL FINAL</t>
  </si>
  <si>
    <t xml:space="preserve">Partner NPS and Feedback Survey (Saeed) (follow-up)</t>
  </si>
  <si>
    <t xml:space="preserve">Partner NPS and Feedback Survey (PNP) (follow-up)</t>
  </si>
  <si>
    <t xml:space="preserve">Partner NPS and Feedback Survey (Mob follow-up)</t>
  </si>
  <si>
    <t xml:space="preserve">Brella #6 Email to Italy Summit 2026</t>
  </si>
  <si>
    <t xml:space="preserve">2026 Plug and Play Italy Summit | Pre-event communication</t>
  </si>
  <si>
    <t xml:space="preserve">PnP Armenia_2026_EXPO Invitations-preaccelerator</t>
  </si>
  <si>
    <t xml:space="preserve">HR_Birthd Harry</t>
  </si>
  <si>
    <t xml:space="preserve">HR_Birthd Matt</t>
  </si>
  <si>
    <t xml:space="preserve">HR_Birthd Ava</t>
  </si>
  <si>
    <t xml:space="preserve">Brella #5 Email to Italy Summit 2026</t>
  </si>
  <si>
    <t xml:space="preserve">HR_Birthd Carolin</t>
  </si>
  <si>
    <t xml:space="preserve">HR_Birthd Yasuhiro</t>
  </si>
  <si>
    <t xml:space="preserve">Warsaw Medtech Batch Newsletter - 6/11/26</t>
  </si>
  <si>
    <t xml:space="preserve">HR_Birthd Alireza</t>
  </si>
  <si>
    <t xml:space="preserve">HR_Birthd Leo</t>
  </si>
  <si>
    <t xml:space="preserve">STARTUP AUTOBAHN Alumni Newsletter ☀️ June 2026</t>
  </si>
  <si>
    <t xml:space="preserve">May Travel Summit Recap</t>
  </si>
  <si>
    <t xml:space="preserve">Anastasiia Brovkina</t>
  </si>
  <si>
    <t xml:space="preserve">JAP_Newsletter - Jun - 2026 - 10</t>
  </si>
  <si>
    <t xml:space="preserve">Partner NPS and Feedback Survey (Saeed)</t>
  </si>
  <si>
    <t xml:space="preserve">Partner NPS and Feedback Survey (PNP)</t>
  </si>
  <si>
    <t xml:space="preserve">Partner NPS and Feedback Survey</t>
  </si>
  <si>
    <t xml:space="preserve">Rising Wave Labs Event</t>
  </si>
  <si>
    <t xml:space="preserve">PNPCA_Latest News_ May_2026 (Clone)</t>
  </si>
  <si>
    <t xml:space="preserve">Gohar from Plug and Play Central Asia and Caucasus</t>
  </si>
  <si>
    <t xml:space="preserve">Brella #4 Email to Italy Summit 2026</t>
  </si>
  <si>
    <t xml:space="preserve">PNPCA_Latest News_ May_2026</t>
  </si>
  <si>
    <t xml:space="preserve">Warsaw Medtech Batch Newsletter - 6/4/26</t>
  </si>
  <si>
    <t xml:space="preserve">HR_Birthd Jeremy</t>
  </si>
  <si>
    <t xml:space="preserve">HR_Birthd Dominique</t>
  </si>
  <si>
    <t xml:space="preserve">Playbook - Updates STAFF (Template)</t>
  </si>
  <si>
    <t xml:space="preserve">Playbook team</t>
  </si>
  <si>
    <t xml:space="preserve">Claudia Serrano</t>
  </si>
  <si>
    <t xml:space="preserve">UZ_Post_Expo_Campaign</t>
  </si>
  <si>
    <t xml:space="preserve">ITA26_Newsletter June</t>
  </si>
  <si>
    <t xml:space="preserve">Alessandro Tino</t>
  </si>
  <si>
    <t xml:space="preserve">MKT_Reactivation Email</t>
  </si>
  <si>
    <t xml:space="preserve">HR_Birthd Antonio</t>
  </si>
  <si>
    <t xml:space="preserve">HR_EMAIL ANNIV Louis</t>
  </si>
  <si>
    <t xml:space="preserve">HR_Birthd Elsa</t>
  </si>
  <si>
    <t xml:space="preserve">HR_Birthd César</t>
  </si>
  <si>
    <t xml:space="preserve">UK - Mobilise Monthly Update (June)</t>
  </si>
  <si>
    <t xml:space="preserve">Indianapolis Lifetech Expo B2 Save the Date (2 days to go - nate spangle)</t>
  </si>
  <si>
    <t xml:space="preserve">Plug and Play Indianapolis - Lifetech</t>
  </si>
  <si>
    <t xml:space="preserve">Lifetech Batch 2</t>
  </si>
  <si>
    <t xml:space="preserve">TOMORROW: EBAN Recharge Session at ROCKIT Vilnius</t>
  </si>
  <si>
    <t xml:space="preserve">Povilas Zinys</t>
  </si>
  <si>
    <t xml:space="preserve">Viktorija Janilionyte</t>
  </si>
  <si>
    <t xml:space="preserve">May_Internal_Newsletter</t>
  </si>
  <si>
    <t xml:space="preserve">GNL_May 2026</t>
  </si>
  <si>
    <t xml:space="preserve">JUNE Events (Clone)</t>
  </si>
  <si>
    <t xml:space="preserve">UK May 2026 Newsletter</t>
  </si>
  <si>
    <t xml:space="preserve">HR_Birthd Johanna</t>
  </si>
  <si>
    <t xml:space="preserve">5th MMD Thank You</t>
  </si>
  <si>
    <t xml:space="preserve">Warsaw Medtech Batch Newsletter - 5/28/26</t>
  </si>
  <si>
    <t xml:space="preserve">HR_Birthd Kishor</t>
  </si>
  <si>
    <t xml:space="preserve">HR_Birthd Ignacio</t>
  </si>
  <si>
    <t xml:space="preserve">Brella #3 Email to Italy Summit 2026</t>
  </si>
  <si>
    <t xml:space="preserve">Your Monthly Dose of Tech Inspiration ☀️ Summer is coming</t>
  </si>
  <si>
    <t xml:space="preserve">HR_Birthd Abe</t>
  </si>
  <si>
    <t xml:space="preserve">HR_Birthd Dondon</t>
  </si>
  <si>
    <t xml:space="preserve">Indianapolis Lifetech Expo B2 Save the Date (1 week to go - startup panel announcement)e)</t>
  </si>
  <si>
    <t xml:space="preserve">HR_Birthd Elina</t>
  </si>
  <si>
    <t xml:space="preserve">JAP_Newsletter - May - 2026 - 27</t>
  </si>
  <si>
    <t xml:space="preserve">SAP Event to Tenants</t>
  </si>
  <si>
    <t xml:space="preserve">CONFIRMED_Germany Summit wrap up video</t>
  </si>
  <si>
    <t xml:space="preserve">Sara Cebria</t>
  </si>
  <si>
    <t xml:space="preserve">ATTENDED_Germany Summit wrap up video</t>
  </si>
  <si>
    <t xml:space="preserve">APAC_Newsletter_May_2026</t>
  </si>
  <si>
    <t xml:space="preserve">HR_Birthd MELANIE</t>
  </si>
  <si>
    <t xml:space="preserve">Thank you - May Summit 2026</t>
  </si>
  <si>
    <t xml:space="preserve">HR_Birthd Lakshmi 2</t>
  </si>
  <si>
    <t xml:space="preserve">HR_Birthd Jupe</t>
  </si>
  <si>
    <t xml:space="preserve">Plug and Play Türkiye May Newsletter</t>
  </si>
  <si>
    <t xml:space="preserve">Plug and Play Lithuania: 2026 June events</t>
  </si>
  <si>
    <t xml:space="preserve">HR_EMAIL ANNIV Christian!</t>
  </si>
  <si>
    <t xml:space="preserve">HR_EMAIL ANNIV Mel</t>
  </si>
  <si>
    <t xml:space="preserve">HR_Birthd Meera</t>
  </si>
  <si>
    <t xml:space="preserve">Warsaw Medtech Batch Newsletter - 5/21/26</t>
  </si>
  <si>
    <t xml:space="preserve">HR_Birthd Rebecca</t>
  </si>
  <si>
    <t xml:space="preserve">HR_Birthd Jerry</t>
  </si>
  <si>
    <t xml:space="preserve">MN Expo Batch 2 Thank You Email</t>
  </si>
  <si>
    <t xml:space="preserve">John Oconnell</t>
  </si>
  <si>
    <t xml:space="preserve">Wi-Fi Down</t>
  </si>
  <si>
    <t xml:space="preserve">Seattle Community Newsletter (May 2026)</t>
  </si>
  <si>
    <t xml:space="preserve">South Bay Systems: Queues &amp; RDBMS Extensibility</t>
  </si>
  <si>
    <t xml:space="preserve">HR_Birthd Miguel Arthur</t>
  </si>
  <si>
    <t xml:space="preserve">Indianapolis Lifetech Expo B2 Save the Date (2 weeks to go)</t>
  </si>
  <si>
    <t xml:space="preserve">Indiana Medtech + Lifetech Newsletter May 2026</t>
  </si>
  <si>
    <t xml:space="preserve">Perks Partner Workshop_Attendee list Startup</t>
  </si>
  <si>
    <t xml:space="preserve">Brenda Flores-Reyes</t>
  </si>
  <si>
    <t xml:space="preserve">Warsaw Medtech Batch Newsletter - 5/15/26</t>
  </si>
  <si>
    <t xml:space="preserve">MMD Final Email Blast</t>
  </si>
  <si>
    <t xml:space="preserve">Aitana Hierro</t>
  </si>
  <si>
    <t xml:space="preserve">UK - Mobilise (Startup Autobahn RP happening next week)</t>
  </si>
  <si>
    <t xml:space="preserve">May Summit 2026 | Webinar Information</t>
  </si>
  <si>
    <t xml:space="preserve">Astrid from Plug and Play</t>
  </si>
  <si>
    <t xml:space="preserve">Beyond Asia Tech Summit</t>
  </si>
  <si>
    <t xml:space="preserve">PAR_AI Selection Day</t>
  </si>
  <si>
    <t xml:space="preserve">Arthur Bessieres</t>
  </si>
  <si>
    <t xml:space="preserve">Jing Daily Event</t>
  </si>
  <si>
    <t xml:space="preserve">Rocketlane_Updates_May</t>
  </si>
  <si>
    <t xml:space="preserve">Automation</t>
  </si>
  <si>
    <t xml:space="preserve">Brella #2 Email to Italy Summit 2026</t>
  </si>
  <si>
    <t xml:space="preserve">JAP_Newsletter - May - 2026 - 13</t>
  </si>
  <si>
    <t xml:space="preserve">Brella Email SV May 2026 All attendees</t>
  </si>
  <si>
    <t xml:space="preserve">VIE_Registrations we missed_Expo 7</t>
  </si>
  <si>
    <t xml:space="preserve">VIE_It's a wrap! Expo 7_Test</t>
  </si>
  <si>
    <t xml:space="preserve">5 MMD Outreach</t>
  </si>
  <si>
    <t xml:space="preserve">ITA26_Newsletter May</t>
  </si>
  <si>
    <t xml:space="preserve">APAC_KICC_ThankYou</t>
  </si>
  <si>
    <t xml:space="preserve">Ming Yang K</t>
  </si>
  <si>
    <t xml:space="preserve">VIE_It's a wrap! Expo 7</t>
  </si>
  <si>
    <t xml:space="preserve">APAC_NIMENA Innovation Night Event_WeMissedYou</t>
  </si>
  <si>
    <t xml:space="preserve">APAC_NIMENA Innovation Night Event_ThankYou</t>
  </si>
  <si>
    <t xml:space="preserve">Plug and Play: Join Us at the Minnesota Sustainability Expo! Batch 2 (Email 3)</t>
  </si>
  <si>
    <t xml:space="preserve">Warsaw Medtech Batch Newsletter - 5/7/26</t>
  </si>
  <si>
    <t xml:space="preserve">HubSpot for Startups Offer</t>
  </si>
  <si>
    <t xml:space="preserve">5 MMD Outreach May 6</t>
  </si>
  <si>
    <t xml:space="preserve">Scale for Impact: Accelerating Flexible Plastics Circularity in Minnesota (Email 3) (Clone)</t>
  </si>
  <si>
    <t xml:space="preserve">Matthew Claxton</t>
  </si>
  <si>
    <t xml:space="preserve">Scale for Impact</t>
  </si>
  <si>
    <t xml:space="preserve">May Summit 2026 | Attendee Information</t>
  </si>
  <si>
    <t xml:space="preserve">AI Native Developers Meetup</t>
  </si>
  <si>
    <t xml:space="preserve">EdTech Pitch Competition</t>
  </si>
  <si>
    <t xml:space="preserve">UK - Mobilise Monthly Update (May)</t>
  </si>
  <si>
    <t xml:space="preserve">Minnesota Proteins Roundtable (Follow-Up Email)</t>
  </si>
  <si>
    <t xml:space="preserve">Golf Event (Clone)</t>
  </si>
  <si>
    <t xml:space="preserve">Indianapolis Lifetech Expo B2 Save the Date</t>
  </si>
  <si>
    <t xml:space="preserve">PNPCA_Latest News_ March-April, 2026 (Clone)</t>
  </si>
  <si>
    <t xml:space="preserve">AgAH Alumni/Mentor 2026 Q2 Newsletter</t>
  </si>
  <si>
    <t xml:space="preserve">AgAH Newsletter</t>
  </si>
  <si>
    <t xml:space="preserve">PNPCA_Latest News_ March-April, 2026</t>
  </si>
  <si>
    <t xml:space="preserve">EXPO_Uzbekistan_Logistics</t>
  </si>
  <si>
    <t xml:space="preserve">Indiana Medtech + Lifetech - You're Invited to PNP Day at the Track - 5/14/2026 - last call</t>
  </si>
  <si>
    <t xml:space="preserve">GNL_April 2026</t>
  </si>
  <si>
    <t xml:space="preserve">April_Internal_Newsletter</t>
  </si>
  <si>
    <t xml:space="preserve">MAY Events</t>
  </si>
  <si>
    <t xml:space="preserve">Plug and Play Türkiye April Newsletter</t>
  </si>
  <si>
    <t xml:space="preserve">UK April 2026 Newsletter</t>
  </si>
  <si>
    <t xml:space="preserve">APAC_Future Maritime Event_WeMissedYou</t>
  </si>
  <si>
    <t xml:space="preserve">APAC_Future Maritime Event_ThankYou</t>
  </si>
  <si>
    <t xml:space="preserve">TEXAS April Newsletter</t>
  </si>
  <si>
    <t xml:space="preserve">NSCS Pitch Day Call for Applications</t>
  </si>
  <si>
    <t xml:space="preserve">Minnesota Proteins Roundtable (Email 2--1--Red River Valley))</t>
  </si>
  <si>
    <t xml:space="preserve">Minnesota Proteins Roundtable (Email 2 Arrowhead)</t>
  </si>
  <si>
    <t xml:space="preserve">Brella #1 Email to Italy Summit 2026</t>
  </si>
  <si>
    <t xml:space="preserve">AM Pre-Accelerator Kick-off (Clone)</t>
  </si>
  <si>
    <t xml:space="preserve">MKT_Enterprise &amp; AI_Newsletter Q1</t>
  </si>
  <si>
    <t xml:space="preserve">Seattle Community Newsletter (Apr 2026)</t>
  </si>
  <si>
    <t xml:space="preserve">AM Pre-Accelerator Kick-off</t>
  </si>
  <si>
    <t xml:space="preserve">May Summit Followup</t>
  </si>
  <si>
    <t xml:space="preserve">Victoria Bederov</t>
  </si>
  <si>
    <t xml:space="preserve">Ignite email blast</t>
  </si>
  <si>
    <t xml:space="preserve">Scale for Impact: Accelerating Flexible Plastics Circularity in Minnesota (Email 3)</t>
  </si>
  <si>
    <t xml:space="preserve">NWA 2026 Follow Up Post Event</t>
  </si>
  <si>
    <t xml:space="preserve">Warsaw Medtech Batch Newsletter - 4/24/26</t>
  </si>
  <si>
    <t xml:space="preserve">San Jose AI Center of Excellence</t>
  </si>
  <si>
    <t xml:space="preserve">Brella Email #1 SV May 2026 Early Partner Access</t>
  </si>
  <si>
    <t xml:space="preserve">Indiana Medtech + Lifetech - You're Invited to PNP Day at the Track - 5/14/2026</t>
  </si>
  <si>
    <t xml:space="preserve">Plug and Play: Join Us at the Minnesota Sustainability Expo! Batch 2 (Email 2)</t>
  </si>
  <si>
    <t xml:space="preserve">VIE_Expo 7_Invitation 3</t>
  </si>
  <si>
    <t xml:space="preserve">Plug and Play Vienna Expo 7 on May 6</t>
  </si>
  <si>
    <t xml:space="preserve">(A) JAP_Newsletter- Apr - 2026 - 22</t>
  </si>
  <si>
    <t xml:space="preserve">MKT_Newsletter_Health Q1</t>
  </si>
  <si>
    <t xml:space="preserve">Seena's SV Summit invite_PARTNERS (2)</t>
  </si>
  <si>
    <t xml:space="preserve">Seena Amidi</t>
  </si>
  <si>
    <t xml:space="preserve">Seena's SV Summit invite_LEADS (2)</t>
  </si>
  <si>
    <t xml:space="preserve">HR_EMAIL ANNIV Gian</t>
  </si>
  <si>
    <t xml:space="preserve">HR_Birthd Miguel</t>
  </si>
  <si>
    <t xml:space="preserve">Your Monthly Dose of Tech Inspiration 🌼 Event Calendar</t>
  </si>
  <si>
    <t xml:space="preserve">Summit Registration (Clone)</t>
  </si>
  <si>
    <t xml:space="preserve">Cambodia_Newsletter_April_2026</t>
  </si>
  <si>
    <t xml:space="preserve">HR_EMAIL ANNIV Jamie</t>
  </si>
  <si>
    <t xml:space="preserve">Indiana Medtech + Lifetech Newsletter April 2026</t>
  </si>
  <si>
    <t xml:space="preserve">Medtech Alumni Newsletter April 2026</t>
  </si>
  <si>
    <t xml:space="preserve">Warsaw Medtech Alumni</t>
  </si>
  <si>
    <t xml:space="preserve">Reminder Grand Opening</t>
  </si>
  <si>
    <t xml:space="preserve">Warsaw Medtech Batch Newsletter - 4/17/26</t>
  </si>
  <si>
    <t xml:space="preserve">HR_EMAIL ANNIV Johannes</t>
  </si>
  <si>
    <t xml:space="preserve">CDW - Email - LITH - Report - Startup Lithuania | Batches 1–5 Report</t>
  </si>
  <si>
    <t xml:space="preserve">5th MMD Email 1</t>
  </si>
  <si>
    <t xml:space="preserve">San Jose AI Center of Excellence Expo</t>
  </si>
  <si>
    <t xml:space="preserve">Sustainable Future Newsletter_April 2026</t>
  </si>
  <si>
    <t xml:space="preserve">PNPCA_Special_May Events in Central Asia</t>
  </si>
  <si>
    <t xml:space="preserve">Julia from Plug and Play</t>
  </si>
  <si>
    <t xml:space="preserve">APAC_Newsletter_April_2026</t>
  </si>
  <si>
    <t xml:space="preserve">NWA 2026 Final</t>
  </si>
  <si>
    <t xml:space="preserve">STARTUP AUTOBAHN Expo 2026_Startup &amp; Speaker Announcement</t>
  </si>
  <si>
    <t xml:space="preserve">PAR_Jing Daily EVent</t>
  </si>
  <si>
    <t xml:space="preserve">Zoë Chrysostom</t>
  </si>
  <si>
    <t xml:space="preserve">April 17 Kick off Inviation Letter General PT2</t>
  </si>
  <si>
    <t xml:space="preserve">HR_EMAIL ANNIV Noemi</t>
  </si>
  <si>
    <t xml:space="preserve">Plug and Play: Join Us at the Minnesota Sustainability Expo! Batch 2 (Email 1)</t>
  </si>
  <si>
    <t xml:space="preserve">Sparknify</t>
  </si>
  <si>
    <t xml:space="preserve">Wealth Entrepreneurship Grand Opening</t>
  </si>
  <si>
    <t xml:space="preserve">HR_Birthd Isabel</t>
  </si>
  <si>
    <t xml:space="preserve">April 17 Kick off Inviation Letter General (Clone)</t>
  </si>
  <si>
    <t xml:space="preserve">Golf Event</t>
  </si>
  <si>
    <t xml:space="preserve">HR_Birthd Aved</t>
  </si>
  <si>
    <t xml:space="preserve">HR_EMAIL ANNIV Rebecca</t>
  </si>
  <si>
    <t xml:space="preserve">HR_EMAIL ANNIV David</t>
  </si>
  <si>
    <t xml:space="preserve">HR_EMAIL ANNIV Maria</t>
  </si>
  <si>
    <t xml:space="preserve">HR_EMAIL ANNIV Ilaria</t>
  </si>
  <si>
    <t xml:space="preserve">HR_Birthd Junichi</t>
  </si>
  <si>
    <t xml:space="preserve">Indiana Medtech + Lifetech - You're Invited to PNP Day at the Track - 5/14/2026 (Clone)</t>
  </si>
  <si>
    <t xml:space="preserve">ITA26_Newsletter April</t>
  </si>
  <si>
    <t xml:space="preserve">HR_Birthd Halima</t>
  </si>
  <si>
    <t xml:space="preserve">AI Summit - Nabila (Clone)</t>
  </si>
  <si>
    <t xml:space="preserve">HR_EMAIL ANNIV Elena</t>
  </si>
  <si>
    <t xml:space="preserve">HR_EMAIL ANNIV Pierrick</t>
  </si>
  <si>
    <t xml:space="preserve">(A) JAP_Newsletter- Apr - 2026 - 9</t>
  </si>
  <si>
    <t xml:space="preserve">MKT_Financial Services_Newsletter Q1</t>
  </si>
  <si>
    <t xml:space="preserve">Founders Lunch</t>
  </si>
  <si>
    <t xml:space="preserve">Plug and Play Lithuania New Office Networking | TOMORROW</t>
  </si>
  <si>
    <t xml:space="preserve">UK - Mobilise Monthly Update (Startup AUTOBAHN RP)</t>
  </si>
  <si>
    <t xml:space="preserve">Global Travel &amp; Hospitality Newsletter_Q1 2026</t>
  </si>
  <si>
    <t xml:space="preserve">Seena's SV Summit invite_PARTNERS</t>
  </si>
  <si>
    <t xml:space="preserve">Seena's SV Summit invite_LEADS</t>
  </si>
  <si>
    <t xml:space="preserve">April 17 Kick off Invitation Letter EMBASSIES</t>
  </si>
  <si>
    <t xml:space="preserve">Sona Grigoryan</t>
  </si>
  <si>
    <t xml:space="preserve">JTP | JAP_3rd_email_Improper Privacy Policy Publication and Missing Consent in NL Form</t>
  </si>
  <si>
    <t xml:space="preserve">APAC_VC Academy_EDM</t>
  </si>
  <si>
    <t xml:space="preserve">Mercedes Listening Experience</t>
  </si>
  <si>
    <t xml:space="preserve">Plug and Play Türkiye March Newsletter (Clone)</t>
  </si>
  <si>
    <t xml:space="preserve">April 17 Kick off Inviation Letter General</t>
  </si>
  <si>
    <t xml:space="preserve">Plug and Play Lithuania: Happy Easter &amp; New Office Networking Invitation</t>
  </si>
  <si>
    <t xml:space="preserve">SMW MPA 2026 - John 2</t>
  </si>
  <si>
    <t xml:space="preserve">John Ang</t>
  </si>
  <si>
    <t xml:space="preserve">Xander Khoo</t>
  </si>
  <si>
    <t xml:space="preserve">VIE_Expo 7_Invitation 2_Test</t>
  </si>
  <si>
    <t xml:space="preserve">SMW MPA 2026 - John</t>
  </si>
  <si>
    <t xml:space="preserve">APAC_Ventures_2026Q1WrapUp</t>
  </si>
  <si>
    <t xml:space="preserve">CDW - 2Email - FIN - Report - French AI Startups to Watch in 2026 According to 16 VCs</t>
  </si>
  <si>
    <t xml:space="preserve">aiusecasesmagnet26</t>
  </si>
  <si>
    <t xml:space="preserve">PnP Cyprus_2026_Kick-off Invitations (Clone)</t>
  </si>
  <si>
    <t xml:space="preserve">Indiana Medtech + Lifetech Newsletter March 2026</t>
  </si>
  <si>
    <t xml:space="preserve">VIE_Expo 7_Invitation 2</t>
  </si>
  <si>
    <t xml:space="preserve">Seattle Meet Batch 3 Newsletter (Mar 2026)</t>
  </si>
  <si>
    <t xml:space="preserve">March_Internal_Newsletter</t>
  </si>
  <si>
    <t xml:space="preserve">April Events</t>
  </si>
  <si>
    <t xml:space="preserve">TEXAS March Newsletter</t>
  </si>
  <si>
    <t xml:space="preserve">STARTUP AUTOBAHN Email Newsletter for the Battery Show Europe</t>
  </si>
  <si>
    <t xml:space="preserve">PNP Arizona Monthly eBlast - AZ Tech Week Prop (Mar 30)</t>
  </si>
  <si>
    <t xml:space="preserve">Evacuation Drill</t>
  </si>
  <si>
    <t xml:space="preserve">Laminar BP study (Clone)</t>
  </si>
  <si>
    <t xml:space="preserve">PnP Cyprus_2026_Kick-off Invitations</t>
  </si>
  <si>
    <t xml:space="preserve">Travel Mentor Newsletter 3.27.2026</t>
  </si>
  <si>
    <t xml:space="preserve">Curtis Chan</t>
  </si>
  <si>
    <t xml:space="preserve">Thank you - Medtech Expo attendees March 2026</t>
  </si>
  <si>
    <t xml:space="preserve">Warsaw Medtech Expo Batch 4</t>
  </si>
  <si>
    <t xml:space="preserve">UK_March 2026 Newsletter</t>
  </si>
  <si>
    <t xml:space="preserve">JTP | JAP_2nd_email_Improper Privacy Policy Publication and Missing Consent in NL Form (Clone)</t>
  </si>
  <si>
    <t xml:space="preserve">Warsaw Medtech Batch Newsletter - 3/26/26</t>
  </si>
  <si>
    <t xml:space="preserve">Warsaw Medtech Batch 4</t>
  </si>
  <si>
    <t xml:space="preserve">NWA 2026 Hot ones announcement</t>
  </si>
  <si>
    <t xml:space="preserve">UK - Mobilise Monthly Update (RP NSG Pilkington happening tomorrow)</t>
  </si>
  <si>
    <t xml:space="preserve">Hyundai Motor Group | 2026 ZER01NE Startup Challenge</t>
  </si>
  <si>
    <t xml:space="preserve">ME HMS Event 3/24</t>
  </si>
  <si>
    <t xml:space="preserve">MedTech Warsaw Expo B4 Save the Date (1 week ahead)</t>
  </si>
  <si>
    <t xml:space="preserve">PNP Arizona Monthly eBlast - March 2025</t>
  </si>
  <si>
    <t xml:space="preserve">GNL_March 2026</t>
  </si>
  <si>
    <t xml:space="preserve">APAC eDM - GIA Email Invitation Mar 2026 (Ecosystem)</t>
  </si>
  <si>
    <t xml:space="preserve">APAC_Newsletter_March_2026</t>
  </si>
  <si>
    <t xml:space="preserve">NEW OFFICE | Plug and Play Lithuania</t>
  </si>
  <si>
    <t xml:space="preserve">JTP | JAP_email_Improper Privacy Policy Publication and Missing Consent in NL Form</t>
  </si>
  <si>
    <t xml:space="preserve">AI Workshop (Clone)</t>
  </si>
  <si>
    <t xml:space="preserve">AI Workshop</t>
  </si>
  <si>
    <t xml:space="preserve">Scale for Impact: Accelerating Flexible Plastics Circularity in Minnesota (Email 2)</t>
  </si>
  <si>
    <t xml:space="preserve">LEADS-INVITED_We missed you! 🌟 This happened at Plug and Play Germany Summit! (Clone)</t>
  </si>
  <si>
    <t xml:space="preserve">MMD May 18 (Clone)</t>
  </si>
  <si>
    <t xml:space="preserve">Reminder Founders Lunch</t>
  </si>
  <si>
    <t xml:space="preserve">C3 Davos of Healthcare</t>
  </si>
  <si>
    <t xml:space="preserve">LEADS-CONF_We missed you! 🌟 This happened at Plug and Play Germany Summit!</t>
  </si>
  <si>
    <t xml:space="preserve">LEADS-ATT_It's a wrap! 🌟 Thank you for joining us at the Plug and Play Germany Summit! (Clone)</t>
  </si>
  <si>
    <t xml:space="preserve">APAC_Cambodia Community Series_ThankYou</t>
  </si>
  <si>
    <t xml:space="preserve">It's a wrap! 🌟 Thank you for joining us at the Plug and Play Germany Summit!</t>
  </si>
  <si>
    <t xml:space="preserve">Sakura Grant</t>
  </si>
  <si>
    <t xml:space="preserve">NWA 2026 Recap/Teaser</t>
  </si>
  <si>
    <t xml:space="preserve">MMD May 18</t>
  </si>
  <si>
    <t xml:space="preserve">MedTech Warsaw Expo B4 Save the Date (2 weeks ahead)</t>
  </si>
  <si>
    <t xml:space="preserve">MedTech Warsaw Expo B4 + VIP Dinner Save the Date (2 weeks ahead)</t>
  </si>
  <si>
    <t xml:space="preserve">ITA26_Newsletter March</t>
  </si>
  <si>
    <t xml:space="preserve">GOAL Newsletter - For Startups - May Summit Invitation</t>
  </si>
  <si>
    <t xml:space="preserve">Yui Koda</t>
  </si>
  <si>
    <t xml:space="preserve">HR_EMAIL ANNIV Melanie</t>
  </si>
  <si>
    <t xml:space="preserve">UK - Mobilise Monthly Update (March)</t>
  </si>
  <si>
    <t xml:space="preserve">Innovation Leaders 2026 - Attendee - Wrap Up Video</t>
  </si>
  <si>
    <t xml:space="preserve">Christina Kim</t>
  </si>
  <si>
    <t xml:space="preserve">JAP | JTP_TX_Resource Download</t>
  </si>
  <si>
    <t xml:space="preserve">SXSW Austin Outreach</t>
  </si>
  <si>
    <t xml:space="preserve">Applied Multimodal AI</t>
  </si>
  <si>
    <t xml:space="preserve">HR_Birthd Arsham</t>
  </si>
  <si>
    <t xml:space="preserve">HR_Birthd Ari</t>
  </si>
  <si>
    <t xml:space="preserve">HR_Birthd Pablo</t>
  </si>
  <si>
    <t xml:space="preserve">CDW - 2Email - EAI - Report - The Ultimate AI Playbook</t>
  </si>
  <si>
    <t xml:space="preserve">CDW - Email - EAI - Report - The Ultimate AI Playbook</t>
  </si>
  <si>
    <t xml:space="preserve">Plug and Play Germany Summit is just around the corner 🚀 Here's what you need to know</t>
  </si>
  <si>
    <t xml:space="preserve">HR_EMAIL ANNIV Lucia</t>
  </si>
  <si>
    <t xml:space="preserve">HR_Birthd Tomasso</t>
  </si>
  <si>
    <t xml:space="preserve">VIE_Recap January and February</t>
  </si>
  <si>
    <t xml:space="preserve">APAC_CNY2026_ThankYou</t>
  </si>
  <si>
    <t xml:space="preserve">HR_Birthd Derrick</t>
  </si>
  <si>
    <t xml:space="preserve">HR_EMAIL ANNIV Borja</t>
  </si>
  <si>
    <t xml:space="preserve">JAP_eDM - BankingInnovationGateway2026</t>
  </si>
  <si>
    <t xml:space="preserve">ME Electric Human Monitoring Systems Event 3/24</t>
  </si>
  <si>
    <t xml:space="preserve">HR_EMAIL ANNIV Jeffrey</t>
  </si>
  <si>
    <t xml:space="preserve">HR_EMAIL ANNIV Sakura</t>
  </si>
  <si>
    <t xml:space="preserve">HR_EMAIL ANNIV Eileen</t>
  </si>
  <si>
    <t xml:space="preserve">info session AM</t>
  </si>
  <si>
    <t xml:space="preserve">Seattle Community Newsletter (Feb 2026)</t>
  </si>
  <si>
    <t xml:space="preserve">GTC 2026 After Hours Event</t>
  </si>
  <si>
    <t xml:space="preserve">HR_EMAIL ANNIV Daniele</t>
  </si>
  <si>
    <t xml:space="preserve">HR_EMAIL ANNIV Ale</t>
  </si>
  <si>
    <t xml:space="preserve">HR_EMAIL ANNIV Nuño</t>
  </si>
  <si>
    <t xml:space="preserve">HR_EMAIL ANNIV nu (Clone)</t>
  </si>
  <si>
    <t xml:space="preserve">HR_EMAIL ANNIV nu</t>
  </si>
  <si>
    <t xml:space="preserve">HR_Birthd Julian</t>
  </si>
  <si>
    <t xml:space="preserve">Your Monthly Dose of Tech Inspiration 🌸 Spring</t>
  </si>
  <si>
    <t xml:space="preserve">Medtech Mentor Newsletter March 2026</t>
  </si>
  <si>
    <t xml:space="preserve">HR_Birthd Connor</t>
  </si>
  <si>
    <t xml:space="preserve">HR_Birthd Greg</t>
  </si>
  <si>
    <t xml:space="preserve">PNPCA_Latest News_ February 2026</t>
  </si>
  <si>
    <t xml:space="preserve">CDW - Email - Innovation Academy</t>
  </si>
  <si>
    <t xml:space="preserve">Dr. Phillipp Gneiting</t>
  </si>
  <si>
    <t xml:space="preserve">Summit Registration</t>
  </si>
  <si>
    <t xml:space="preserve">HR_Birthd Michael</t>
  </si>
  <si>
    <t xml:space="preserve">HR_Birthd Philipp</t>
  </si>
  <si>
    <t xml:space="preserve">Minnesota Sustainability 2026 H1 Mentor Newsletter (part 2) (Clone)</t>
  </si>
  <si>
    <t xml:space="preserve">Energisa Flex Lab Opportunity</t>
  </si>
  <si>
    <t xml:space="preserve">February_Internal_Newsletter</t>
  </si>
  <si>
    <t xml:space="preserve">Plug and Play Türkiye February Newsletter</t>
  </si>
  <si>
    <t xml:space="preserve">UK February 2026 Newsletter</t>
  </si>
  <si>
    <t xml:space="preserve">HR_Birthd Leon</t>
  </si>
  <si>
    <t xml:space="preserve">March Events</t>
  </si>
  <si>
    <t xml:space="preserve">ADCTA Nurture Email (Reminder #1 - 26/2)</t>
  </si>
  <si>
    <t xml:space="preserve">Amazon Devices Climate Tech Accelerator</t>
  </si>
  <si>
    <t xml:space="preserve">ADCTA-US-Outreach</t>
  </si>
  <si>
    <t xml:space="preserve">CDW - Email - JPN - Report - Japan Fintech Future</t>
  </si>
  <si>
    <t xml:space="preserve">NWA 2026 Transportation Panel</t>
  </si>
  <si>
    <t xml:space="preserve">Scale for Impact: Accelerating Flexible Plastics Circularity in Minnesota</t>
  </si>
  <si>
    <t xml:space="preserve">MedTech Warsaw Expo B4 Save the Date (4 weeks ahead)</t>
  </si>
  <si>
    <t xml:space="preserve">VIE_Expo 7_Invitation 1</t>
  </si>
  <si>
    <t xml:space="preserve">AM expo wrap up</t>
  </si>
  <si>
    <t xml:space="preserve">TEXAS February Newsletter</t>
  </si>
  <si>
    <t xml:space="preserve">HR_Birthd Rick</t>
  </si>
  <si>
    <t xml:space="preserve">AgAH Alumni/Mentor 2026 Q1 Newsletter</t>
  </si>
  <si>
    <t xml:space="preserve">PnP Armenia Pre-Accelerator - CFA</t>
  </si>
  <si>
    <t xml:space="preserve">Plug and Play Armenia</t>
  </si>
  <si>
    <t xml:space="preserve">Ani Oganesyan</t>
  </si>
  <si>
    <t xml:space="preserve">UK - Mobilise (RP Unipart happening tomorrow)</t>
  </si>
  <si>
    <t xml:space="preserve">HR_Birthd Anastasiya</t>
  </si>
  <si>
    <t xml:space="preserve">HR_Birthd Jose María</t>
  </si>
  <si>
    <t xml:space="preserve">Cedar Park Feb 2026 Expo Invite (Clone) (Clone)</t>
  </si>
  <si>
    <t xml:space="preserve">HR_Birthd Alex</t>
  </si>
  <si>
    <t xml:space="preserve">HR_Birthd Ayah</t>
  </si>
  <si>
    <t xml:space="preserve">GNL_February 2026</t>
  </si>
  <si>
    <t xml:space="preserve">Indiana Medtech + Lifetech Newsletter February 2026</t>
  </si>
  <si>
    <t xml:space="preserve">HR_Birthd Karima</t>
  </si>
  <si>
    <t xml:space="preserve">HR_Birthd Andy</t>
  </si>
  <si>
    <t xml:space="preserve">ADCTA Nurture Email (2nd round - Privacy policy)</t>
  </si>
  <si>
    <t xml:space="preserve">Cedar Park Feb 2026 Expo Invite (Clone)</t>
  </si>
  <si>
    <t xml:space="preserve">Expo_Armenia Feb 20</t>
  </si>
  <si>
    <t xml:space="preserve">ADCTA Nurture Email (Incomplete Submission Last Call)</t>
  </si>
  <si>
    <t xml:space="preserve">HR_Birthd Jacqueline</t>
  </si>
  <si>
    <t xml:space="preserve">HR_Birthd Sascha</t>
  </si>
  <si>
    <t xml:space="preserve">JAP_IA_VT Trend Report 2026_Ventures</t>
  </si>
  <si>
    <t xml:space="preserve">JAP_VT Trend Report 2026_Ventures_ThankYou</t>
  </si>
  <si>
    <t xml:space="preserve">HR_Birthd Gucchi</t>
  </si>
  <si>
    <t xml:space="preserve">Cedar Park Feb 2026 Expo Invite</t>
  </si>
  <si>
    <t xml:space="preserve">Batch Kickoff Thank You Email - Food and NMP</t>
  </si>
  <si>
    <t xml:space="preserve">Streaming Lakehouse Meetup</t>
  </si>
  <si>
    <t xml:space="preserve">ADCTA Email Invitation - Ecosystem2</t>
  </si>
  <si>
    <t xml:space="preserve">PG&amp;E Shutdown</t>
  </si>
  <si>
    <t xml:space="preserve">Reminder Founders Lunch (Clone) (Clone)</t>
  </si>
  <si>
    <t xml:space="preserve">HR_Birthd Goharik</t>
  </si>
  <si>
    <t xml:space="preserve">(A) JAP_Newsletter - Feb - 2026 - 18</t>
  </si>
  <si>
    <t xml:space="preserve">JAP_IA_Company Performance Report 2025</t>
  </si>
  <si>
    <t xml:space="preserve">JAP_Company Performance Report_ThankYou</t>
  </si>
  <si>
    <t xml:space="preserve">UK - Mobilise (Global Mobility Corporate Reverse Pitch happening tomorrow)</t>
  </si>
  <si>
    <t xml:space="preserve">HR_Birthd Sean</t>
  </si>
  <si>
    <t xml:space="preserve">Innovation Hub &amp; PnP ScaleUP Compaing</t>
  </si>
  <si>
    <t xml:space="preserve">Plug and Play Albania</t>
  </si>
  <si>
    <t xml:space="preserve">ITA26_Newsletter February</t>
  </si>
  <si>
    <t xml:space="preserve">HR_Birthd Hania</t>
  </si>
  <si>
    <t xml:space="preserve">HR_Birthd Lucia</t>
  </si>
  <si>
    <t xml:space="preserve">HR_Birthd Angie</t>
  </si>
  <si>
    <t xml:space="preserve">HR_Birthd Gina</t>
  </si>
  <si>
    <t xml:space="preserve">Feb 20 Expo Invitation_AM (Clone) (Clone)</t>
  </si>
  <si>
    <t xml:space="preserve">HR_Birthd Muriel</t>
  </si>
  <si>
    <t xml:space="preserve">HR_Birthd Nazario</t>
  </si>
  <si>
    <t xml:space="preserve">Qwen x Doubleword Silicon Valley Meetup</t>
  </si>
  <si>
    <t xml:space="preserve">Feb 20 Expo Invitation_AM (Clone)</t>
  </si>
  <si>
    <t xml:space="preserve">HR_Birthd Monika</t>
  </si>
  <si>
    <t xml:space="preserve">Feb 20 Expo Invitation_AM</t>
  </si>
  <si>
    <t xml:space="preserve">Warsaw Medtech Batch Newsletter - 2/12/26</t>
  </si>
  <si>
    <t xml:space="preserve">Reminder Founders Lunch (Clone)</t>
  </si>
  <si>
    <t xml:space="preserve">Thank you - Lifetech Expo attendees February 2026</t>
  </si>
  <si>
    <t xml:space="preserve">Indianapolis Lifetech Expo Batch 1</t>
  </si>
  <si>
    <t xml:space="preserve">Indianapolis Lifetech Batch Newsletter - 2/12/26</t>
  </si>
  <si>
    <t xml:space="preserve">Indianapolis Lifetech Batch 1</t>
  </si>
  <si>
    <t xml:space="preserve">test email- taerin</t>
  </si>
  <si>
    <t xml:space="preserve">APAC_Newsletter_February_2026</t>
  </si>
  <si>
    <t xml:space="preserve">ADCTA Email Invitation - Ecosystem</t>
  </si>
  <si>
    <t xml:space="preserve">NWA 2026 Expo Registration/Jordyn</t>
  </si>
  <si>
    <t xml:space="preserve">LWF 2 email</t>
  </si>
  <si>
    <t xml:space="preserve">ADCTA Email Invitation 1.2.2 (ACE)</t>
  </si>
  <si>
    <t xml:space="preserve">ADCTA-APAC-CommPartners</t>
  </si>
  <si>
    <t xml:space="preserve">ADCTA Email Invitation 1.2.2 (Singtel Innov)</t>
  </si>
  <si>
    <t xml:space="preserve">ADCTA Email Invitation 1.2.2 (Empress Cap)</t>
  </si>
  <si>
    <t xml:space="preserve">ADCTA Email Invitation 1.2.2 (Main Seq)</t>
  </si>
  <si>
    <t xml:space="preserve">ADCTA Email Invitation 1.2.2 (Google Syd)</t>
  </si>
  <si>
    <t xml:space="preserve">ADCTA Email Invitation 1.2.2 (Cicada)</t>
  </si>
  <si>
    <t xml:space="preserve">ADCTA Email Invitation 1.2.2 (KSC-2)</t>
  </si>
  <si>
    <t xml:space="preserve">ADCTA Email Invitation 1.2.2 (KSC)</t>
  </si>
  <si>
    <t xml:space="preserve">ADCTA Email Invitation 1.2.2 (Google Cloud)</t>
  </si>
  <si>
    <t xml:space="preserve">Your Monthly Dose of Tech Inspiration 📆 Event Calendar</t>
  </si>
  <si>
    <t xml:space="preserve">Food Batch 18 Kickoff Email Reminder</t>
  </si>
  <si>
    <t xml:space="preserve">Shirley Li</t>
  </si>
  <si>
    <t xml:space="preserve">Amazon Device Climate Tech Accelerator Application Outreach 2-10-26</t>
  </si>
  <si>
    <t xml:space="preserve">Laminar BP study</t>
  </si>
  <si>
    <t xml:space="preserve">SBCC: 2026 AFGSC Commercial Capabilities Showcase_3</t>
  </si>
  <si>
    <t xml:space="preserve">Air Force Event - Plug and Play</t>
  </si>
  <si>
    <t xml:space="preserve">PNPCA_Latest News_ 2026</t>
  </si>
  <si>
    <t xml:space="preserve">SBCC: 2026 AFGSC Commercial Capabilities Showcase_2</t>
  </si>
  <si>
    <t xml:space="preserve">Warsaw Medtech Batch Newsletter - 2/5/26</t>
  </si>
  <si>
    <t xml:space="preserve">NWA 2026 Expo 7Brew Announcement</t>
  </si>
  <si>
    <t xml:space="preserve">UK - Mobilise Diagnostic Meetings (Startups Email)</t>
  </si>
  <si>
    <t xml:space="preserve">UK - Mobilise Calendar (Startups Email)</t>
  </si>
  <si>
    <t xml:space="preserve">HR_Birthd Alejandro</t>
  </si>
  <si>
    <t xml:space="preserve">HR_Birthd Alberto</t>
  </si>
  <si>
    <t xml:space="preserve">CFA | Morocco Accelerator Batch 2 (alumni)</t>
  </si>
  <si>
    <t xml:space="preserve">Wissal Bentaleb</t>
  </si>
  <si>
    <t xml:space="preserve">Indianapolis Lifetech Expo B1 One Week!</t>
  </si>
  <si>
    <t xml:space="preserve">REMINDER - VIP Dinner Invite</t>
  </si>
  <si>
    <t xml:space="preserve">Christy Schrumpf</t>
  </si>
  <si>
    <t xml:space="preserve">JAP_Newsletter - Feb - 2026 - 4</t>
  </si>
  <si>
    <t xml:space="preserve">ADCTA Commpart reminder 1.2.1 (#2 - VCs)</t>
  </si>
  <si>
    <t xml:space="preserve">ADCTA - Clinic reminder #2</t>
  </si>
  <si>
    <t xml:space="preserve">February events</t>
  </si>
  <si>
    <t xml:space="preserve">VIE_Exploration Day 2026_Thank You</t>
  </si>
  <si>
    <t xml:space="preserve">Indianapolis Lifetech Expo B1 VIP Dinner Invite + Speaker Announcement (Paragon Medical)</t>
  </si>
  <si>
    <t xml:space="preserve">Warsaw Medtech Batch Newsletter - 1/30/26</t>
  </si>
  <si>
    <t xml:space="preserve">January_Internal_Newsletter</t>
  </si>
  <si>
    <t xml:space="preserve">Indianapolis Lifetech Expo B1 VIP Dinner Invite - Reminder to register</t>
  </si>
  <si>
    <t xml:space="preserve">Wi-Fi Down (Clone)</t>
  </si>
  <si>
    <t xml:space="preserve">VIE_Global Travel &amp; Hospitality Newsletter_January 2026</t>
  </si>
  <si>
    <t xml:space="preserve">UK January 2026 Newsletter</t>
  </si>
  <si>
    <t xml:space="preserve">CPR 2025_Email Blast</t>
  </si>
  <si>
    <t xml:space="preserve">Raul Palacio</t>
  </si>
  <si>
    <t xml:space="preserve">cpr2025</t>
  </si>
  <si>
    <t xml:space="preserve">JAP_eDM - ITC Japan 2026 - Jan 30</t>
  </si>
  <si>
    <t xml:space="preserve">Indianapolis Lifetech Expo B1 Two Weeks!</t>
  </si>
  <si>
    <t xml:space="preserve">HR_Birthd Spencer</t>
  </si>
  <si>
    <t xml:space="preserve">ADCTA - Invitation to 2025</t>
  </si>
  <si>
    <t xml:space="preserve">Plug and Play Saudi 2026</t>
  </si>
  <si>
    <t xml:space="preserve">Plug and Play Saudi Arabia</t>
  </si>
  <si>
    <t xml:space="preserve">Rawan Habiballah</t>
  </si>
  <si>
    <t xml:space="preserve">SA26 Newsletter</t>
  </si>
  <si>
    <t xml:space="preserve">Minnesota Sustainability 2026 H1 Mentor Newsletter (part 2)</t>
  </si>
  <si>
    <t xml:space="preserve">NMP 2026 H1 Mentor Newsletter (part 2)</t>
  </si>
  <si>
    <t xml:space="preserve">Indianapolis Lifetech Selection Day Invite</t>
  </si>
  <si>
    <t xml:space="preserve">HR_Birthd Wil</t>
  </si>
  <si>
    <t xml:space="preserve">Minnesota: Grid Catalyst Luma Invite</t>
  </si>
  <si>
    <t xml:space="preserve">Indianapolis Lifetech Expo B1 VIP Dinner Invite + Speaker Announcement (adding the non marketing folks)</t>
  </si>
  <si>
    <t xml:space="preserve">HR_Birthd Christina</t>
  </si>
  <si>
    <t xml:space="preserve">NMP 2026 H1 Alumni Startup Email</t>
  </si>
  <si>
    <t xml:space="preserve">MN 2026 H1 Alumni Startup Email</t>
  </si>
  <si>
    <t xml:space="preserve">NMP 2026 H1 Mentor Newsletter</t>
  </si>
  <si>
    <t xml:space="preserve">Minnesota Sustainability 2026 H1 Mentor Newsletter</t>
  </si>
  <si>
    <t xml:space="preserve">TEXAS_Newsletter Template</t>
  </si>
  <si>
    <t xml:space="preserve">interest list email reminder</t>
  </si>
  <si>
    <t xml:space="preserve">Plug and Play Türkiye January Newsletter</t>
  </si>
  <si>
    <t xml:space="preserve">ADCTA Commpart reminder 1.2.1</t>
  </si>
  <si>
    <t xml:space="preserve">Apply Now: 2026 AFGSC Commercial Capabilities Showcase</t>
  </si>
  <si>
    <t xml:space="preserve">Plug and Play Tech Center</t>
  </si>
  <si>
    <t xml:space="preserve">Aved Sodah</t>
  </si>
  <si>
    <t xml:space="preserve">Indianapolis Lifetech Expo B1 Speaker Announcement</t>
  </si>
  <si>
    <t xml:space="preserve">Indianapolis Lifetech Expo B1 VIP Dinner Invite + Speaker Announcement</t>
  </si>
  <si>
    <t xml:space="preserve">MedTech Warsaw Expo B4 Save the Date (8 weeks ahead)</t>
  </si>
  <si>
    <t xml:space="preserve">NEDO Seminar</t>
  </si>
  <si>
    <t xml:space="preserve">Warsaw Medtech Batch Newsletter - 1/23/26</t>
  </si>
  <si>
    <t xml:space="preserve">Indianapolis Lifetech Batch Newsletter - 1/23/26</t>
  </si>
  <si>
    <t xml:space="preserve">HR_Birthd Eleonora</t>
  </si>
  <si>
    <t xml:space="preserve">GNL_January 2026</t>
  </si>
  <si>
    <t xml:space="preserve">BCN Expo_follow-up email</t>
  </si>
  <si>
    <t xml:space="preserve">Alex Tortosa</t>
  </si>
  <si>
    <t xml:space="preserve">Your Monthly Dose of Tech Inspiration 🌟 2026 is here!</t>
  </si>
  <si>
    <t xml:space="preserve">ADCTA Email Invitation 1.2 (#2 - VCs)</t>
  </si>
  <si>
    <t xml:space="preserve">MKT_Email Blast_Health Video &amp; Booklet</t>
  </si>
  <si>
    <t xml:space="preserve">Ayah Hamdan</t>
  </si>
  <si>
    <t xml:space="preserve">HR_Birthd Ben</t>
  </si>
  <si>
    <t xml:space="preserve">Albania Declined Startups Batch 2</t>
  </si>
  <si>
    <t xml:space="preserve">Plug and Play Albania Team</t>
  </si>
  <si>
    <t xml:space="preserve">Natalie Chan</t>
  </si>
  <si>
    <t xml:space="preserve">Wrong To be Deleted  (Albania Batch 2 Declined Startups)</t>
  </si>
  <si>
    <t xml:space="preserve">APAC_Newsletter_January_2026</t>
  </si>
  <si>
    <t xml:space="preserve">(A) JAP_Newsletter - Jan - 2026 - 21</t>
  </si>
  <si>
    <t xml:space="preserve">HR_Birthd Allison</t>
  </si>
  <si>
    <t xml:space="preserve">HR_Birthd Sabrina</t>
  </si>
  <si>
    <t xml:space="preserve">Georgia_Batch 1 Declined Startups</t>
  </si>
  <si>
    <t xml:space="preserve">Plug and Play Georgia</t>
  </si>
  <si>
    <t xml:space="preserve">HR_Birthd Anthony</t>
  </si>
  <si>
    <t xml:space="preserve">HR_Birthd Ana</t>
  </si>
  <si>
    <t xml:space="preserve">HR_Birthd Jesus</t>
  </si>
  <si>
    <t xml:space="preserve">ITA26_Newsletter January</t>
  </si>
  <si>
    <t xml:space="preserve">Seattle Community Newsletter (Jan 2026)</t>
  </si>
  <si>
    <t xml:space="preserve">HR_Birthd Palak</t>
  </si>
  <si>
    <t xml:space="preserve">Scale for Impact: Accelerating Flexible Plastics Circularity in Phoenix (reschedule)</t>
  </si>
  <si>
    <t xml:space="preserve">Indianapolis Lifetech Batch Newsletter - 1/15/26</t>
  </si>
  <si>
    <t xml:space="preserve">Warsaw Medtech Batch Newsletter - 1/15/26</t>
  </si>
  <si>
    <t xml:space="preserve">Save the Date - German Summit email 1</t>
  </si>
  <si>
    <t xml:space="preserve">Giota Papavasileiou</t>
  </si>
  <si>
    <t xml:space="preserve">NWA 2026 Expo Save the Date</t>
  </si>
  <si>
    <t xml:space="preserve">Lithuania Accelerated: Startups Late-Night Show | Feb 25</t>
  </si>
  <si>
    <t xml:space="preserve">Ugne Brucaite</t>
  </si>
  <si>
    <t xml:space="preserve">Medtech Community Newsletter January 2026</t>
  </si>
  <si>
    <t xml:space="preserve">Warsaw Medtech Community</t>
  </si>
  <si>
    <t xml:space="preserve">Founders Welcome Lunch Reminder (Clone)</t>
  </si>
  <si>
    <t xml:space="preserve">PnP UK Health Batch 4 Showcase (Happening tomorrow)</t>
  </si>
  <si>
    <t xml:space="preserve">ADCTA Email Invitation 1.2</t>
  </si>
  <si>
    <t xml:space="preserve">Lifetech Newsletter January 2026</t>
  </si>
  <si>
    <t xml:space="preserve">Indianapolis Lifetech Community</t>
  </si>
  <si>
    <t xml:space="preserve">ADCTA Email Invitation 1.1 #2</t>
  </si>
  <si>
    <t xml:space="preserve">ADCTA Email Invitation 1.1</t>
  </si>
  <si>
    <t xml:space="preserve">CFA_Email Blast_PnP UZ Batch 6 Applications</t>
  </si>
  <si>
    <t xml:space="preserve">Indianapolis Lifetech Expo B1 Save the Date</t>
  </si>
  <si>
    <t xml:space="preserve">PnP UK Health Batch 4 Showcase (Happening this week)</t>
  </si>
  <si>
    <t xml:space="preserve">HR_Birthd Alyson</t>
  </si>
  <si>
    <t xml:space="preserve">HR_Birthd Katya</t>
  </si>
  <si>
    <t xml:space="preserve">HR_Birthd Shirley</t>
  </si>
  <si>
    <t xml:space="preserve">HR_Birthd Alaina</t>
  </si>
  <si>
    <t xml:space="preserve">HR_Birthd Reza</t>
  </si>
  <si>
    <t xml:space="preserve">2026 Florida Semiconductor Summit B2</t>
  </si>
  <si>
    <t xml:space="preserve">Plug and Play Semiconductors</t>
  </si>
  <si>
    <t xml:space="preserve">Adriana Carreno</t>
  </si>
  <si>
    <t xml:space="preserve">Lifetech Mentor Newsletter January 2026</t>
  </si>
  <si>
    <t xml:space="preserve">Warsaw Medtech Batch Newsletter - 1/8/26</t>
  </si>
  <si>
    <t xml:space="preserve">Indianapolis Lifetech Batch Newsletter - 1/8/26</t>
  </si>
  <si>
    <t xml:space="preserve">PnP UK Health Batch 4 Showcase (1-week to go)</t>
  </si>
  <si>
    <t xml:space="preserve">Medtech Alumni Newsletter January 2026</t>
  </si>
  <si>
    <t xml:space="preserve">Canada Newsletter - January 2026</t>
  </si>
  <si>
    <t xml:space="preserve">Katie Greenshields</t>
  </si>
  <si>
    <t xml:space="preserve">JAP_Newsletter - Jan - 2026 - 7</t>
  </si>
  <si>
    <t xml:space="preserve">Scale for Impact: Accelerating Flexible Plastics Circularity in Phoenix (Email 2)</t>
  </si>
  <si>
    <t xml:space="preserve">January Events Email</t>
  </si>
  <si>
    <t xml:space="preserve">PNP Foundation Newsletter December</t>
  </si>
  <si>
    <t xml:space="preserve">Plug and Play Türkiye December Newsletter (Clone)</t>
  </si>
  <si>
    <t xml:space="preserve">HAPPY HOLIDAYS | Startup Lithuania Accelerator Powered by Plug and Play</t>
  </si>
  <si>
    <t xml:space="preserve">VIE_Christmas_2025</t>
  </si>
  <si>
    <t xml:space="preserve">December_Internal_Newsletter</t>
  </si>
  <si>
    <t xml:space="preserve">Happy Holidays! 🎄🎉 2025 Highlights &amp; Exciting Plans for 2026 🚀</t>
  </si>
  <si>
    <t xml:space="preserve">PNPCA_December 2025 | Happy Holidays</t>
  </si>
  <si>
    <t xml:space="preserve">HR_Birthd Luis</t>
  </si>
  <si>
    <t xml:space="preserve">HR_Birthd Nayarit</t>
  </si>
  <si>
    <t xml:space="preserve">HR_Birthd Francois</t>
  </si>
  <si>
    <t xml:space="preserve">PNP Arizona Monthly eBlast - December 2025</t>
  </si>
  <si>
    <t xml:space="preserve">Indianapolis Lifetech Batch Newsletter - 12/19/25</t>
  </si>
  <si>
    <t xml:space="preserve">Warsaw Medtech Batch Newsletter - 12/19/25</t>
  </si>
  <si>
    <t xml:space="preserve">HR_Birthd Carolina</t>
  </si>
  <si>
    <t xml:space="preserve">Plug and Play UK 2025 Wrapped</t>
  </si>
  <si>
    <t xml:space="preserve">HR_Birthd Saku</t>
  </si>
  <si>
    <t xml:space="preserve">Turkiye Expo 2025_Recap_Not attending</t>
  </si>
  <si>
    <t xml:space="preserve">(A) Email Blast_AI Wrap Up 2025</t>
  </si>
  <si>
    <t xml:space="preserve">Nate from Plug and Play</t>
  </si>
  <si>
    <t xml:space="preserve">Plug and Play Indiana Wishes You Happy Holidays! (Clone)</t>
  </si>
  <si>
    <t xml:space="preserve">Plug and Play Indiana Wishes You Happy Holidays!</t>
  </si>
  <si>
    <t xml:space="preserve">GNL_December 2025</t>
  </si>
  <si>
    <t xml:space="preserve">GNL 2025</t>
  </si>
  <si>
    <t xml:space="preserve">GOAL Year-in-Review 2025</t>
  </si>
  <si>
    <t xml:space="preserve">Plug and Plug GOAL</t>
  </si>
  <si>
    <t xml:space="preserve">MN Expo Batch 1 Thank You Email</t>
  </si>
  <si>
    <t xml:space="preserve">ITA25_Newsletter December</t>
  </si>
  <si>
    <t xml:space="preserve">251209 Sweden Expo | Thank you Email</t>
  </si>
  <si>
    <t xml:space="preserve">Save the date for SA Expo 2026</t>
  </si>
  <si>
    <t xml:space="preserve">Seattle Community Newsletter (Dec 2025)</t>
  </si>
  <si>
    <t xml:space="preserve">2026 Florida Semiconductor Summit</t>
  </si>
  <si>
    <t xml:space="preserve">Scale for Impact: Accelerating Flexible Plastics Circularity in Phoenix</t>
  </si>
  <si>
    <t xml:space="preserve">251209 Sweden Expo | Invited / Added contacts</t>
  </si>
  <si>
    <t xml:space="preserve">251209 Sweden Expo | Confirmed contacts</t>
  </si>
  <si>
    <t xml:space="preserve">THANK YOU | Startup Lithuania Accelerator Powered by Plug and Play EXPO (Clone)</t>
  </si>
  <si>
    <t xml:space="preserve">BCN Health Expo 2025_Email 2</t>
  </si>
  <si>
    <t xml:space="preserve">HR_Birthd Andrea</t>
  </si>
  <si>
    <t xml:space="preserve">JAP_Newsletter - Dec - 2025 - 17</t>
  </si>
  <si>
    <t xml:space="preserve">HR_Birthd Justin</t>
  </si>
  <si>
    <t xml:space="preserve">Lifetech Community Newsletter December 2025</t>
  </si>
  <si>
    <t xml:space="preserve">HR_Birthd Minh</t>
  </si>
  <si>
    <t xml:space="preserve">Medtech Community Newsletter December 2025</t>
  </si>
  <si>
    <t xml:space="preserve">Japanese Food Showcase</t>
  </si>
  <si>
    <t xml:space="preserve">PnP UK Health Batch 4 Showcase (Reminder + Speaker Update)</t>
  </si>
  <si>
    <t xml:space="preserve">HR_Birthd Despi</t>
  </si>
  <si>
    <t xml:space="preserve">HR_Birthd Emmanuel</t>
  </si>
  <si>
    <t xml:space="preserve">HR_Birthd Sofia</t>
  </si>
  <si>
    <t xml:space="preserve">HR_Birthd Dean</t>
  </si>
  <si>
    <t xml:space="preserve">HR_Birthd Muhammad</t>
  </si>
  <si>
    <t xml:space="preserve">HR_Birthd Jennie</t>
  </si>
  <si>
    <t xml:space="preserve">HR_Birthd Raúl</t>
  </si>
  <si>
    <t xml:space="preserve">Indianapolis Lifetech Batch Newsletter - 12/11/2025</t>
  </si>
  <si>
    <t xml:space="preserve">Warsaw Medtech Batch Newsletter - 12/11/25</t>
  </si>
  <si>
    <t xml:space="preserve">HR_Birthd Nathan</t>
  </si>
  <si>
    <t xml:space="preserve">HR_Birthd Logan</t>
  </si>
  <si>
    <t xml:space="preserve">HR_Birthd Francis</t>
  </si>
  <si>
    <t xml:space="preserve">HR_Birthd Floren</t>
  </si>
  <si>
    <t xml:space="preserve">APAC_Cambodia DGF Mixer_ThankYou</t>
  </si>
  <si>
    <t xml:space="preserve">HR_Birthd Keisuke</t>
  </si>
  <si>
    <t xml:space="preserve">EV Notice</t>
  </si>
  <si>
    <t xml:space="preserve">CDW - Email - SPC - Report - Humanoid Robotics Report Teaser</t>
  </si>
  <si>
    <t xml:space="preserve">Frederik Bohn</t>
  </si>
  <si>
    <t xml:space="preserve">HR_Birthd Vasco</t>
  </si>
  <si>
    <t xml:space="preserve">12.10 | TOMORROW Startup Lithuania Accelerator EXPO powered by Plug and Play (for not registered)</t>
  </si>
  <si>
    <t xml:space="preserve">12.10 | TOMORROW Startup Lithuania Accelerator EXPO powered by Plug and Play</t>
  </si>
  <si>
    <t xml:space="preserve">HR_Birthd Ludovica</t>
  </si>
  <si>
    <t xml:space="preserve">Boost close regions CFA_Email Blast_Albania_batch 2</t>
  </si>
  <si>
    <t xml:space="preserve">HR_Birthd Clara</t>
  </si>
  <si>
    <t xml:space="preserve">HR_Birthd Eileen</t>
  </si>
  <si>
    <t xml:space="preserve">Investor Lunch | Startup Lithuania Accelerator powered by Plug and Play - Investors LT</t>
  </si>
  <si>
    <t xml:space="preserve">HR_Birthd Louis</t>
  </si>
  <si>
    <t xml:space="preserve">PNPCA_Upcoming Events</t>
  </si>
  <si>
    <t xml:space="preserve">HR_Birthd Yuya</t>
  </si>
  <si>
    <t xml:space="preserve">Passed Confirmation Applicants - Georgia - Static</t>
  </si>
  <si>
    <t xml:space="preserve">Indianapolis Lifetech Batch Newsletter - 12/5/2025</t>
  </si>
  <si>
    <t xml:space="preserve">Lifetech Mentor Newsletter December 2025</t>
  </si>
  <si>
    <t xml:space="preserve">CFA_Email Blast_Albania_batch 2</t>
  </si>
  <si>
    <t xml:space="preserve">Confirmation Applicants Passed- Albania - Automated</t>
  </si>
  <si>
    <t xml:space="preserve">Startup Lithuania Accelerator EXPO powered by Plug and Play | Batch 5 | 12 11</t>
  </si>
  <si>
    <t xml:space="preserve">HR_Birthd Povilas</t>
  </si>
  <si>
    <t xml:space="preserve">Warsaw Medtech Batch Newsletter - 12/4/25</t>
  </si>
  <si>
    <t xml:space="preserve">Medtech Mentor Newsletter December 2025</t>
  </si>
  <si>
    <t xml:space="preserve">Plug and Play Vienna_Recap October and November</t>
  </si>
  <si>
    <t xml:space="preserve">HR_Birthd Jackeline</t>
  </si>
  <si>
    <t xml:space="preserve">Plug and Play NeoCity - Coffee &amp; Conversation with Dr. Grace Bochenek (Clone)</t>
  </si>
  <si>
    <t xml:space="preserve">JAP_Newsletter - Dec - 2025 - 3</t>
  </si>
  <si>
    <t xml:space="preserve">HR_Birthd Amine</t>
  </si>
  <si>
    <t xml:space="preserve">CDW - Email - HLT - Ebook - Health Booklet 2025</t>
  </si>
  <si>
    <t xml:space="preserve">DTT- Invite COVESA at CES</t>
  </si>
  <si>
    <t xml:space="preserve">Logan Azelton</t>
  </si>
  <si>
    <t xml:space="preserve">Plug and Play Mobility | Accelerator Program</t>
  </si>
  <si>
    <t xml:space="preserve">Plug and Play Orlando Expo 2025 (B4)</t>
  </si>
  <si>
    <t xml:space="preserve">Plug and Play Orlando</t>
  </si>
  <si>
    <t xml:space="preserve">BRAM Mentor Newsletter 12.2.25</t>
  </si>
  <si>
    <t xml:space="preserve">Travel Mentor Newsletter 12.2.2025</t>
  </si>
  <si>
    <t xml:space="preserve">HR_Birthd Rina</t>
  </si>
  <si>
    <t xml:space="preserve">November_Internal_Newsletter</t>
  </si>
  <si>
    <t xml:space="preserve">Foundation Newsletter November</t>
  </si>
  <si>
    <t xml:space="preserve">BCN Health Expo 2025_Recap 2</t>
  </si>
  <si>
    <t xml:space="preserve">PNP Foundation Event</t>
  </si>
  <si>
    <t xml:space="preserve">Sustainable Future Newsletter_November 2025</t>
  </si>
  <si>
    <t xml:space="preserve">B4 Health Showcase 2</t>
  </si>
  <si>
    <t xml:space="preserve">Plug and Play Türkiye November Newsletter</t>
  </si>
  <si>
    <t xml:space="preserve">12 02 | BEYOND BORDERS: Take Your Startup from Local to Global</t>
  </si>
  <si>
    <t xml:space="preserve">Confirmation Applicants - Georgia - Automated</t>
  </si>
  <si>
    <t xml:space="preserve">UK November 2025 Newsletter</t>
  </si>
  <si>
    <t xml:space="preserve">HR_Birthd Malak</t>
  </si>
  <si>
    <t xml:space="preserve">APAC_Newsletter_November_2025</t>
  </si>
  <si>
    <t xml:space="preserve">Health_Newsletter Nov 2025</t>
  </si>
  <si>
    <t xml:space="preserve">MUC_alumni-NL (Nov)</t>
  </si>
  <si>
    <t xml:space="preserve">Giota from Plug and Play</t>
  </si>
  <si>
    <t xml:space="preserve">HR_Birthd Mai</t>
  </si>
  <si>
    <t xml:space="preserve">PNP Arizona Monthly eBlast - November 2025</t>
  </si>
  <si>
    <t xml:space="preserve">Confirmation Applicants - Albania - Automated</t>
  </si>
  <si>
    <t xml:space="preserve">GNL_November 2025</t>
  </si>
  <si>
    <t xml:space="preserve">Warsaw Medtech Batch Newsletter - 11/26/25</t>
  </si>
  <si>
    <t xml:space="preserve">HR_Birthd Sunil</t>
  </si>
  <si>
    <t xml:space="preserve">MKT_Email Blast_Supply Chain 2025 Report</t>
  </si>
  <si>
    <t xml:space="preserve">SV Mob_MIF Email 2025_Post event</t>
  </si>
  <si>
    <t xml:space="preserve">HR_Birthd Sophie</t>
  </si>
  <si>
    <t xml:space="preserve">Plug and Play: Join Us at the Minnesota Sustainability Expo! (round2)</t>
  </si>
  <si>
    <r>
      <rPr>
        <sz val="10"/>
        <rFont val="Arial"/>
        <family val="0"/>
        <charset val="1"/>
      </rPr>
      <t xml:space="preserve">JAP_RBC Tatsu</t>
    </r>
    <r>
      <rPr>
        <sz val="10"/>
        <rFont val="WenQuanYi Zen Hei"/>
        <family val="2"/>
      </rPr>
      <t xml:space="preserve">さんメール</t>
    </r>
    <r>
      <rPr>
        <sz val="10"/>
        <rFont val="Arial"/>
        <family val="0"/>
        <charset val="1"/>
      </rPr>
      <t xml:space="preserve">_2511_</t>
    </r>
    <r>
      <rPr>
        <sz val="10"/>
        <rFont val="WenQuanYi Zen Hei"/>
        <family val="2"/>
      </rPr>
      <t xml:space="preserve">本番用</t>
    </r>
  </si>
  <si>
    <t xml:space="preserve">Tatsuhisa Takahashi</t>
  </si>
  <si>
    <r>
      <rPr>
        <sz val="10"/>
        <rFont val="Arial"/>
        <family val="0"/>
        <charset val="1"/>
      </rPr>
      <t xml:space="preserve">JAP_RBC Tatsu</t>
    </r>
    <r>
      <rPr>
        <sz val="10"/>
        <rFont val="WenQuanYi Zen Hei"/>
        <family val="2"/>
      </rPr>
      <t xml:space="preserve">さんメール</t>
    </r>
    <r>
      <rPr>
        <sz val="10"/>
        <rFont val="Arial"/>
        <family val="0"/>
        <charset val="1"/>
      </rPr>
      <t xml:space="preserve">_2511</t>
    </r>
  </si>
  <si>
    <t xml:space="preserve">Indianapolis Lifetech Batch Newsletter - 11/24/25</t>
  </si>
  <si>
    <t xml:space="preserve">HR_Birthd Max</t>
  </si>
  <si>
    <t xml:space="preserve">HR_Birthd Sara</t>
  </si>
  <si>
    <t xml:space="preserve">Nov MUC NL</t>
  </si>
  <si>
    <t xml:space="preserve">HR_Birthd Laila</t>
  </si>
  <si>
    <t xml:space="preserve">HR_Birthd Noemi</t>
  </si>
  <si>
    <t xml:space="preserve">HR_Birthd Timo</t>
  </si>
  <si>
    <t xml:space="preserve">HR_Birthd Clemence</t>
  </si>
  <si>
    <t xml:space="preserve">Thank you - November Summit 2025</t>
  </si>
  <si>
    <t xml:space="preserve">MOR - Technopark Closing Week</t>
  </si>
  <si>
    <t xml:space="preserve">HR_Birthd Felix</t>
  </si>
  <si>
    <t xml:space="preserve">HR_Birthd Maiko</t>
  </si>
  <si>
    <t xml:space="preserve">ITA25_Newsletter November (Clone)</t>
  </si>
  <si>
    <t xml:space="preserve">ITA25_Newsletter November</t>
  </si>
  <si>
    <t xml:space="preserve">JAP_Newsletter - Nov - 2025 - 20</t>
  </si>
  <si>
    <t xml:space="preserve">HR_Birthd Harshal</t>
  </si>
  <si>
    <t xml:space="preserve">DECEMBER events | Startup Lithuania Accelerator Powered by Plug and Play (Clone)</t>
  </si>
  <si>
    <t xml:space="preserve">HR_Birthd Rita</t>
  </si>
  <si>
    <t xml:space="preserve">Sweden Expo 2025 Invitation 3</t>
  </si>
  <si>
    <t xml:space="preserve">HR_Birthd Bastian</t>
  </si>
  <si>
    <t xml:space="preserve">HR_Birthd Emelie</t>
  </si>
  <si>
    <t xml:space="preserve">PNPTC: See you at November Summit!</t>
  </si>
  <si>
    <t xml:space="preserve">BCN Health Expo 2025_Recap</t>
  </si>
  <si>
    <t xml:space="preserve">HR_Birthd Carlos</t>
  </si>
  <si>
    <t xml:space="preserve">Ecosystem Invite - Plug and Play Supply Chain 2</t>
  </si>
  <si>
    <t xml:space="preserve">Monika Sieg</t>
  </si>
  <si>
    <t xml:space="preserve">Partner Invite - Plug and Play Supply Chain 3rd round</t>
  </si>
  <si>
    <t xml:space="preserve">Indianapolis Lifetech Batch Newsletter - 11/14/2025</t>
  </si>
  <si>
    <t xml:space="preserve">HR_Birthd Rashaad</t>
  </si>
  <si>
    <t xml:space="preserve">HR_Birthd Lourdes</t>
  </si>
  <si>
    <t xml:space="preserve">November Summit Recorded info session + slides</t>
  </si>
  <si>
    <t xml:space="preserve">Astrid Benson</t>
  </si>
  <si>
    <t xml:space="preserve">GOAL Newsletter - Nov Summit Invitation</t>
  </si>
  <si>
    <t xml:space="preserve">HR_Birthd David</t>
  </si>
  <si>
    <t xml:space="preserve">Lifetech Community Newsletter November 2025</t>
  </si>
  <si>
    <t xml:space="preserve">Ecosystem Invite - Plug and Play Supply Chain</t>
  </si>
  <si>
    <t xml:space="preserve">Medtech Community Newsletter November 2025</t>
  </si>
  <si>
    <t xml:space="preserve">UK - Introducing Mobilise Startups to PNP</t>
  </si>
  <si>
    <t xml:space="preserve">HR_Birthd Francesca</t>
  </si>
  <si>
    <t xml:space="preserve">Brella Email #1 SV Nov 2025 General Attendees LIVE</t>
  </si>
  <si>
    <t xml:space="preserve">Medtech Community Newsletter November 2025 (Clone)</t>
  </si>
  <si>
    <t xml:space="preserve">Summit reminder</t>
  </si>
  <si>
    <t xml:space="preserve">Partner Invite - Plug and Play Supply Chain (Clone)</t>
  </si>
  <si>
    <t xml:space="preserve">Partner Invite - Plug and Play Supply Chain</t>
  </si>
  <si>
    <t xml:space="preserve">HR_Birthd Sakura</t>
  </si>
  <si>
    <t xml:space="preserve">HR_Birthd Brittni</t>
  </si>
  <si>
    <t xml:space="preserve">(A) MKT_Email Blast_Pepsico PSS</t>
  </si>
  <si>
    <t xml:space="preserve">Water Shutdown</t>
  </si>
  <si>
    <t xml:space="preserve">Indianapolis Lifetech Batch Newsletter - 11/7/2025</t>
  </si>
  <si>
    <t xml:space="preserve">Sweden Expo 2025 - Invitation 2</t>
  </si>
  <si>
    <t xml:space="preserve">HR_Birthd Lindsay</t>
  </si>
  <si>
    <t xml:space="preserve">HR_Birthd Celia</t>
  </si>
  <si>
    <t xml:space="preserve">HR_Birthd Carme</t>
  </si>
  <si>
    <t xml:space="preserve">Seattle Community Newsletter (Nov 2025)</t>
  </si>
  <si>
    <t xml:space="preserve">APAC_Cross-Border_Xander #3</t>
  </si>
  <si>
    <t xml:space="preserve">Plug and Play Health - Orlando Expo 2025 (B1)</t>
  </si>
  <si>
    <t xml:space="preserve">JAP_Newsletter - Nov - 2025 - 6</t>
  </si>
  <si>
    <t xml:space="preserve">Tech Equity</t>
  </si>
  <si>
    <t xml:space="preserve">HR_Birthd Yoshitake</t>
  </si>
  <si>
    <t xml:space="preserve">MOR - Technopark FW4</t>
  </si>
  <si>
    <t xml:space="preserve">November Summit 2025 | Attendee Information</t>
  </si>
  <si>
    <t xml:space="preserve">HR_Birthd Maximillian</t>
  </si>
  <si>
    <t xml:space="preserve">HR_Birthd Davis</t>
  </si>
  <si>
    <t xml:space="preserve">Plug and Play: Join Us at the Minnesota Sustainability Expo!</t>
  </si>
  <si>
    <t xml:space="preserve">HR_Birthd Mel</t>
  </si>
  <si>
    <t xml:space="preserve">APAC_Cross-Border_Xander</t>
  </si>
  <si>
    <t xml:space="preserve">HR_Birthd Paolo</t>
  </si>
  <si>
    <t xml:space="preserve">PNP Arizona Monthly eBlast - October 2025</t>
  </si>
  <si>
    <t xml:space="preserve">October_Internal_Newsletter</t>
  </si>
  <si>
    <t xml:space="preserve">Warsaw Medtech Batch Newsletter - 10/31/2025</t>
  </si>
  <si>
    <t xml:space="preserve">CRADLE Event</t>
  </si>
  <si>
    <t xml:space="preserve">HR_Birthd Josh</t>
  </si>
  <si>
    <t xml:space="preserve">AgAH Alumni/Mentor 2025 Q4 Newsletter</t>
  </si>
  <si>
    <t xml:space="preserve">Indianapolis Lifetech Batch Newsletter - 10/31/2025</t>
  </si>
  <si>
    <t xml:space="preserve">Plug and Play Türkiye October Newsletter</t>
  </si>
  <si>
    <t xml:space="preserve">HR_Birthd Ilaria</t>
  </si>
  <si>
    <t xml:space="preserve">UK October 2025 Newsletter</t>
  </si>
  <si>
    <t xml:space="preserve">HR_Birthd Jack</t>
  </si>
  <si>
    <t xml:space="preserve">HR_Birthd Sion</t>
  </si>
  <si>
    <t xml:space="preserve">PNPCA_October 2025</t>
  </si>
  <si>
    <t xml:space="preserve">HR_Birthd Lisa</t>
  </si>
  <si>
    <t xml:space="preserve">JAP_JapanSummit_Miss you Mail</t>
  </si>
  <si>
    <t xml:space="preserve">Japan Summit 2025</t>
  </si>
  <si>
    <t xml:space="preserve">GNL_October 2025</t>
  </si>
  <si>
    <t xml:space="preserve">HR_Birthd Shumpei</t>
  </si>
  <si>
    <t xml:space="preserve">HR_Birthd Andres</t>
  </si>
  <si>
    <t xml:space="preserve">APAC Summit_Oct_2025_Thankyou</t>
  </si>
  <si>
    <t xml:space="preserve">HR_Birthd Helena</t>
  </si>
  <si>
    <t xml:space="preserve">JAP_Ventures Newsletter_Oct2025</t>
  </si>
  <si>
    <t xml:space="preserve">TOMORROW Join to hear about startup ecosystem in Benelux region</t>
  </si>
  <si>
    <t xml:space="preserve">EV Charging Stations Update</t>
  </si>
  <si>
    <t xml:space="preserve">MKT_Email Blast_Ebook - Building Monitoring &amp; Decarbonization in Buildings (Clone)</t>
  </si>
  <si>
    <t xml:space="preserve">Reminder: Halloween Party</t>
  </si>
  <si>
    <t xml:space="preserve">HR_Birthd Ikuya</t>
  </si>
  <si>
    <t xml:space="preserve">HR_Birthd Christian</t>
  </si>
  <si>
    <t xml:space="preserve">Plug and Play NeoCity Expo 2025 (KBYG)</t>
  </si>
  <si>
    <t xml:space="preserve">CDW - Email - EGY Spain Grid</t>
  </si>
  <si>
    <t xml:space="preserve">CDW - Email - SUS - Ebook - Building Monitoring &amp; Decarbonization in Buildings</t>
  </si>
  <si>
    <t xml:space="preserve">HR_Birthd Kanaho</t>
  </si>
  <si>
    <t xml:space="preserve">Founder Real Talk</t>
  </si>
  <si>
    <t xml:space="preserve">SV Mob_MIF Email 2025_2</t>
  </si>
  <si>
    <t xml:space="preserve">BCN Health Expo 2025_Invitation 3</t>
  </si>
  <si>
    <t xml:space="preserve">Armenia Community Event Series invitation</t>
  </si>
  <si>
    <t xml:space="preserve">HR_Birthd Jan</t>
  </si>
  <si>
    <t xml:space="preserve">Your Monthly Dose of Tech Inspiration 🎃 November 2025</t>
  </si>
  <si>
    <t xml:space="preserve">HR_Birthd Ali</t>
  </si>
  <si>
    <t xml:space="preserve">HR_Birthd Jacque</t>
  </si>
  <si>
    <t xml:space="preserve">HR_Birthd Honorio</t>
  </si>
  <si>
    <t xml:space="preserve">HR_Birthd Tessa</t>
  </si>
  <si>
    <t xml:space="preserve">Sweden Expo 2025 - Invitation 1</t>
  </si>
  <si>
    <t xml:space="preserve">JAP_Plug and Play Japan Innovation Services_ThankYou</t>
  </si>
  <si>
    <t xml:space="preserve">Yuta Kiyono</t>
  </si>
  <si>
    <t xml:space="preserve">HR_Birthd Inhee</t>
  </si>
  <si>
    <t xml:space="preserve">HR_Birthd Michelle</t>
  </si>
  <si>
    <t xml:space="preserve">HR_Birthd Thomas</t>
  </si>
  <si>
    <t xml:space="preserve">Warsaw Medtech Batch Newsletter - 10/24/2025</t>
  </si>
  <si>
    <t xml:space="preserve">HR_Birthd Mark</t>
  </si>
  <si>
    <t xml:space="preserve">JAP_JapanSummit_Thank you Mail</t>
  </si>
  <si>
    <t xml:space="preserve">NEXT WEEK PnP Community Networking &amp; Fundraising Workshop</t>
  </si>
  <si>
    <t xml:space="preserve">APAC Summit 2025 - Reminder Email</t>
  </si>
  <si>
    <t xml:space="preserve">Brella Email #1 SV Nov 2025 Early Partner Access</t>
  </si>
  <si>
    <t xml:space="preserve">HR_Birthd Álvaro</t>
  </si>
  <si>
    <t xml:space="preserve">KICC Demo Day Blast 3</t>
  </si>
  <si>
    <t xml:space="preserve">Plug and Play NeoCity Expo 2025 (B2)</t>
  </si>
  <si>
    <t xml:space="preserve">Scale for Impact: Driving Circularity in Flexible Plastics</t>
  </si>
  <si>
    <t xml:space="preserve">Tirana Expo 2025_Recap</t>
  </si>
  <si>
    <t xml:space="preserve">HR_Birthd Klaj</t>
  </si>
  <si>
    <t xml:space="preserve">JAP_Newsletter - Oct - 2025 - 22</t>
  </si>
  <si>
    <t xml:space="preserve">MOR - Technopark FW3</t>
  </si>
  <si>
    <t xml:space="preserve">BCN Health Expo 2025_Invitation 2</t>
  </si>
  <si>
    <t xml:space="preserve">Startups Rejected_Giga (2nd batch)</t>
  </si>
  <si>
    <t xml:space="preserve">Pablo Naveira</t>
  </si>
  <si>
    <t xml:space="preserve">APAC Summit Invite 2025 - Reminder 3 (Pratik)</t>
  </si>
  <si>
    <t xml:space="preserve">Pratik Shah</t>
  </si>
  <si>
    <t xml:space="preserve">APAC Summit Invite 2025 - Reminder 3 (Sarah)</t>
  </si>
  <si>
    <t xml:space="preserve">Sarah Perez</t>
  </si>
  <si>
    <t xml:space="preserve">APAC Summit Invite 2025 - Reminder 3 (Wayne)</t>
  </si>
  <si>
    <t xml:space="preserve">Wayne Soh</t>
  </si>
  <si>
    <t xml:space="preserve">APAC Summit Invite 2025 - Reminder 3 (Patricia)</t>
  </si>
  <si>
    <t xml:space="preserve">Patricia Nordstrom</t>
  </si>
  <si>
    <t xml:space="preserve">APAC Summit Invite 2025 - Reminder 3 (John)</t>
  </si>
  <si>
    <t xml:space="preserve">APAC Summit Invite 2025 - Reminder 3 (Manav)</t>
  </si>
  <si>
    <t xml:space="preserve">Manav Narang</t>
  </si>
  <si>
    <t xml:space="preserve">APAC Summit Invite 2025 - EDM</t>
  </si>
  <si>
    <t xml:space="preserve">APAC Summit Invite 2025 - Reminder 3 (Andy)</t>
  </si>
  <si>
    <t xml:space="preserve">Andy Othman</t>
  </si>
  <si>
    <t xml:space="preserve">APAC Summit Invite 2025 - Reminder 3 (Jessica)</t>
  </si>
  <si>
    <t xml:space="preserve">Jessica Yu</t>
  </si>
  <si>
    <t xml:space="preserve">APAC Summit Invite 2025 - Reminder 3 (Mike)</t>
  </si>
  <si>
    <t xml:space="preserve">Mike Maceda</t>
  </si>
  <si>
    <t xml:space="preserve">HR_Birthd Suyash</t>
  </si>
  <si>
    <t xml:space="preserve">HR_Birthd Al</t>
  </si>
  <si>
    <t xml:space="preserve">JAP_eDM - JapanSummit - Mynavi - Oct - 2025 - 20 vol2 (Clone)</t>
  </si>
  <si>
    <t xml:space="preserve">JAP_eDM - JapanSummit - Mynavi - Oct - 2025 - 20 vol2</t>
  </si>
  <si>
    <t xml:space="preserve">JAP_eDM - JapanSummit - NikkeiBusinessOnline - Oct - 2025 - 16</t>
  </si>
  <si>
    <t xml:space="preserve">JAP_eDM - JapanSummit - Mynavi - Oct - 2025 - 20</t>
  </si>
  <si>
    <t xml:space="preserve">JAP_eDM - JapanSummit - Facebook - Oct - 2025 - 17</t>
  </si>
  <si>
    <t xml:space="preserve">Canaries in the Coal Mine? Six Facts About AI's Impact on Jobs</t>
  </si>
  <si>
    <t xml:space="preserve">HR_Birthd Krupa</t>
  </si>
  <si>
    <t xml:space="preserve">Email 2 Paragon Medical - Warsaw Medtech &amp; Indy Lifetech Corporate Partners - Invitation to SV Summit November 2025</t>
  </si>
  <si>
    <t xml:space="preserve">Email 2 - Warsaw Medtech &amp; Indy Lifetech Corporate Partners - Invitation to SV Summit November 2025</t>
  </si>
  <si>
    <t xml:space="preserve">JAP_eDM - JapanSummit - Oct - 2025 - 16</t>
  </si>
  <si>
    <t xml:space="preserve">SLAM Newsletter - October 2025</t>
  </si>
  <si>
    <t xml:space="preserve">HR_Birthd Kristi</t>
  </si>
  <si>
    <t xml:space="preserve">TOMORROW Join to hear about startup ecosystem in Saudi Arabia</t>
  </si>
  <si>
    <t xml:space="preserve">Sustainable Future Newsletter_October 2025</t>
  </si>
  <si>
    <t xml:space="preserve">Online Health &amp; Wellness Event</t>
  </si>
  <si>
    <t xml:space="preserve">JAP_eDM - JapanSummit - SanSan - Oct - 2025 - 14</t>
  </si>
  <si>
    <t xml:space="preserve">SV Mob_MIF Email 2025_1</t>
  </si>
  <si>
    <t xml:space="preserve">Founders Welcome Lunch Reminder</t>
  </si>
  <si>
    <t xml:space="preserve">Power Shutdown Notice</t>
  </si>
  <si>
    <t xml:space="preserve">Startups Rejected_Giga (Clone)</t>
  </si>
  <si>
    <t xml:space="preserve">Medtech Community Newsletter October 2025</t>
  </si>
  <si>
    <t xml:space="preserve">Tirana Expo Invitation 2025_Reminder 2</t>
  </si>
  <si>
    <t xml:space="preserve">HR_Birthd Amanda</t>
  </si>
  <si>
    <t xml:space="preserve">Tirana Expo Invitation 2025_Reminder</t>
  </si>
  <si>
    <t xml:space="preserve">APAC Summit Invite 2025 - Reminder 2 (Sarah)</t>
  </si>
  <si>
    <t xml:space="preserve">APAC Summit Invite 2025 - Reminder 2 (Patricia)</t>
  </si>
  <si>
    <t xml:space="preserve">APAC Summit Invite 2025 - Reminder 2 (Mike)</t>
  </si>
  <si>
    <t xml:space="preserve">APAC Summit Invite 2025 - Reminder 2 (Manav)</t>
  </si>
  <si>
    <t xml:space="preserve">APAC Summit Invite 2025 - Reminder 2 (John)</t>
  </si>
  <si>
    <t xml:space="preserve">APAC Summit Invite 2025 - Reminder 2 (Jielun)</t>
  </si>
  <si>
    <t xml:space="preserve">Jielun Ong</t>
  </si>
  <si>
    <t xml:space="preserve">APAC Summit Invite 2025 - Reminder 2 (Jessica)</t>
  </si>
  <si>
    <t xml:space="preserve">APAC Summit Invite 2025 - Reminder 2 (Andy)</t>
  </si>
  <si>
    <t xml:space="preserve">Mobility Corp Reverse Pitch Alumni Invites - October 2025 (Detroit Alumni)</t>
  </si>
  <si>
    <t xml:space="preserve">APAC Summit Invite 2025 - Patricia Reminder 1.3</t>
  </si>
  <si>
    <t xml:space="preserve">HR_Birthd Jessica</t>
  </si>
  <si>
    <t xml:space="preserve">Korean Health Innovation Showcase</t>
  </si>
  <si>
    <t xml:space="preserve">Halloween Party Invitation</t>
  </si>
  <si>
    <t xml:space="preserve">JAP_eDM - JapanSummit - Oct - 2025 - 9</t>
  </si>
  <si>
    <t xml:space="preserve">Tackling Flexible Plastic Waste Innovation Day Thank You Email (final)</t>
  </si>
  <si>
    <t xml:space="preserve">HR_Birthd Shehab</t>
  </si>
  <si>
    <t xml:space="preserve">BizBen</t>
  </si>
  <si>
    <t xml:space="preserve">JAP_IA_ Plug and Play Japan Innovation Services</t>
  </si>
  <si>
    <t xml:space="preserve">Tirana Expo Invitation 2025_2</t>
  </si>
  <si>
    <t xml:space="preserve">ITA25_Newsletter October</t>
  </si>
  <si>
    <t xml:space="preserve">Alessia Carrera</t>
  </si>
  <si>
    <t xml:space="preserve">UK Health Batch 4 Launch Invitation today</t>
  </si>
  <si>
    <t xml:space="preserve">HR_Birthd Alexander</t>
  </si>
  <si>
    <t xml:space="preserve">BRAM Mentor Newsletter 10.8.25</t>
  </si>
  <si>
    <t xml:space="preserve">HR_Birthd Rosangela</t>
  </si>
  <si>
    <t xml:space="preserve">Plug and Play NeoCity Expo 2025 (B1)</t>
  </si>
  <si>
    <t xml:space="preserve">Plug and Play Vienna_Recap August and September 2025</t>
  </si>
  <si>
    <t xml:space="preserve">JAP_Newsletter - Oct - 2025 - 8</t>
  </si>
  <si>
    <t xml:space="preserve">APAC_Corporate Innovation for Tomorrow’s Growth_ThankYou</t>
  </si>
  <si>
    <t xml:space="preserve">APAC Summit Invite 2025 - Patricia Reminder 1.2</t>
  </si>
  <si>
    <t xml:space="preserve">APAC Summit Invite 2025 - Mike Reminder 1</t>
  </si>
  <si>
    <t xml:space="preserve">APAC Summit Invite 2025 - Jessica Reminder 1</t>
  </si>
  <si>
    <t xml:space="preserve">APAC Summit Invite 2025 - Andy Reminder 1</t>
  </si>
  <si>
    <t xml:space="preserve">APAC Summit Invite 2025 - Manav Reminder 1</t>
  </si>
  <si>
    <t xml:space="preserve">APAC Summit Invite 2025 - Pratik Reminder 1</t>
  </si>
  <si>
    <t xml:space="preserve">APAC Summit Invite 2025 - Sarah Reminder 1</t>
  </si>
  <si>
    <t xml:space="preserve">APAC Summit Invite 2025 - John Reminder 1</t>
  </si>
  <si>
    <t xml:space="preserve">APAC Summit Invite 2025 - Wayne Reminder 1</t>
  </si>
  <si>
    <t xml:space="preserve">HR_Birthd Hironori</t>
  </si>
  <si>
    <t xml:space="preserve">MOR - Technopark FW2</t>
  </si>
  <si>
    <t xml:space="preserve">Hania Tarek</t>
  </si>
  <si>
    <t xml:space="preserve">HR_Birthd Marta</t>
  </si>
  <si>
    <t xml:space="preserve">HR_Birthd Hendrik</t>
  </si>
  <si>
    <t xml:space="preserve">BCN Health Expo 2025_Invitation 1</t>
  </si>
  <si>
    <t xml:space="preserve">JAP_eDM - ITC Japan 2026 - Oct 7</t>
  </si>
  <si>
    <t xml:space="preserve">2025 KICC Demo Day Invite #1 - 2nd list</t>
  </si>
  <si>
    <t xml:space="preserve">Business Immigration</t>
  </si>
  <si>
    <t xml:space="preserve">HR_Birthd Natasha</t>
  </si>
  <si>
    <t xml:space="preserve">HR_Birthd Curtis</t>
  </si>
  <si>
    <t xml:space="preserve">HR_Birthd Brandon</t>
  </si>
  <si>
    <t xml:space="preserve">HR_Birthd Mike</t>
  </si>
  <si>
    <t xml:space="preserve">HR_Birthd Ale</t>
  </si>
  <si>
    <t xml:space="preserve">HR_Birthd Michele</t>
  </si>
  <si>
    <t xml:space="preserve">Seattle Community Newsletter (Oct 2025)</t>
  </si>
  <si>
    <t xml:space="preserve">UK Health Batch 4 keynote speaker</t>
  </si>
  <si>
    <t xml:space="preserve">2025 KICC Demo Day Invite #1</t>
  </si>
  <si>
    <t xml:space="preserve">NEXT WEEK Startup Fair | Startup Lithuania Accelerator Powered by Plug and Play</t>
  </si>
  <si>
    <t xml:space="preserve">HR_Birthd Masaki</t>
  </si>
  <si>
    <t xml:space="preserve">Angie Chan</t>
  </si>
  <si>
    <t xml:space="preserve">HR_Birthd Rosette</t>
  </si>
  <si>
    <t xml:space="preserve">EMEA_Operations_Newsletter (Oct)</t>
  </si>
  <si>
    <t xml:space="preserve">EMEA Operations team</t>
  </si>
  <si>
    <t xml:space="preserve">HR_Birthd Gonzalo</t>
  </si>
  <si>
    <t xml:space="preserve">JAP_eDM - Japan Summit 2025 - Energy - Oct - 2 - 2025</t>
  </si>
  <si>
    <t xml:space="preserve">Kathy Liu</t>
  </si>
  <si>
    <t xml:space="preserve">HR_Birthd Honoka</t>
  </si>
  <si>
    <t xml:space="preserve">Smart Cities_Newsletter Sept 2025</t>
  </si>
  <si>
    <t xml:space="preserve">Sobhan Khani</t>
  </si>
  <si>
    <t xml:space="preserve">CDW - Email - EAI - Ebook - How Embedded AI Robotics is Transforming Industries &amp; Daily Life</t>
  </si>
  <si>
    <t xml:space="preserve">Thank you - Lifetech launch attendees October 2025</t>
  </si>
  <si>
    <t xml:space="preserve">Alignment 2025</t>
  </si>
  <si>
    <t xml:space="preserve">HR_Birthd Yui</t>
  </si>
  <si>
    <t xml:space="preserve">JAP_eDM - Japan Summit 2025 - Energy - test</t>
  </si>
  <si>
    <t xml:space="preserve">JAP_eDM - JapanSummit - Oct - 2025 - 1</t>
  </si>
  <si>
    <t xml:space="preserve">UK September 2025 Newsletter</t>
  </si>
  <si>
    <t xml:space="preserve">HR_Birthd Melina</t>
  </si>
  <si>
    <t xml:space="preserve">Sources and definitions</t>
  </si>
  <si>
    <t xml:space="preserve">Data pulled</t>
  </si>
  <si>
    <t xml:space="preserve">8 Oct 2026, read-only, HubSpot portal 3340630. Nothing in HubSpot was changed.</t>
  </si>
  <si>
    <t xml:space="preserve">Analyze export</t>
  </si>
  <si>
    <t xml:space="preserve">Marketing › Email › Analyze, 1 Oct 2025 – 30 Sep 2026 vs previous 365 days (Summary tab, top table).</t>
  </si>
  <si>
    <t xml:space="preserve">Health tab</t>
  </si>
  <si>
    <t xml:space="preserve">Marketing › Email › Health. Last 30 days = 5 Sep – 5 Oct 2026. Benchmarks are HubSpot's.</t>
  </si>
  <si>
    <t xml:space="preserve">Email export</t>
  </si>
  <si>
    <t xml:space="preserve">Marketing › Email › Export emails, send date 1 Oct 2025 – 30 Sep 2026: 1,068 emails, 1,063 published (5 drafts excluded). Export totals (e.g. 982,367 delivered) differ slightly from the Analyze dashboard (1,011,458 delivered).</t>
  </si>
  <si>
    <t xml:space="preserve">Click / open / unsub rate</t>
  </si>
  <si>
    <t xml:space="preserve">Unique clicks / opens / unsubscribes ÷ delivered.</t>
  </si>
  <si>
    <t xml:space="preserve">Bounces (hard + soft) ÷ sent.</t>
  </si>
  <si>
    <t xml:space="preserve">Emails grouped by recurring email name (e.g. 'UK May 2026 Newsletter', 'UK June 2026 Newsletter' = UK Newsletter). Sends within 3 days of each other count as one send.</t>
  </si>
  <si>
    <t xml:space="preserve">From the median days between sends: ≤10 weekly, 11–19 every 2 weeks, 20–45 monthly, 46–75 every 2 months, 76–135 quarterly, &gt;135 twice a year. 'New' = first sent Aug–Sep 2026.</t>
  </si>
  <si>
    <t xml:space="preserve">From a location name or code in the email name, From name or campaign (e.g. 'UK', 'JAP_', 'Seattle', 'PNPCA'). Emails without one get the location of the same sender's other emails when ≥75% of those point to one location. Otherwise 'Not identifiable'. Indiana includes Indianapolis and Warsaw, IN (Medtech).</t>
  </si>
  <si>
    <t xml:space="preserve">Teams</t>
  </si>
  <si>
    <t xml:space="preserve">No team is assigned to any email, and the Teams/Users pages are restricted for this user, so teams can't be linked to emails directly.</t>
  </si>
  <si>
    <t xml:space="preserve">Contact counts from HubSpot contact search (8 Oct 2026); marketing contacts and tier from Settings › Account &amp; Billing › Usage.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</si>
</sst>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\+0.0%;\-0.0%"/>
    <numFmt numFmtId="167" formatCode="0.00%;\-0.00%;\-"/>
    <numFmt numFmtId="168" formatCode="0"/>
    <numFmt numFmtId="169" formatCode="0.0%;\-0.0%;\-"/>
    <numFmt numFmtId="170" formatCode="yyyy\-mm\-dd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b val="1"/>
        <color rgb="FFC00000"/>
        <sz val="10"/>
      </font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color rgb="FFC00000"/>
        <sz val="1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5"/>
    <col collapsed="false" customWidth="true" hidden="false" outlineLevel="0" max="6" min="5" style="0" width="13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false" outlineLevel="0" collapsed="false">
      <c r="A6" s="5" t="s">
        <v>6</v>
      </c>
      <c r="B6" s="6" t="n">
        <v>1028641</v>
      </c>
      <c r="C6" s="7" t="n">
        <v>-0.2193</v>
      </c>
    </row>
    <row r="7" customFormat="false" ht="15" hidden="false" customHeight="false" outlineLevel="0" collapsed="false">
      <c r="A7" s="5" t="s">
        <v>7</v>
      </c>
      <c r="B7" s="6" t="n">
        <v>1032</v>
      </c>
      <c r="C7" s="7" t="s">
        <v>8</v>
      </c>
    </row>
    <row r="8" customFormat="false" ht="15" hidden="false" customHeight="false" outlineLevel="0" collapsed="false">
      <c r="A8" s="5" t="s">
        <v>9</v>
      </c>
      <c r="B8" s="6" t="n">
        <v>1011458</v>
      </c>
      <c r="C8" s="7" t="s">
        <v>8</v>
      </c>
    </row>
    <row r="9" customFormat="false" ht="15" hidden="false" customHeight="false" outlineLevel="0" collapsed="false">
      <c r="A9" s="5" t="s">
        <v>10</v>
      </c>
      <c r="B9" s="8" t="n">
        <v>0.9833</v>
      </c>
      <c r="C9" s="7" t="n">
        <v>-0.0077</v>
      </c>
    </row>
    <row r="10" customFormat="false" ht="15" hidden="false" customHeight="false" outlineLevel="0" collapsed="false">
      <c r="A10" s="5" t="s">
        <v>11</v>
      </c>
      <c r="B10" s="8" t="n">
        <v>0.2688</v>
      </c>
      <c r="C10" s="7" t="n">
        <v>-0.1138</v>
      </c>
    </row>
    <row r="11" customFormat="false" ht="15" hidden="false" customHeight="false" outlineLevel="0" collapsed="false">
      <c r="A11" s="5" t="s">
        <v>12</v>
      </c>
      <c r="B11" s="8" t="n">
        <v>0.0326</v>
      </c>
      <c r="C11" s="7" t="n">
        <v>-0.0158</v>
      </c>
    </row>
    <row r="12" customFormat="false" ht="15" hidden="false" customHeight="false" outlineLevel="0" collapsed="false">
      <c r="A12" s="5" t="s">
        <v>13</v>
      </c>
      <c r="B12" s="8" t="n">
        <v>0.1213</v>
      </c>
      <c r="C12" s="7" t="n">
        <v>0.1106</v>
      </c>
    </row>
    <row r="13" customFormat="false" ht="15" hidden="false" customHeight="false" outlineLevel="0" collapsed="false">
      <c r="A13" s="5" t="s">
        <v>14</v>
      </c>
      <c r="B13" s="8" t="n">
        <v>0.0001</v>
      </c>
      <c r="C13" s="7" t="n">
        <v>-0.2829</v>
      </c>
    </row>
    <row r="14" customFormat="false" ht="15" hidden="false" customHeight="false" outlineLevel="0" collapsed="false">
      <c r="A14" s="5" t="s">
        <v>15</v>
      </c>
      <c r="B14" s="8" t="n">
        <v>0.0129</v>
      </c>
      <c r="C14" s="7" t="n">
        <v>0.9746</v>
      </c>
    </row>
    <row r="15" customFormat="false" ht="15" hidden="false" customHeight="false" outlineLevel="0" collapsed="false">
      <c r="A15" s="5" t="s">
        <v>16</v>
      </c>
      <c r="B15" s="8" t="n">
        <v>0.0081</v>
      </c>
      <c r="C15" s="7" t="n">
        <v>0.7244</v>
      </c>
    </row>
    <row r="16" customFormat="false" ht="15" hidden="false" customHeight="false" outlineLevel="0" collapsed="false">
      <c r="A16" s="5" t="s">
        <v>17</v>
      </c>
      <c r="B16" s="8" t="n">
        <v>0.0001</v>
      </c>
      <c r="C16" s="7" t="n">
        <v>0.7813</v>
      </c>
    </row>
    <row r="19" customFormat="false" ht="15" hidden="false" customHeight="false" outlineLevel="0" collapsed="false">
      <c r="A19" s="3" t="s">
        <v>18</v>
      </c>
    </row>
    <row r="20" customFormat="false" ht="30" hidden="false" customHeight="true" outlineLevel="0" collapsed="false">
      <c r="A20" s="4" t="s">
        <v>3</v>
      </c>
      <c r="B20" s="4" t="s">
        <v>19</v>
      </c>
      <c r="C20" s="4" t="s">
        <v>20</v>
      </c>
      <c r="D20" s="4" t="s">
        <v>21</v>
      </c>
    </row>
    <row r="21" customFormat="false" ht="15" hidden="false" customHeight="false" outlineLevel="0" collapsed="false">
      <c r="A21" s="5" t="s">
        <v>22</v>
      </c>
      <c r="B21" s="9" t="s">
        <v>23</v>
      </c>
      <c r="C21" s="10" t="s">
        <v>8</v>
      </c>
      <c r="D21" s="11" t="s">
        <v>24</v>
      </c>
    </row>
    <row r="22" customFormat="false" ht="15" hidden="false" customHeight="false" outlineLevel="0" collapsed="false">
      <c r="A22" s="5" t="s">
        <v>25</v>
      </c>
      <c r="B22" s="12" t="n">
        <v>0.25</v>
      </c>
      <c r="C22" s="12" t="n">
        <v>0.195</v>
      </c>
      <c r="D22" s="13" t="s">
        <v>26</v>
      </c>
    </row>
    <row r="23" customFormat="false" ht="15" hidden="false" customHeight="false" outlineLevel="0" collapsed="false">
      <c r="A23" s="5" t="s">
        <v>27</v>
      </c>
      <c r="B23" s="12" t="n">
        <v>0.075</v>
      </c>
      <c r="C23" s="12" t="n">
        <v>0.085</v>
      </c>
      <c r="D23" s="13" t="s">
        <v>28</v>
      </c>
    </row>
    <row r="24" customFormat="false" ht="15" hidden="false" customHeight="false" outlineLevel="0" collapsed="false">
      <c r="A24" s="5" t="s">
        <v>29</v>
      </c>
      <c r="B24" s="12" t="n">
        <v>0.0254</v>
      </c>
      <c r="C24" s="12" t="n">
        <v>0.0025</v>
      </c>
      <c r="D24" s="11" t="s">
        <v>30</v>
      </c>
    </row>
    <row r="25" customFormat="false" ht="15" hidden="false" customHeight="false" outlineLevel="0" collapsed="false">
      <c r="A25" s="5" t="s">
        <v>31</v>
      </c>
      <c r="B25" s="12" t="n">
        <v>0.0104</v>
      </c>
      <c r="C25" s="12" t="n">
        <v>0.0035</v>
      </c>
      <c r="D25" s="11" t="s">
        <v>30</v>
      </c>
    </row>
    <row r="26" customFormat="false" ht="15" hidden="false" customHeight="false" outlineLevel="0" collapsed="false">
      <c r="A26" s="5" t="s">
        <v>32</v>
      </c>
      <c r="B26" s="9" t="n">
        <v>5</v>
      </c>
      <c r="C26" s="10" t="s">
        <v>8</v>
      </c>
      <c r="D26" s="13" t="s">
        <v>8</v>
      </c>
    </row>
    <row r="27" customFormat="false" ht="15" hidden="false" customHeight="false" outlineLevel="0" collapsed="false">
      <c r="A27" s="5" t="s">
        <v>6</v>
      </c>
      <c r="B27" s="9" t="n">
        <v>158769</v>
      </c>
      <c r="C27" s="10" t="s">
        <v>8</v>
      </c>
      <c r="D27" s="13" t="s">
        <v>8</v>
      </c>
    </row>
    <row r="30" customFormat="false" ht="15" hidden="false" customHeight="false" outlineLevel="0" collapsed="false">
      <c r="A30" s="3" t="s">
        <v>33</v>
      </c>
    </row>
    <row r="31" customFormat="false" ht="30" hidden="false" customHeight="true" outlineLevel="0" collapsed="false">
      <c r="A31" s="4" t="s">
        <v>34</v>
      </c>
      <c r="B31" s="4" t="s">
        <v>35</v>
      </c>
      <c r="C31" s="4" t="s">
        <v>25</v>
      </c>
      <c r="D31" s="4" t="s">
        <v>27</v>
      </c>
      <c r="E31" s="4" t="s">
        <v>29</v>
      </c>
      <c r="F31" s="4" t="s">
        <v>31</v>
      </c>
      <c r="G31" s="4" t="s">
        <v>6</v>
      </c>
    </row>
    <row r="32" customFormat="false" ht="15" hidden="false" customHeight="false" outlineLevel="0" collapsed="false">
      <c r="A32" s="5" t="s">
        <v>36</v>
      </c>
      <c r="B32" s="14" t="n">
        <v>5</v>
      </c>
      <c r="C32" s="15" t="n">
        <v>0.299</v>
      </c>
      <c r="D32" s="15" t="n">
        <v>0.112</v>
      </c>
      <c r="E32" s="8" t="n">
        <v>0.0107</v>
      </c>
      <c r="F32" s="8" t="n">
        <v>0.0043</v>
      </c>
      <c r="G32" s="6" t="n">
        <v>112000</v>
      </c>
    </row>
    <row r="33" customFormat="false" ht="15" hidden="false" customHeight="false" outlineLevel="0" collapsed="false">
      <c r="A33" s="5" t="s">
        <v>37</v>
      </c>
      <c r="B33" s="14" t="n">
        <v>6</v>
      </c>
      <c r="C33" s="15" t="n">
        <v>0.347</v>
      </c>
      <c r="D33" s="15" t="n">
        <v>0.147</v>
      </c>
      <c r="E33" s="8" t="n">
        <v>0.0056</v>
      </c>
      <c r="F33" s="8" t="n">
        <v>0.0042</v>
      </c>
      <c r="G33" s="6" t="n">
        <v>55700</v>
      </c>
    </row>
    <row r="34" customFormat="false" ht="15" hidden="false" customHeight="false" outlineLevel="0" collapsed="false">
      <c r="A34" s="5" t="s">
        <v>38</v>
      </c>
      <c r="B34" s="14" t="n">
        <v>5</v>
      </c>
      <c r="C34" s="15" t="n">
        <v>0.279</v>
      </c>
      <c r="D34" s="15" t="n">
        <v>0.11</v>
      </c>
      <c r="E34" s="8" t="n">
        <v>0.0051</v>
      </c>
      <c r="F34" s="8" t="n">
        <v>0.0055</v>
      </c>
      <c r="G34" s="6" t="n">
        <v>56400</v>
      </c>
    </row>
    <row r="35" customFormat="false" ht="15" hidden="false" customHeight="false" outlineLevel="0" collapsed="false">
      <c r="A35" s="5" t="s">
        <v>39</v>
      </c>
      <c r="B35" s="14" t="n">
        <v>5</v>
      </c>
      <c r="C35" s="15" t="n">
        <v>0.268</v>
      </c>
      <c r="D35" s="15" t="n">
        <v>0.142</v>
      </c>
      <c r="E35" s="8" t="n">
        <v>0.0128</v>
      </c>
      <c r="F35" s="8" t="n">
        <v>0.0047</v>
      </c>
      <c r="G35" s="6" t="n">
        <v>58600</v>
      </c>
    </row>
    <row r="36" customFormat="false" ht="15" hidden="false" customHeight="false" outlineLevel="0" collapsed="false">
      <c r="A36" s="5" t="s">
        <v>40</v>
      </c>
      <c r="B36" s="14" t="n">
        <v>3</v>
      </c>
      <c r="C36" s="15" t="n">
        <v>0.292</v>
      </c>
      <c r="D36" s="15" t="n">
        <v>0.135</v>
      </c>
      <c r="E36" s="8" t="n">
        <v>0.0186</v>
      </c>
      <c r="F36" s="8" t="n">
        <v>0.007</v>
      </c>
      <c r="G36" s="6" t="n">
        <v>61100</v>
      </c>
    </row>
    <row r="37" customFormat="false" ht="15" hidden="false" customHeight="false" outlineLevel="0" collapsed="false">
      <c r="A37" s="5" t="s">
        <v>41</v>
      </c>
      <c r="B37" s="14" t="n">
        <v>4</v>
      </c>
      <c r="C37" s="15" t="n">
        <v>0.285</v>
      </c>
      <c r="D37" s="15" t="n">
        <v>0.151</v>
      </c>
      <c r="E37" s="8" t="n">
        <v>0.0095</v>
      </c>
      <c r="F37" s="8" t="n">
        <v>0.0077</v>
      </c>
      <c r="G37" s="6" t="n">
        <v>72400</v>
      </c>
    </row>
    <row r="38" customFormat="false" ht="15" hidden="false" customHeight="false" outlineLevel="0" collapsed="false">
      <c r="A38" s="5" t="s">
        <v>42</v>
      </c>
      <c r="B38" s="14" t="n">
        <v>3</v>
      </c>
      <c r="C38" s="15" t="n">
        <v>0.23</v>
      </c>
      <c r="D38" s="15" t="n">
        <v>0.128</v>
      </c>
      <c r="E38" s="8" t="n">
        <v>0.0129</v>
      </c>
      <c r="F38" s="8" t="n">
        <v>0.0066</v>
      </c>
      <c r="G38" s="6" t="n">
        <v>112200</v>
      </c>
    </row>
    <row r="39" customFormat="false" ht="15" hidden="false" customHeight="false" outlineLevel="0" collapsed="false">
      <c r="A39" s="5" t="s">
        <v>43</v>
      </c>
      <c r="B39" s="14" t="n">
        <v>6</v>
      </c>
      <c r="C39" s="15" t="n">
        <v>0.297</v>
      </c>
      <c r="D39" s="15" t="n">
        <v>0.146</v>
      </c>
      <c r="E39" s="8" t="n">
        <v>0.0039</v>
      </c>
      <c r="F39" s="8" t="n">
        <v>0.0057</v>
      </c>
      <c r="G39" s="6" t="n">
        <v>77000</v>
      </c>
    </row>
    <row r="40" customFormat="false" ht="15" hidden="false" customHeight="false" outlineLevel="0" collapsed="false">
      <c r="A40" s="5" t="s">
        <v>44</v>
      </c>
      <c r="B40" s="14" t="n">
        <v>4</v>
      </c>
      <c r="C40" s="15" t="n">
        <v>0.222</v>
      </c>
      <c r="D40" s="15" t="n">
        <v>0.124</v>
      </c>
      <c r="E40" s="8" t="n">
        <v>0.0076</v>
      </c>
      <c r="F40" s="8" t="n">
        <v>0.0055</v>
      </c>
      <c r="G40" s="6" t="n">
        <v>87700</v>
      </c>
    </row>
    <row r="41" customFormat="false" ht="15" hidden="false" customHeight="false" outlineLevel="0" collapsed="false">
      <c r="A41" s="5" t="s">
        <v>45</v>
      </c>
      <c r="B41" s="14" t="n">
        <v>4</v>
      </c>
      <c r="C41" s="15" t="n">
        <v>0.225</v>
      </c>
      <c r="D41" s="15" t="n">
        <v>0.138</v>
      </c>
      <c r="E41" s="8" t="n">
        <v>0.0077</v>
      </c>
      <c r="F41" s="8" t="n">
        <v>0.0055</v>
      </c>
      <c r="G41" s="6" t="n">
        <v>70700</v>
      </c>
    </row>
    <row r="42" customFormat="false" ht="15" hidden="false" customHeight="false" outlineLevel="0" collapsed="false">
      <c r="A42" s="5" t="s">
        <v>46</v>
      </c>
      <c r="B42" s="14" t="n">
        <v>3</v>
      </c>
      <c r="C42" s="15" t="n">
        <v>0.273</v>
      </c>
      <c r="D42" s="15" t="n">
        <v>0.091</v>
      </c>
      <c r="E42" s="8" t="n">
        <v>0.0177</v>
      </c>
      <c r="F42" s="8" t="n">
        <v>0.0116</v>
      </c>
      <c r="G42" s="6" t="n">
        <v>105200</v>
      </c>
    </row>
    <row r="43" customFormat="false" ht="15" hidden="false" customHeight="false" outlineLevel="0" collapsed="false">
      <c r="A43" s="5" t="s">
        <v>47</v>
      </c>
      <c r="B43" s="14" t="n">
        <v>3</v>
      </c>
      <c r="C43" s="15" t="n">
        <v>0.267</v>
      </c>
      <c r="D43" s="15" t="n">
        <v>0.068</v>
      </c>
      <c r="E43" s="8" t="n">
        <v>0.0317</v>
      </c>
      <c r="F43" s="8" t="n">
        <v>0.0115</v>
      </c>
      <c r="G43" s="6" t="n">
        <v>124000</v>
      </c>
    </row>
    <row r="44" customFormat="false" ht="15" hidden="false" customHeight="false" outlineLevel="0" collapsed="false">
      <c r="A44" s="2" t="s">
        <v>48</v>
      </c>
    </row>
    <row r="46" customFormat="false" ht="15" hidden="false" customHeight="false" outlineLevel="0" collapsed="false">
      <c r="A46" s="3" t="s">
        <v>49</v>
      </c>
    </row>
    <row r="47" customFormat="false" ht="30" hidden="false" customHeight="true" outlineLevel="0" collapsed="false">
      <c r="A47" s="4" t="s">
        <v>50</v>
      </c>
      <c r="B47" s="4" t="s">
        <v>25</v>
      </c>
      <c r="C47" s="4" t="s">
        <v>51</v>
      </c>
    </row>
    <row r="48" customFormat="false" ht="15" hidden="false" customHeight="false" outlineLevel="0" collapsed="false">
      <c r="A48" s="5" t="s">
        <v>52</v>
      </c>
      <c r="B48" s="6" t="n">
        <v>186370</v>
      </c>
      <c r="C48" s="6" t="n">
        <v>42918</v>
      </c>
    </row>
    <row r="49" customFormat="false" ht="15" hidden="false" customHeight="false" outlineLevel="0" collapsed="false">
      <c r="A49" s="5" t="s">
        <v>53</v>
      </c>
      <c r="B49" s="6" t="n">
        <v>83437</v>
      </c>
      <c r="C49" s="6" t="n">
        <v>13767</v>
      </c>
    </row>
    <row r="50" customFormat="false" ht="15" hidden="false" customHeight="false" outlineLevel="0" collapsed="false">
      <c r="A50" s="5" t="s">
        <v>54</v>
      </c>
      <c r="B50" s="6" t="n">
        <v>320849</v>
      </c>
      <c r="C50" s="6" t="n">
        <v>0</v>
      </c>
    </row>
    <row r="51" customFormat="false" ht="15" hidden="false" customHeight="false" outlineLevel="0" collapsed="false">
      <c r="A51" s="5" t="s">
        <v>55</v>
      </c>
      <c r="B51" s="13" t="s">
        <v>56</v>
      </c>
      <c r="C51" s="13"/>
    </row>
    <row r="54" customFormat="false" ht="15" hidden="false" customHeight="false" outlineLevel="0" collapsed="false">
      <c r="A54" s="3" t="s">
        <v>57</v>
      </c>
    </row>
    <row r="55" customFormat="false" ht="30" hidden="false" customHeight="true" outlineLevel="0" collapsed="false">
      <c r="A55" s="4" t="s">
        <v>58</v>
      </c>
      <c r="B55" s="4" t="s">
        <v>59</v>
      </c>
    </row>
    <row r="56" customFormat="false" ht="15" hidden="false" customHeight="false" outlineLevel="0" collapsed="false">
      <c r="A56" s="5" t="s">
        <v>60</v>
      </c>
      <c r="B56" s="16" t="n">
        <f aca="false">COUNTIFS('All Emails'!$H$5:$H$1067,"Event Invitation or Reminder")</f>
        <v>450</v>
      </c>
    </row>
    <row r="57" customFormat="false" ht="15" hidden="false" customHeight="false" outlineLevel="0" collapsed="false">
      <c r="A57" s="5" t="s">
        <v>61</v>
      </c>
      <c r="B57" s="16" t="n">
        <f aca="false">COUNTIFS('All Emails'!$H$5:$H$1067,"Newsletter")</f>
        <v>198</v>
      </c>
    </row>
    <row r="58" customFormat="false" ht="15" hidden="false" customHeight="false" outlineLevel="0" collapsed="false">
      <c r="A58" s="5" t="s">
        <v>62</v>
      </c>
      <c r="B58" s="16" t="n">
        <f aca="false">COUNTIFS('All Emails'!$H$5:$H$1067,"")</f>
        <v>167</v>
      </c>
    </row>
    <row r="59" customFormat="false" ht="15" hidden="false" customHeight="false" outlineLevel="0" collapsed="false">
      <c r="A59" s="5" t="s">
        <v>63</v>
      </c>
      <c r="B59" s="16" t="n">
        <f aca="false">COUNTIFS('All Emails'!$H$5:$H$1067,"Initial Engagement")</f>
        <v>112</v>
      </c>
    </row>
    <row r="60" customFormat="false" ht="15" hidden="false" customHeight="false" outlineLevel="0" collapsed="false">
      <c r="A60" s="5" t="s">
        <v>64</v>
      </c>
      <c r="B60" s="16" t="n">
        <f aca="false">COUNTIFS('All Emails'!$H$5:$H$1067,"Account Management")</f>
        <v>57</v>
      </c>
    </row>
    <row r="61" customFormat="false" ht="15" hidden="false" customHeight="false" outlineLevel="0" collapsed="false">
      <c r="A61" s="5" t="s">
        <v>65</v>
      </c>
      <c r="B61" s="16" t="n">
        <f aca="false">COUNTIFS('All Emails'!$H$5:$H$1067,"Educational")</f>
        <v>35</v>
      </c>
    </row>
    <row r="62" customFormat="false" ht="15" hidden="false" customHeight="false" outlineLevel="0" collapsed="false">
      <c r="A62" s="5" t="s">
        <v>66</v>
      </c>
      <c r="B62" s="16" t="n">
        <f aca="false">COUNTIFS('All Emails'!$H$5:$H$1067,"Feedback")</f>
        <v>32</v>
      </c>
    </row>
    <row r="63" customFormat="false" ht="15" hidden="false" customHeight="false" outlineLevel="0" collapsed="false">
      <c r="A63" s="5" t="s">
        <v>67</v>
      </c>
      <c r="B63" s="16" t="n">
        <f aca="false">COUNTIFS('All Emails'!$H$5:$H$1067,"Product or Feature Announcement")</f>
        <v>6</v>
      </c>
    </row>
    <row r="64" customFormat="false" ht="15" hidden="false" customHeight="false" outlineLevel="0" collapsed="false">
      <c r="A64" s="5" t="s">
        <v>68</v>
      </c>
      <c r="B64" s="16" t="n">
        <f aca="false">COUNTIFS('All Emails'!$H$5:$H$1067,"Promotional Offer")</f>
        <v>4</v>
      </c>
    </row>
    <row r="65" customFormat="false" ht="15" hidden="false" customHeight="false" outlineLevel="0" collapsed="false">
      <c r="A65" s="5" t="s">
        <v>54</v>
      </c>
      <c r="B65" s="16" t="n">
        <f aca="false">COUNTIFS('All Emails'!$H$5:$H$1067,"Other")</f>
        <v>2</v>
      </c>
    </row>
    <row r="66" customFormat="false" ht="15" hidden="false" customHeight="false" outlineLevel="0" collapsed="false">
      <c r="A66" s="17" t="s">
        <v>69</v>
      </c>
      <c r="B66" s="18" t="n">
        <f aca="false">SUM(B56:B65)</f>
        <v>1063</v>
      </c>
    </row>
    <row r="67" customFormat="false" ht="15" hidden="false" customHeight="false" outlineLevel="0" collapsed="false">
      <c r="A67" s="5" t="s">
        <v>70</v>
      </c>
      <c r="B67" s="16" t="n">
        <f aca="false">COUNTIFS('All Emails'!$A$5:$A$1067,"HR_*")</f>
        <v>232</v>
      </c>
    </row>
    <row r="70" customFormat="false" ht="15" hidden="false" customHeight="false" outlineLevel="0" collapsed="false">
      <c r="A70" s="3" t="s">
        <v>71</v>
      </c>
    </row>
    <row r="71" customFormat="false" ht="30" hidden="false" customHeight="true" outlineLevel="0" collapsed="false">
      <c r="A71" s="4" t="s">
        <v>72</v>
      </c>
      <c r="B71" s="4" t="s">
        <v>9</v>
      </c>
      <c r="C71" s="4" t="s">
        <v>31</v>
      </c>
      <c r="D71" s="4" t="s">
        <v>73</v>
      </c>
      <c r="E71" s="4" t="s">
        <v>29</v>
      </c>
    </row>
    <row r="72" customFormat="false" ht="15" hidden="false" customHeight="false" outlineLevel="0" collapsed="false">
      <c r="A72" s="5" t="s">
        <v>74</v>
      </c>
      <c r="B72" s="16" t="n">
        <f aca="false">SUMIFS('All Emails'!$M$5:$M$1067,'All Emails'!$A$5:$A$1067,A72)</f>
        <v>38385</v>
      </c>
      <c r="C72" s="16" t="n">
        <f aca="false">SUMIFS('All Emails'!$P$5:$P$1067,'All Emails'!$A$5:$A$1067,A72)</f>
        <v>732</v>
      </c>
      <c r="D72" s="16" t="n">
        <f aca="false">SUMIFS('All Emails'!$Q$5:$Q$1067,'All Emails'!$A$5:$A$1067,A72)</f>
        <v>3576</v>
      </c>
      <c r="E72" s="16" t="n">
        <f aca="false">SUMIFS('All Emails'!$R$5:$R$1067,'All Emails'!$A$5:$A$1067,A72)</f>
        <v>3421</v>
      </c>
    </row>
    <row r="73" customFormat="false" ht="15" hidden="false" customHeight="false" outlineLevel="0" collapsed="false">
      <c r="A73" s="5" t="s">
        <v>75</v>
      </c>
      <c r="B73" s="16" t="n">
        <f aca="false">SUMIFS('All Emails'!$M$5:$M$1067,'All Emails'!$A$5:$A$1067,A73)</f>
        <v>13111</v>
      </c>
      <c r="C73" s="16" t="n">
        <f aca="false">SUMIFS('All Emails'!$P$5:$P$1067,'All Emails'!$A$5:$A$1067,A73)</f>
        <v>251</v>
      </c>
      <c r="D73" s="16" t="n">
        <f aca="false">SUMIFS('All Emails'!$Q$5:$Q$1067,'All Emails'!$A$5:$A$1067,A73)</f>
        <v>826</v>
      </c>
      <c r="E73" s="16" t="n">
        <f aca="false">SUMIFS('All Emails'!$R$5:$R$1067,'All Emails'!$A$5:$A$1067,A73)</f>
        <v>748</v>
      </c>
    </row>
    <row r="74" customFormat="false" ht="15" hidden="false" customHeight="false" outlineLevel="0" collapsed="false">
      <c r="A74" s="5" t="s">
        <v>76</v>
      </c>
      <c r="B74" s="16" t="n">
        <f aca="false">SUMIFS('All Emails'!$M$5:$M$1067,'All Emails'!$A$5:$A$1067,A74)</f>
        <v>18358</v>
      </c>
      <c r="C74" s="16" t="n">
        <f aca="false">SUMIFS('All Emails'!$P$5:$P$1067,'All Emails'!$A$5:$A$1067,A74)</f>
        <v>419</v>
      </c>
      <c r="D74" s="16" t="n">
        <f aca="false">SUMIFS('All Emails'!$Q$5:$Q$1067,'All Emails'!$A$5:$A$1067,A74)</f>
        <v>834</v>
      </c>
      <c r="E74" s="16" t="n">
        <f aca="false">SUMIFS('All Emails'!$R$5:$R$1067,'All Emails'!$A$5:$A$1067,A74)</f>
        <v>743</v>
      </c>
    </row>
    <row r="75" customFormat="false" ht="15" hidden="false" customHeight="false" outlineLevel="0" collapsed="false">
      <c r="A75" s="17" t="s">
        <v>77</v>
      </c>
      <c r="B75" s="18" t="n">
        <f aca="false">SUM(B72:B74)</f>
        <v>69854</v>
      </c>
      <c r="C75" s="18" t="n">
        <f aca="false">SUM(C72:C74)</f>
        <v>1402</v>
      </c>
      <c r="D75" s="18" t="n">
        <f aca="false">SUM(D72:D74)</f>
        <v>5236</v>
      </c>
      <c r="E75" s="18" t="n">
        <f aca="false">SUM(E72:E74)</f>
        <v>4912</v>
      </c>
    </row>
    <row r="76" customFormat="false" ht="15" hidden="false" customHeight="false" outlineLevel="0" collapsed="false">
      <c r="A76" s="5" t="s">
        <v>78</v>
      </c>
      <c r="B76" s="16" t="n">
        <f aca="false">SUMIFS('All Emails'!$M$5:$M$1067,'All Emails'!$B$5:$B$1067,"&gt;="&amp;DATE(2026,8,1),'All Emails'!$B$5:$B$1067,"&lt;"&amp;DATE(2026,10,1))</f>
        <v>260202</v>
      </c>
      <c r="C76" s="16" t="n">
        <f aca="false">SUMIFS('All Emails'!$P$5:$P$1067,'All Emails'!$B$5:$B$1067,"&gt;="&amp;DATE(2026,8,1),'All Emails'!$B$5:$B$1067,"&lt;"&amp;DATE(2026,10,1))</f>
        <v>2980</v>
      </c>
      <c r="D76" s="16" t="n">
        <f aca="false">SUMIFS('All Emails'!$Q$5:$Q$1067,'All Emails'!$B$5:$B$1067,"&gt;="&amp;DATE(2026,8,1),'All Emails'!$B$5:$B$1067,"&lt;"&amp;DATE(2026,10,1))</f>
        <v>7092</v>
      </c>
      <c r="E76" s="16" t="n">
        <f aca="false">SUMIFS('All Emails'!$R$5:$R$1067,'All Emails'!$B$5:$B$1067,"&gt;="&amp;DATE(2026,8,1),'All Emails'!$B$5:$B$1067,"&lt;"&amp;DATE(2026,10,1))</f>
        <v>5915</v>
      </c>
    </row>
    <row r="77" customFormat="false" ht="15" hidden="false" customHeight="false" outlineLevel="0" collapsed="false">
      <c r="A77" s="17" t="s">
        <v>79</v>
      </c>
      <c r="B77" s="19" t="n">
        <f aca="false">B75/B76</f>
        <v>0.268460657489181</v>
      </c>
      <c r="C77" s="19" t="n">
        <f aca="false">C75/C76</f>
        <v>0.470469798657718</v>
      </c>
      <c r="D77" s="19" t="n">
        <f aca="false">D75/D76</f>
        <v>0.738296672306825</v>
      </c>
      <c r="E77" s="19" t="n">
        <f aca="false">E75/E76</f>
        <v>0.830431107354184</v>
      </c>
    </row>
  </sheetData>
  <mergeCells count="1">
    <mergeCell ref="B51:C51"/>
  </mergeCells>
  <conditionalFormatting sqref="C14:C16">
    <cfRule type="cellIs" priority="2" operator="greaterThan" aboveAverage="0" equalAverage="0" bottom="0" percent="0" rank="0" text="" dxfId="0">
      <formula>0</formula>
    </cfRule>
  </conditionalFormatting>
  <conditionalFormatting sqref="E32:E43">
    <cfRule type="cellIs" priority="3" operator="greaterThan" aboveAverage="0" equalAverage="0" bottom="0" percent="0" rank="0" text="" dxfId="0">
      <formula>0.0025</formula>
    </cfRule>
  </conditionalFormatting>
  <conditionalFormatting sqref="F32:F43">
    <cfRule type="cellIs" priority="4" operator="greaterThan" aboveAverage="0" equalAverage="0" bottom="0" percent="0" rank="0" text="" dxfId="0">
      <formula>0.0035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4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false" outlineLevel="0" max="12" min="12" style="0" width="46"/>
    <col collapsed="false" customWidth="true" hidden="false" outlineLevel="0" max="13" min="13" style="0" width="10"/>
    <col collapsed="false" customWidth="true" hidden="false" outlineLevel="0" max="15" min="14" style="0" width="11"/>
    <col collapsed="false" customWidth="true" hidden="false" outlineLevel="0" max="19" min="16" style="0" width="9"/>
  </cols>
  <sheetData>
    <row r="1" customFormat="false" ht="17.3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</row>
    <row r="4" customFormat="false" ht="30" hidden="false" customHeight="true" outlineLevel="0" collapsed="false">
      <c r="A4" s="4" t="s">
        <v>61</v>
      </c>
      <c r="B4" s="4" t="s">
        <v>82</v>
      </c>
      <c r="C4" s="4" t="s">
        <v>83</v>
      </c>
      <c r="D4" s="4" t="s">
        <v>84</v>
      </c>
      <c r="E4" s="4" t="s">
        <v>85</v>
      </c>
      <c r="F4" s="4" t="s">
        <v>86</v>
      </c>
      <c r="G4" s="4" t="s">
        <v>87</v>
      </c>
      <c r="H4" s="4" t="s">
        <v>88</v>
      </c>
      <c r="I4" s="4" t="s">
        <v>89</v>
      </c>
      <c r="J4" s="4" t="s">
        <v>90</v>
      </c>
      <c r="K4" s="4" t="s">
        <v>91</v>
      </c>
      <c r="L4" s="4" t="s">
        <v>92</v>
      </c>
      <c r="M4" s="4" t="s">
        <v>93</v>
      </c>
      <c r="N4" s="4" t="s">
        <v>94</v>
      </c>
      <c r="O4" s="4" t="s">
        <v>95</v>
      </c>
      <c r="P4" s="4" t="s">
        <v>11</v>
      </c>
      <c r="Q4" s="4" t="s">
        <v>12</v>
      </c>
      <c r="R4" s="4" t="s">
        <v>96</v>
      </c>
      <c r="S4" s="4" t="s">
        <v>97</v>
      </c>
    </row>
    <row r="5" customFormat="false" ht="23.85" hidden="false" customHeight="false" outlineLevel="0" collapsed="false">
      <c r="A5" s="5" t="s">
        <v>98</v>
      </c>
      <c r="B5" s="13" t="s">
        <v>99</v>
      </c>
      <c r="C5" s="13" t="s">
        <v>100</v>
      </c>
      <c r="D5" s="20" t="s">
        <v>101</v>
      </c>
      <c r="E5" s="20" t="s">
        <v>102</v>
      </c>
      <c r="F5" s="20" t="s">
        <v>103</v>
      </c>
      <c r="G5" s="21" t="s">
        <v>104</v>
      </c>
      <c r="H5" s="22" t="n">
        <v>29</v>
      </c>
      <c r="I5" s="22" t="n">
        <v>12</v>
      </c>
      <c r="J5" s="23" t="n">
        <v>45960</v>
      </c>
      <c r="K5" s="23" t="n">
        <v>46294</v>
      </c>
      <c r="L5" s="20" t="s">
        <v>105</v>
      </c>
      <c r="M5" s="21" t="s">
        <v>106</v>
      </c>
      <c r="N5" s="16" t="n">
        <f aca="false">SUMIFS('All Emails'!$M$5:$M$1067,'All Emails'!$I$5:$I$1067,A5)</f>
        <v>98696</v>
      </c>
      <c r="O5" s="16" t="n">
        <f aca="false">IF(I5=0,0,N5/I5)</f>
        <v>8224.66666666667</v>
      </c>
      <c r="P5" s="24" t="n">
        <f aca="false">IF(SUMIFS('All Emails'!$M$5:$M$1067,'All Emails'!$I$5:$I$1067,A5)=0,0,SUMIFS('All Emails'!$N$5:$N$1067,'All Emails'!$I$5:$I$1067,A5)/SUMIFS('All Emails'!$M$5:$M$1067,'All Emails'!$I$5:$I$1067,A5))</f>
        <v>0.141363378455054</v>
      </c>
      <c r="Q5" s="24" t="n">
        <f aca="false">IF(SUMIFS('All Emails'!$M$5:$M$1067,'All Emails'!$I$5:$I$1067,A5)=0,0,SUMIFS('All Emails'!$O$5:$O$1067,'All Emails'!$I$5:$I$1067,A5)/SUMIFS('All Emails'!$M$5:$M$1067,'All Emails'!$I$5:$I$1067,A5))</f>
        <v>0.0204972845910675</v>
      </c>
      <c r="R5" s="25" t="n">
        <f aca="false">IF(SUMIFS('All Emails'!$M$5:$M$1067,'All Emails'!$I$5:$I$1067,A5)=0,0,SUMIFS('All Emails'!$P$5:$P$1067,'All Emails'!$I$5:$I$1067,A5)/SUMIFS('All Emails'!$M$5:$M$1067,'All Emails'!$I$5:$I$1067,A5))</f>
        <v>0.00597795250060793</v>
      </c>
      <c r="S5" s="24" t="n">
        <f aca="false">IF(SUMIFS('All Emails'!$L$5:$L$1067,'All Emails'!$I$5:$I$1067,A5)=0,0,SUMIFS('All Emails'!$Q$5:$Q$1067,'All Emails'!$I$5:$I$1067,A5)/SUMIFS('All Emails'!$L$5:$L$1067,'All Emails'!$I$5:$I$1067,A5))</f>
        <v>0.00663278144028987</v>
      </c>
    </row>
    <row r="6" customFormat="false" ht="23.85" hidden="false" customHeight="false" outlineLevel="0" collapsed="false">
      <c r="A6" s="5" t="s">
        <v>107</v>
      </c>
      <c r="B6" s="13" t="s">
        <v>108</v>
      </c>
      <c r="C6" s="13" t="s">
        <v>109</v>
      </c>
      <c r="D6" s="20" t="s">
        <v>110</v>
      </c>
      <c r="E6" s="20" t="s">
        <v>111</v>
      </c>
      <c r="F6" s="20" t="s">
        <v>112</v>
      </c>
      <c r="G6" s="21" t="s">
        <v>104</v>
      </c>
      <c r="H6" s="22" t="n">
        <v>30</v>
      </c>
      <c r="I6" s="22" t="n">
        <v>12</v>
      </c>
      <c r="J6" s="23" t="n">
        <v>45931</v>
      </c>
      <c r="K6" s="23" t="n">
        <v>46295</v>
      </c>
      <c r="L6" s="20" t="s">
        <v>113</v>
      </c>
      <c r="M6" s="21" t="s">
        <v>106</v>
      </c>
      <c r="N6" s="16" t="n">
        <f aca="false">SUMIFS('All Emails'!$M$5:$M$1067,'All Emails'!$I$5:$I$1067,A6)</f>
        <v>59740</v>
      </c>
      <c r="O6" s="16" t="n">
        <f aca="false">IF(I6=0,0,N6/I6)</f>
        <v>4978.33333333333</v>
      </c>
      <c r="P6" s="24" t="n">
        <f aca="false">IF(SUMIFS('All Emails'!$M$5:$M$1067,'All Emails'!$I$5:$I$1067,A6)=0,0,SUMIFS('All Emails'!$N$5:$N$1067,'All Emails'!$I$5:$I$1067,A6)/SUMIFS('All Emails'!$M$5:$M$1067,'All Emails'!$I$5:$I$1067,A6))</f>
        <v>0.241027787077335</v>
      </c>
      <c r="Q6" s="24" t="n">
        <f aca="false">IF(SUMIFS('All Emails'!$M$5:$M$1067,'All Emails'!$I$5:$I$1067,A6)=0,0,SUMIFS('All Emails'!$O$5:$O$1067,'All Emails'!$I$5:$I$1067,A6)/SUMIFS('All Emails'!$M$5:$M$1067,'All Emails'!$I$5:$I$1067,A6))</f>
        <v>0.0103783059926348</v>
      </c>
      <c r="R6" s="25" t="n">
        <f aca="false">IF(SUMIFS('All Emails'!$M$5:$M$1067,'All Emails'!$I$5:$I$1067,A6)=0,0,SUMIFS('All Emails'!$P$5:$P$1067,'All Emails'!$I$5:$I$1067,A6)/SUMIFS('All Emails'!$M$5:$M$1067,'All Emails'!$I$5:$I$1067,A6))</f>
        <v>0.00964178105122196</v>
      </c>
      <c r="S6" s="24" t="n">
        <f aca="false">IF(SUMIFS('All Emails'!$L$5:$L$1067,'All Emails'!$I$5:$I$1067,A6)=0,0,SUMIFS('All Emails'!$Q$5:$Q$1067,'All Emails'!$I$5:$I$1067,A6)/SUMIFS('All Emails'!$L$5:$L$1067,'All Emails'!$I$5:$I$1067,A6))</f>
        <v>0.0110745087652502</v>
      </c>
    </row>
    <row r="7" customFormat="false" ht="15" hidden="false" customHeight="false" outlineLevel="0" collapsed="false">
      <c r="A7" s="5" t="s">
        <v>114</v>
      </c>
      <c r="B7" s="13" t="s">
        <v>108</v>
      </c>
      <c r="C7" s="13" t="s">
        <v>115</v>
      </c>
      <c r="D7" s="20" t="s">
        <v>116</v>
      </c>
      <c r="E7" s="20" t="s">
        <v>117</v>
      </c>
      <c r="F7" s="20" t="s">
        <v>118</v>
      </c>
      <c r="G7" s="21" t="s">
        <v>104</v>
      </c>
      <c r="H7" s="22" t="n">
        <v>35</v>
      </c>
      <c r="I7" s="22" t="n">
        <v>6</v>
      </c>
      <c r="J7" s="23" t="n">
        <v>46077</v>
      </c>
      <c r="K7" s="23" t="n">
        <v>46294</v>
      </c>
      <c r="L7" s="20" t="s">
        <v>119</v>
      </c>
      <c r="M7" s="21" t="s">
        <v>106</v>
      </c>
      <c r="N7" s="16" t="n">
        <f aca="false">SUMIFS('All Emails'!$M$5:$M$1067,'All Emails'!$I$5:$I$1067,A7)</f>
        <v>29095</v>
      </c>
      <c r="O7" s="16" t="n">
        <f aca="false">IF(I7=0,0,N7/I7)</f>
        <v>4849.16666666667</v>
      </c>
      <c r="P7" s="24" t="n">
        <f aca="false">IF(SUMIFS('All Emails'!$M$5:$M$1067,'All Emails'!$I$5:$I$1067,A7)=0,0,SUMIFS('All Emails'!$N$5:$N$1067,'All Emails'!$I$5:$I$1067,A7)/SUMIFS('All Emails'!$M$5:$M$1067,'All Emails'!$I$5:$I$1067,A7))</f>
        <v>0.252586355043822</v>
      </c>
      <c r="Q7" s="24" t="n">
        <f aca="false">IF(SUMIFS('All Emails'!$M$5:$M$1067,'All Emails'!$I$5:$I$1067,A7)=0,0,SUMIFS('All Emails'!$O$5:$O$1067,'All Emails'!$I$5:$I$1067,A7)/SUMIFS('All Emails'!$M$5:$M$1067,'All Emails'!$I$5:$I$1067,A7))</f>
        <v>0.0302113765251761</v>
      </c>
      <c r="R7" s="25" t="n">
        <f aca="false">IF(SUMIFS('All Emails'!$M$5:$M$1067,'All Emails'!$I$5:$I$1067,A7)=0,0,SUMIFS('All Emails'!$P$5:$P$1067,'All Emails'!$I$5:$I$1067,A7)/SUMIFS('All Emails'!$M$5:$M$1067,'All Emails'!$I$5:$I$1067,A7))</f>
        <v>0.00907372400756144</v>
      </c>
      <c r="S7" s="24" t="n">
        <f aca="false">IF(SUMIFS('All Emails'!$L$5:$L$1067,'All Emails'!$I$5:$I$1067,A7)=0,0,SUMIFS('All Emails'!$Q$5:$Q$1067,'All Emails'!$I$5:$I$1067,A7)/SUMIFS('All Emails'!$L$5:$L$1067,'All Emails'!$I$5:$I$1067,A7))</f>
        <v>0.0114165335870341</v>
      </c>
    </row>
    <row r="8" customFormat="false" ht="23.85" hidden="false" customHeight="false" outlineLevel="0" collapsed="false">
      <c r="A8" s="5" t="s">
        <v>120</v>
      </c>
      <c r="B8" s="13" t="s">
        <v>108</v>
      </c>
      <c r="C8" s="13" t="s">
        <v>121</v>
      </c>
      <c r="D8" s="20" t="s">
        <v>122</v>
      </c>
      <c r="E8" s="20" t="s">
        <v>123</v>
      </c>
      <c r="F8" s="20" t="s">
        <v>124</v>
      </c>
      <c r="G8" s="21" t="s">
        <v>104</v>
      </c>
      <c r="H8" s="22" t="n">
        <v>29</v>
      </c>
      <c r="I8" s="22" t="n">
        <v>12</v>
      </c>
      <c r="J8" s="23" t="n">
        <v>45939</v>
      </c>
      <c r="K8" s="23" t="n">
        <v>46282</v>
      </c>
      <c r="L8" s="20" t="s">
        <v>105</v>
      </c>
      <c r="M8" s="21" t="s">
        <v>106</v>
      </c>
      <c r="N8" s="16" t="n">
        <f aca="false">SUMIFS('All Emails'!$M$5:$M$1067,'All Emails'!$I$5:$I$1067,A8)</f>
        <v>46473</v>
      </c>
      <c r="O8" s="16" t="n">
        <f aca="false">IF(I8=0,0,N8/I8)</f>
        <v>3872.75</v>
      </c>
      <c r="P8" s="24" t="n">
        <f aca="false">IF(SUMIFS('All Emails'!$M$5:$M$1067,'All Emails'!$I$5:$I$1067,A8)=0,0,SUMIFS('All Emails'!$N$5:$N$1067,'All Emails'!$I$5:$I$1067,A8)/SUMIFS('All Emails'!$M$5:$M$1067,'All Emails'!$I$5:$I$1067,A8))</f>
        <v>0.254298194650657</v>
      </c>
      <c r="Q8" s="24" t="n">
        <f aca="false">IF(SUMIFS('All Emails'!$M$5:$M$1067,'All Emails'!$I$5:$I$1067,A8)=0,0,SUMIFS('All Emails'!$O$5:$O$1067,'All Emails'!$I$5:$I$1067,A8)/SUMIFS('All Emails'!$M$5:$M$1067,'All Emails'!$I$5:$I$1067,A8))</f>
        <v>0.0141372409786328</v>
      </c>
      <c r="R8" s="25" t="n">
        <f aca="false">IF(SUMIFS('All Emails'!$M$5:$M$1067,'All Emails'!$I$5:$I$1067,A8)=0,0,SUMIFS('All Emails'!$P$5:$P$1067,'All Emails'!$I$5:$I$1067,A8)/SUMIFS('All Emails'!$M$5:$M$1067,'All Emails'!$I$5:$I$1067,A8))</f>
        <v>0.00869321971897661</v>
      </c>
      <c r="S8" s="24" t="n">
        <f aca="false">IF(SUMIFS('All Emails'!$L$5:$L$1067,'All Emails'!$I$5:$I$1067,A8)=0,0,SUMIFS('All Emails'!$Q$5:$Q$1067,'All Emails'!$I$5:$I$1067,A8)/SUMIFS('All Emails'!$L$5:$L$1067,'All Emails'!$I$5:$I$1067,A8))</f>
        <v>0.0162154152289422</v>
      </c>
    </row>
    <row r="9" customFormat="false" ht="23.85" hidden="false" customHeight="false" outlineLevel="0" collapsed="false">
      <c r="A9" s="5" t="s">
        <v>125</v>
      </c>
      <c r="B9" s="13" t="s">
        <v>108</v>
      </c>
      <c r="C9" s="13" t="s">
        <v>126</v>
      </c>
      <c r="D9" s="20" t="s">
        <v>127</v>
      </c>
      <c r="E9" s="20" t="s">
        <v>128</v>
      </c>
      <c r="F9" s="20" t="s">
        <v>129</v>
      </c>
      <c r="G9" s="21" t="s">
        <v>104</v>
      </c>
      <c r="H9" s="22" t="n">
        <v>35</v>
      </c>
      <c r="I9" s="22" t="n">
        <v>10</v>
      </c>
      <c r="J9" s="23" t="n">
        <v>45988</v>
      </c>
      <c r="K9" s="23" t="n">
        <v>46287</v>
      </c>
      <c r="L9" s="20" t="s">
        <v>130</v>
      </c>
      <c r="M9" s="21" t="s">
        <v>106</v>
      </c>
      <c r="N9" s="16" t="n">
        <f aca="false">SUMIFS('All Emails'!$M$5:$M$1067,'All Emails'!$I$5:$I$1067,A9)</f>
        <v>29331</v>
      </c>
      <c r="O9" s="16" t="n">
        <f aca="false">IF(I9=0,0,N9/I9)</f>
        <v>2933.1</v>
      </c>
      <c r="P9" s="24" t="n">
        <f aca="false">IF(SUMIFS('All Emails'!$M$5:$M$1067,'All Emails'!$I$5:$I$1067,A9)=0,0,SUMIFS('All Emails'!$N$5:$N$1067,'All Emails'!$I$5:$I$1067,A9)/SUMIFS('All Emails'!$M$5:$M$1067,'All Emails'!$I$5:$I$1067,A9))</f>
        <v>0.322048344754696</v>
      </c>
      <c r="Q9" s="24" t="n">
        <f aca="false">IF(SUMIFS('All Emails'!$M$5:$M$1067,'All Emails'!$I$5:$I$1067,A9)=0,0,SUMIFS('All Emails'!$O$5:$O$1067,'All Emails'!$I$5:$I$1067,A9)/SUMIFS('All Emails'!$M$5:$M$1067,'All Emails'!$I$5:$I$1067,A9))</f>
        <v>0.0225358835361904</v>
      </c>
      <c r="R9" s="25" t="n">
        <f aca="false">IF(SUMIFS('All Emails'!$M$5:$M$1067,'All Emails'!$I$5:$I$1067,A9)=0,0,SUMIFS('All Emails'!$P$5:$P$1067,'All Emails'!$I$5:$I$1067,A9)/SUMIFS('All Emails'!$M$5:$M$1067,'All Emails'!$I$5:$I$1067,A9))</f>
        <v>0.00375029831918448</v>
      </c>
      <c r="S9" s="24" t="n">
        <f aca="false">IF(SUMIFS('All Emails'!$L$5:$L$1067,'All Emails'!$I$5:$I$1067,A9)=0,0,SUMIFS('All Emails'!$Q$5:$Q$1067,'All Emails'!$I$5:$I$1067,A9)/SUMIFS('All Emails'!$L$5:$L$1067,'All Emails'!$I$5:$I$1067,A9))</f>
        <v>0.00724318835674395</v>
      </c>
    </row>
    <row r="10" customFormat="false" ht="15" hidden="false" customHeight="false" outlineLevel="0" collapsed="false">
      <c r="A10" s="5" t="s">
        <v>131</v>
      </c>
      <c r="B10" s="13" t="s">
        <v>108</v>
      </c>
      <c r="C10" s="13" t="s">
        <v>132</v>
      </c>
      <c r="D10" s="20" t="s">
        <v>133</v>
      </c>
      <c r="E10" s="20" t="s">
        <v>134</v>
      </c>
      <c r="F10" s="20" t="s">
        <v>135</v>
      </c>
      <c r="G10" s="21" t="s">
        <v>104</v>
      </c>
      <c r="H10" s="22" t="n">
        <v>24</v>
      </c>
      <c r="I10" s="22" t="n">
        <v>5</v>
      </c>
      <c r="J10" s="23" t="n">
        <v>45961</v>
      </c>
      <c r="K10" s="23" t="n">
        <v>46111</v>
      </c>
      <c r="L10" s="20" t="s">
        <v>136</v>
      </c>
      <c r="M10" s="21" t="s">
        <v>137</v>
      </c>
      <c r="N10" s="16" t="n">
        <f aca="false">SUMIFS('All Emails'!$M$5:$M$1067,'All Emails'!$I$5:$I$1067,A10)</f>
        <v>14229</v>
      </c>
      <c r="O10" s="16" t="n">
        <f aca="false">IF(I10=0,0,N10/I10)</f>
        <v>2845.8</v>
      </c>
      <c r="P10" s="24" t="n">
        <f aca="false">IF(SUMIFS('All Emails'!$M$5:$M$1067,'All Emails'!$I$5:$I$1067,A10)=0,0,SUMIFS('All Emails'!$N$5:$N$1067,'All Emails'!$I$5:$I$1067,A10)/SUMIFS('All Emails'!$M$5:$M$1067,'All Emails'!$I$5:$I$1067,A10))</f>
        <v>0.135146531730972</v>
      </c>
      <c r="Q10" s="24" t="n">
        <f aca="false">IF(SUMIFS('All Emails'!$M$5:$M$1067,'All Emails'!$I$5:$I$1067,A10)=0,0,SUMIFS('All Emails'!$O$5:$O$1067,'All Emails'!$I$5:$I$1067,A10)/SUMIFS('All Emails'!$M$5:$M$1067,'All Emails'!$I$5:$I$1067,A10))</f>
        <v>0.0193267271066133</v>
      </c>
      <c r="R10" s="25" t="n">
        <f aca="false">IF(SUMIFS('All Emails'!$M$5:$M$1067,'All Emails'!$I$5:$I$1067,A10)=0,0,SUMIFS('All Emails'!$P$5:$P$1067,'All Emails'!$I$5:$I$1067,A10)/SUMIFS('All Emails'!$M$5:$M$1067,'All Emails'!$I$5:$I$1067,A10))</f>
        <v>0.00520064656687048</v>
      </c>
      <c r="S10" s="24" t="n">
        <f aca="false">IF(SUMIFS('All Emails'!$L$5:$L$1067,'All Emails'!$I$5:$I$1067,A10)=0,0,SUMIFS('All Emails'!$Q$5:$Q$1067,'All Emails'!$I$5:$I$1067,A10)/SUMIFS('All Emails'!$L$5:$L$1067,'All Emails'!$I$5:$I$1067,A10))</f>
        <v>0.00510418123339393</v>
      </c>
    </row>
    <row r="11" customFormat="false" ht="15" hidden="false" customHeight="false" outlineLevel="0" collapsed="false">
      <c r="A11" s="5" t="s">
        <v>138</v>
      </c>
      <c r="B11" s="13" t="s">
        <v>108</v>
      </c>
      <c r="C11" s="13" t="s">
        <v>126</v>
      </c>
      <c r="D11" s="20" t="s">
        <v>139</v>
      </c>
      <c r="E11" s="20" t="s">
        <v>128</v>
      </c>
      <c r="F11" s="20" t="s">
        <v>140</v>
      </c>
      <c r="G11" s="21" t="s">
        <v>141</v>
      </c>
      <c r="H11" s="22" t="n">
        <v>98</v>
      </c>
      <c r="I11" s="22" t="n">
        <v>2</v>
      </c>
      <c r="J11" s="23" t="n">
        <v>46113</v>
      </c>
      <c r="K11" s="23" t="n">
        <v>46211</v>
      </c>
      <c r="L11" s="20" t="s">
        <v>142</v>
      </c>
      <c r="M11" s="21" t="s">
        <v>106</v>
      </c>
      <c r="N11" s="16" t="n">
        <f aca="false">SUMIFS('All Emails'!$M$5:$M$1067,'All Emails'!$I$5:$I$1067,A11)</f>
        <v>5454</v>
      </c>
      <c r="O11" s="16" t="n">
        <f aca="false">IF(I11=0,0,N11/I11)</f>
        <v>2727</v>
      </c>
      <c r="P11" s="24" t="n">
        <f aca="false">IF(SUMIFS('All Emails'!$M$5:$M$1067,'All Emails'!$I$5:$I$1067,A11)=0,0,SUMIFS('All Emails'!$N$5:$N$1067,'All Emails'!$I$5:$I$1067,A11)/SUMIFS('All Emails'!$M$5:$M$1067,'All Emails'!$I$5:$I$1067,A11))</f>
        <v>0.262742940960763</v>
      </c>
      <c r="Q11" s="24" t="n">
        <f aca="false">IF(SUMIFS('All Emails'!$M$5:$M$1067,'All Emails'!$I$5:$I$1067,A11)=0,0,SUMIFS('All Emails'!$O$5:$O$1067,'All Emails'!$I$5:$I$1067,A11)/SUMIFS('All Emails'!$M$5:$M$1067,'All Emails'!$I$5:$I$1067,A11))</f>
        <v>0.0247524752475248</v>
      </c>
      <c r="R11" s="25" t="n">
        <f aca="false">IF(SUMIFS('All Emails'!$M$5:$M$1067,'All Emails'!$I$5:$I$1067,A11)=0,0,SUMIFS('All Emails'!$P$5:$P$1067,'All Emails'!$I$5:$I$1067,A11)/SUMIFS('All Emails'!$M$5:$M$1067,'All Emails'!$I$5:$I$1067,A11))</f>
        <v>0.00311697836450312</v>
      </c>
      <c r="S11" s="24" t="n">
        <f aca="false">IF(SUMIFS('All Emails'!$L$5:$L$1067,'All Emails'!$I$5:$I$1067,A11)=0,0,SUMIFS('All Emails'!$Q$5:$Q$1067,'All Emails'!$I$5:$I$1067,A11)/SUMIFS('All Emails'!$L$5:$L$1067,'All Emails'!$I$5:$I$1067,A11))</f>
        <v>0.00619533527696793</v>
      </c>
    </row>
    <row r="12" customFormat="false" ht="46.25" hidden="false" customHeight="false" outlineLevel="0" collapsed="false">
      <c r="A12" s="5" t="s">
        <v>143</v>
      </c>
      <c r="B12" s="13" t="s">
        <v>108</v>
      </c>
      <c r="C12" s="13" t="s">
        <v>144</v>
      </c>
      <c r="D12" s="20" t="s">
        <v>145</v>
      </c>
      <c r="E12" s="20" t="s">
        <v>146</v>
      </c>
      <c r="F12" s="20" t="s">
        <v>147</v>
      </c>
      <c r="G12" s="21" t="s">
        <v>148</v>
      </c>
      <c r="H12" s="22" t="n">
        <v>51</v>
      </c>
      <c r="I12" s="22" t="n">
        <v>7</v>
      </c>
      <c r="J12" s="23" t="n">
        <v>45960</v>
      </c>
      <c r="K12" s="23" t="n">
        <v>46269</v>
      </c>
      <c r="L12" s="20" t="s">
        <v>149</v>
      </c>
      <c r="M12" s="21" t="s">
        <v>106</v>
      </c>
      <c r="N12" s="16" t="n">
        <f aca="false">SUMIFS('All Emails'!$M$5:$M$1067,'All Emails'!$I$5:$I$1067,A12)</f>
        <v>17545</v>
      </c>
      <c r="O12" s="16" t="n">
        <f aca="false">IF(I12=0,0,N12/I12)</f>
        <v>2506.42857142857</v>
      </c>
      <c r="P12" s="24" t="n">
        <f aca="false">IF(SUMIFS('All Emails'!$M$5:$M$1067,'All Emails'!$I$5:$I$1067,A12)=0,0,SUMIFS('All Emails'!$N$5:$N$1067,'All Emails'!$I$5:$I$1067,A12)/SUMIFS('All Emails'!$M$5:$M$1067,'All Emails'!$I$5:$I$1067,A12))</f>
        <v>0.269934454260473</v>
      </c>
      <c r="Q12" s="24" t="n">
        <f aca="false">IF(SUMIFS('All Emails'!$M$5:$M$1067,'All Emails'!$I$5:$I$1067,A12)=0,0,SUMIFS('All Emails'!$O$5:$O$1067,'All Emails'!$I$5:$I$1067,A12)/SUMIFS('All Emails'!$M$5:$M$1067,'All Emails'!$I$5:$I$1067,A12))</f>
        <v>0.0194927329723568</v>
      </c>
      <c r="R12" s="25" t="n">
        <f aca="false">IF(SUMIFS('All Emails'!$M$5:$M$1067,'All Emails'!$I$5:$I$1067,A12)=0,0,SUMIFS('All Emails'!$P$5:$P$1067,'All Emails'!$I$5:$I$1067,A12)/SUMIFS('All Emails'!$M$5:$M$1067,'All Emails'!$I$5:$I$1067,A12))</f>
        <v>0.0123681960672556</v>
      </c>
      <c r="S12" s="24" t="n">
        <f aca="false">IF(SUMIFS('All Emails'!$L$5:$L$1067,'All Emails'!$I$5:$I$1067,A12)=0,0,SUMIFS('All Emails'!$Q$5:$Q$1067,'All Emails'!$I$5:$I$1067,A12)/SUMIFS('All Emails'!$L$5:$L$1067,'All Emails'!$I$5:$I$1067,A12))</f>
        <v>0.0252777777777778</v>
      </c>
    </row>
    <row r="13" customFormat="false" ht="23.85" hidden="false" customHeight="false" outlineLevel="0" collapsed="false">
      <c r="A13" s="5" t="s">
        <v>150</v>
      </c>
      <c r="B13" s="13" t="s">
        <v>108</v>
      </c>
      <c r="C13" s="13" t="s">
        <v>151</v>
      </c>
      <c r="D13" s="20" t="s">
        <v>152</v>
      </c>
      <c r="E13" s="20" t="s">
        <v>153</v>
      </c>
      <c r="F13" s="20" t="s">
        <v>154</v>
      </c>
      <c r="G13" s="21" t="s">
        <v>155</v>
      </c>
      <c r="H13" s="22" t="n">
        <v>14</v>
      </c>
      <c r="I13" s="22" t="n">
        <v>23</v>
      </c>
      <c r="J13" s="23" t="n">
        <v>45937</v>
      </c>
      <c r="K13" s="23" t="n">
        <v>46295</v>
      </c>
      <c r="L13" s="20" t="s">
        <v>156</v>
      </c>
      <c r="M13" s="21" t="s">
        <v>106</v>
      </c>
      <c r="N13" s="16" t="n">
        <f aca="false">SUMIFS('All Emails'!$M$5:$M$1067,'All Emails'!$I$5:$I$1067,A13)</f>
        <v>48917</v>
      </c>
      <c r="O13" s="16" t="n">
        <f aca="false">IF(I13=0,0,N13/I13)</f>
        <v>2126.82608695652</v>
      </c>
      <c r="P13" s="24" t="n">
        <f aca="false">IF(SUMIFS('All Emails'!$M$5:$M$1067,'All Emails'!$I$5:$I$1067,A13)=0,0,SUMIFS('All Emails'!$N$5:$N$1067,'All Emails'!$I$5:$I$1067,A13)/SUMIFS('All Emails'!$M$5:$M$1067,'All Emails'!$I$5:$I$1067,A13))</f>
        <v>0.292618108224135</v>
      </c>
      <c r="Q13" s="24" t="n">
        <f aca="false">IF(SUMIFS('All Emails'!$M$5:$M$1067,'All Emails'!$I$5:$I$1067,A13)=0,0,SUMIFS('All Emails'!$O$5:$O$1067,'All Emails'!$I$5:$I$1067,A13)/SUMIFS('All Emails'!$M$5:$M$1067,'All Emails'!$I$5:$I$1067,A13))</f>
        <v>0.0455260952225198</v>
      </c>
      <c r="R13" s="25" t="n">
        <f aca="false">IF(SUMIFS('All Emails'!$M$5:$M$1067,'All Emails'!$I$5:$I$1067,A13)=0,0,SUMIFS('All Emails'!$P$5:$P$1067,'All Emails'!$I$5:$I$1067,A13)/SUMIFS('All Emails'!$M$5:$M$1067,'All Emails'!$I$5:$I$1067,A13))</f>
        <v>0.00198295071243126</v>
      </c>
      <c r="S13" s="24" t="n">
        <f aca="false">IF(SUMIFS('All Emails'!$L$5:$L$1067,'All Emails'!$I$5:$I$1067,A13)=0,0,SUMIFS('All Emails'!$Q$5:$Q$1067,'All Emails'!$I$5:$I$1067,A13)/SUMIFS('All Emails'!$L$5:$L$1067,'All Emails'!$I$5:$I$1067,A13))</f>
        <v>0.0030367260424734</v>
      </c>
    </row>
    <row r="14" customFormat="false" ht="23.85" hidden="false" customHeight="false" outlineLevel="0" collapsed="false">
      <c r="A14" s="5" t="s">
        <v>157</v>
      </c>
      <c r="B14" s="13" t="s">
        <v>108</v>
      </c>
      <c r="C14" s="13" t="s">
        <v>158</v>
      </c>
      <c r="D14" s="20" t="s">
        <v>159</v>
      </c>
      <c r="E14" s="20" t="s">
        <v>160</v>
      </c>
      <c r="F14" s="20" t="s">
        <v>161</v>
      </c>
      <c r="G14" s="21" t="s">
        <v>104</v>
      </c>
      <c r="H14" s="22" t="n">
        <v>40</v>
      </c>
      <c r="I14" s="22" t="n">
        <v>9</v>
      </c>
      <c r="J14" s="23" t="n">
        <v>45933</v>
      </c>
      <c r="K14" s="23" t="n">
        <v>46266</v>
      </c>
      <c r="L14" s="20" t="s">
        <v>162</v>
      </c>
      <c r="M14" s="21" t="s">
        <v>106</v>
      </c>
      <c r="N14" s="16" t="n">
        <f aca="false">SUMIFS('All Emails'!$M$5:$M$1067,'All Emails'!$I$5:$I$1067,A14)</f>
        <v>14304</v>
      </c>
      <c r="O14" s="16" t="n">
        <f aca="false">IF(I14=0,0,N14/I14)</f>
        <v>1589.33333333333</v>
      </c>
      <c r="P14" s="24" t="n">
        <f aca="false">IF(SUMIFS('All Emails'!$M$5:$M$1067,'All Emails'!$I$5:$I$1067,A14)=0,0,SUMIFS('All Emails'!$N$5:$N$1067,'All Emails'!$I$5:$I$1067,A14)/SUMIFS('All Emails'!$M$5:$M$1067,'All Emails'!$I$5:$I$1067,A14))</f>
        <v>0.371504474272931</v>
      </c>
      <c r="Q14" s="24" t="n">
        <f aca="false">IF(SUMIFS('All Emails'!$M$5:$M$1067,'All Emails'!$I$5:$I$1067,A14)=0,0,SUMIFS('All Emails'!$O$5:$O$1067,'All Emails'!$I$5:$I$1067,A14)/SUMIFS('All Emails'!$M$5:$M$1067,'All Emails'!$I$5:$I$1067,A14))</f>
        <v>0.0401985458612975</v>
      </c>
      <c r="R14" s="25" t="n">
        <f aca="false">IF(SUMIFS('All Emails'!$M$5:$M$1067,'All Emails'!$I$5:$I$1067,A14)=0,0,SUMIFS('All Emails'!$P$5:$P$1067,'All Emails'!$I$5:$I$1067,A14)/SUMIFS('All Emails'!$M$5:$M$1067,'All Emails'!$I$5:$I$1067,A14))</f>
        <v>0.00657158836689038</v>
      </c>
      <c r="S14" s="24" t="n">
        <f aca="false">IF(SUMIFS('All Emails'!$L$5:$L$1067,'All Emails'!$I$5:$I$1067,A14)=0,0,SUMIFS('All Emails'!$Q$5:$Q$1067,'All Emails'!$I$5:$I$1067,A14)/SUMIFS('All Emails'!$L$5:$L$1067,'All Emails'!$I$5:$I$1067,A14))</f>
        <v>0.00921180218866879</v>
      </c>
    </row>
    <row r="15" customFormat="false" ht="23.85" hidden="false" customHeight="false" outlineLevel="0" collapsed="false">
      <c r="A15" s="5" t="s">
        <v>163</v>
      </c>
      <c r="B15" s="13" t="s">
        <v>108</v>
      </c>
      <c r="C15" s="13" t="s">
        <v>164</v>
      </c>
      <c r="D15" s="20" t="s">
        <v>165</v>
      </c>
      <c r="E15" s="20" t="s">
        <v>166</v>
      </c>
      <c r="F15" s="20" t="s">
        <v>167</v>
      </c>
      <c r="G15" s="21" t="s">
        <v>104</v>
      </c>
      <c r="H15" s="22" t="n">
        <v>31</v>
      </c>
      <c r="I15" s="22" t="n">
        <v>7</v>
      </c>
      <c r="J15" s="23" t="n">
        <v>46076</v>
      </c>
      <c r="K15" s="23" t="n">
        <v>46283</v>
      </c>
      <c r="L15" s="20" t="s">
        <v>168</v>
      </c>
      <c r="M15" s="21" t="s">
        <v>106</v>
      </c>
      <c r="N15" s="16" t="n">
        <f aca="false">SUMIFS('All Emails'!$M$5:$M$1067,'All Emails'!$I$5:$I$1067,A15)</f>
        <v>9344</v>
      </c>
      <c r="O15" s="16" t="n">
        <f aca="false">IF(I15=0,0,N15/I15)</f>
        <v>1334.85714285714</v>
      </c>
      <c r="P15" s="24" t="n">
        <f aca="false">IF(SUMIFS('All Emails'!$M$5:$M$1067,'All Emails'!$I$5:$I$1067,A15)=0,0,SUMIFS('All Emails'!$N$5:$N$1067,'All Emails'!$I$5:$I$1067,A15)/SUMIFS('All Emails'!$M$5:$M$1067,'All Emails'!$I$5:$I$1067,A15))</f>
        <v>0.427868150684932</v>
      </c>
      <c r="Q15" s="24" t="n">
        <f aca="false">IF(SUMIFS('All Emails'!$M$5:$M$1067,'All Emails'!$I$5:$I$1067,A15)=0,0,SUMIFS('All Emails'!$O$5:$O$1067,'All Emails'!$I$5:$I$1067,A15)/SUMIFS('All Emails'!$M$5:$M$1067,'All Emails'!$I$5:$I$1067,A15))</f>
        <v>0.0280393835616438</v>
      </c>
      <c r="R15" s="25" t="n">
        <f aca="false">IF(SUMIFS('All Emails'!$M$5:$M$1067,'All Emails'!$I$5:$I$1067,A15)=0,0,SUMIFS('All Emails'!$P$5:$P$1067,'All Emails'!$I$5:$I$1067,A15)/SUMIFS('All Emails'!$M$5:$M$1067,'All Emails'!$I$5:$I$1067,A15))</f>
        <v>0.00791952054794521</v>
      </c>
      <c r="S15" s="24" t="n">
        <f aca="false">IF(SUMIFS('All Emails'!$L$5:$L$1067,'All Emails'!$I$5:$I$1067,A15)=0,0,SUMIFS('All Emails'!$Q$5:$Q$1067,'All Emails'!$I$5:$I$1067,A15)/SUMIFS('All Emails'!$L$5:$L$1067,'All Emails'!$I$5:$I$1067,A15))</f>
        <v>0.0044747496271042</v>
      </c>
    </row>
    <row r="16" customFormat="false" ht="23.85" hidden="false" customHeight="false" outlineLevel="0" collapsed="false">
      <c r="A16" s="5" t="s">
        <v>169</v>
      </c>
      <c r="B16" s="13" t="s">
        <v>108</v>
      </c>
      <c r="C16" s="13" t="s">
        <v>170</v>
      </c>
      <c r="D16" s="20" t="s">
        <v>171</v>
      </c>
      <c r="E16" s="20" t="s">
        <v>172</v>
      </c>
      <c r="F16" s="20" t="s">
        <v>173</v>
      </c>
      <c r="G16" s="21" t="s">
        <v>104</v>
      </c>
      <c r="H16" s="22" t="n">
        <v>31</v>
      </c>
      <c r="I16" s="22" t="n">
        <v>12</v>
      </c>
      <c r="J16" s="23" t="n">
        <v>45961</v>
      </c>
      <c r="K16" s="23" t="n">
        <v>46295</v>
      </c>
      <c r="L16" s="20" t="s">
        <v>156</v>
      </c>
      <c r="M16" s="21" t="s">
        <v>106</v>
      </c>
      <c r="N16" s="16" t="n">
        <f aca="false">SUMIFS('All Emails'!$M$5:$M$1067,'All Emails'!$I$5:$I$1067,A16)</f>
        <v>11655</v>
      </c>
      <c r="O16" s="16" t="n">
        <f aca="false">IF(I16=0,0,N16/I16)</f>
        <v>971.25</v>
      </c>
      <c r="P16" s="24" t="n">
        <f aca="false">IF(SUMIFS('All Emails'!$M$5:$M$1067,'All Emails'!$I$5:$I$1067,A16)=0,0,SUMIFS('All Emails'!$N$5:$N$1067,'All Emails'!$I$5:$I$1067,A16)/SUMIFS('All Emails'!$M$5:$M$1067,'All Emails'!$I$5:$I$1067,A16))</f>
        <v>0.23998283998284</v>
      </c>
      <c r="Q16" s="24" t="n">
        <f aca="false">IF(SUMIFS('All Emails'!$M$5:$M$1067,'All Emails'!$I$5:$I$1067,A16)=0,0,SUMIFS('All Emails'!$O$5:$O$1067,'All Emails'!$I$5:$I$1067,A16)/SUMIFS('All Emails'!$M$5:$M$1067,'All Emails'!$I$5:$I$1067,A16))</f>
        <v>0.0181896181896182</v>
      </c>
      <c r="R16" s="25" t="n">
        <f aca="false">IF(SUMIFS('All Emails'!$M$5:$M$1067,'All Emails'!$I$5:$I$1067,A16)=0,0,SUMIFS('All Emails'!$P$5:$P$1067,'All Emails'!$I$5:$I$1067,A16)/SUMIFS('All Emails'!$M$5:$M$1067,'All Emails'!$I$5:$I$1067,A16))</f>
        <v>0.0096954096954097</v>
      </c>
      <c r="S16" s="24" t="n">
        <f aca="false">IF(SUMIFS('All Emails'!$L$5:$L$1067,'All Emails'!$I$5:$I$1067,A16)=0,0,SUMIFS('All Emails'!$Q$5:$Q$1067,'All Emails'!$I$5:$I$1067,A16)/SUMIFS('All Emails'!$L$5:$L$1067,'All Emails'!$I$5:$I$1067,A16))</f>
        <v>0.0121206984234616</v>
      </c>
    </row>
    <row r="17" customFormat="false" ht="15" hidden="false" customHeight="false" outlineLevel="0" collapsed="false">
      <c r="A17" s="5" t="s">
        <v>174</v>
      </c>
      <c r="B17" s="13" t="s">
        <v>108</v>
      </c>
      <c r="C17" s="13" t="s">
        <v>164</v>
      </c>
      <c r="D17" s="20" t="s">
        <v>166</v>
      </c>
      <c r="E17" s="20" t="s">
        <v>166</v>
      </c>
      <c r="F17" s="20" t="s">
        <v>175</v>
      </c>
      <c r="G17" s="21" t="s">
        <v>104</v>
      </c>
      <c r="H17" s="22" t="n">
        <v>30</v>
      </c>
      <c r="I17" s="22" t="n">
        <v>4</v>
      </c>
      <c r="J17" s="23" t="n">
        <v>45944</v>
      </c>
      <c r="K17" s="23" t="n">
        <v>46036</v>
      </c>
      <c r="L17" s="20" t="s">
        <v>176</v>
      </c>
      <c r="M17" s="21" t="s">
        <v>137</v>
      </c>
      <c r="N17" s="16" t="n">
        <f aca="false">SUMIFS('All Emails'!$M$5:$M$1067,'All Emails'!$I$5:$I$1067,A17)</f>
        <v>3384</v>
      </c>
      <c r="O17" s="16" t="n">
        <f aca="false">IF(I17=0,0,N17/I17)</f>
        <v>846</v>
      </c>
      <c r="P17" s="24" t="n">
        <f aca="false">IF(SUMIFS('All Emails'!$M$5:$M$1067,'All Emails'!$I$5:$I$1067,A17)=0,0,SUMIFS('All Emails'!$N$5:$N$1067,'All Emails'!$I$5:$I$1067,A17)/SUMIFS('All Emails'!$M$5:$M$1067,'All Emails'!$I$5:$I$1067,A17))</f>
        <v>0.518321513002364</v>
      </c>
      <c r="Q17" s="24" t="n">
        <f aca="false">IF(SUMIFS('All Emails'!$M$5:$M$1067,'All Emails'!$I$5:$I$1067,A17)=0,0,SUMIFS('All Emails'!$O$5:$O$1067,'All Emails'!$I$5:$I$1067,A17)/SUMIFS('All Emails'!$M$5:$M$1067,'All Emails'!$I$5:$I$1067,A17))</f>
        <v>0.033983451536643</v>
      </c>
      <c r="R17" s="25" t="n">
        <f aca="false">IF(SUMIFS('All Emails'!$M$5:$M$1067,'All Emails'!$I$5:$I$1067,A17)=0,0,SUMIFS('All Emails'!$P$5:$P$1067,'All Emails'!$I$5:$I$1067,A17)/SUMIFS('All Emails'!$M$5:$M$1067,'All Emails'!$I$5:$I$1067,A17))</f>
        <v>0.00472813238770686</v>
      </c>
      <c r="S17" s="24" t="n">
        <f aca="false">IF(SUMIFS('All Emails'!$L$5:$L$1067,'All Emails'!$I$5:$I$1067,A17)=0,0,SUMIFS('All Emails'!$Q$5:$Q$1067,'All Emails'!$I$5:$I$1067,A17)/SUMIFS('All Emails'!$L$5:$L$1067,'All Emails'!$I$5:$I$1067,A17))</f>
        <v>0.00412007062978223</v>
      </c>
    </row>
    <row r="18" customFormat="false" ht="15" hidden="false" customHeight="false" outlineLevel="0" collapsed="false">
      <c r="A18" s="5" t="s">
        <v>177</v>
      </c>
      <c r="B18" s="13" t="s">
        <v>108</v>
      </c>
      <c r="C18" s="13" t="s">
        <v>126</v>
      </c>
      <c r="D18" s="20" t="s">
        <v>127</v>
      </c>
      <c r="E18" s="20" t="s">
        <v>178</v>
      </c>
      <c r="F18" s="20" t="s">
        <v>140</v>
      </c>
      <c r="G18" s="21" t="s">
        <v>148</v>
      </c>
      <c r="H18" s="22" t="n">
        <v>65</v>
      </c>
      <c r="I18" s="22" t="n">
        <v>2</v>
      </c>
      <c r="J18" s="23" t="n">
        <v>46131</v>
      </c>
      <c r="K18" s="23" t="n">
        <v>46196</v>
      </c>
      <c r="L18" s="20" t="s">
        <v>179</v>
      </c>
      <c r="M18" s="21" t="s">
        <v>137</v>
      </c>
      <c r="N18" s="16" t="n">
        <f aca="false">SUMIFS('All Emails'!$M$5:$M$1067,'All Emails'!$I$5:$I$1067,A18)</f>
        <v>564</v>
      </c>
      <c r="O18" s="16" t="n">
        <f aca="false">IF(I18=0,0,N18/I18)</f>
        <v>282</v>
      </c>
      <c r="P18" s="24" t="n">
        <f aca="false">IF(SUMIFS('All Emails'!$M$5:$M$1067,'All Emails'!$I$5:$I$1067,A18)=0,0,SUMIFS('All Emails'!$N$5:$N$1067,'All Emails'!$I$5:$I$1067,A18)/SUMIFS('All Emails'!$M$5:$M$1067,'All Emails'!$I$5:$I$1067,A18))</f>
        <v>0.358156028368794</v>
      </c>
      <c r="Q18" s="24" t="n">
        <f aca="false">IF(SUMIFS('All Emails'!$M$5:$M$1067,'All Emails'!$I$5:$I$1067,A18)=0,0,SUMIFS('All Emails'!$O$5:$O$1067,'All Emails'!$I$5:$I$1067,A18)/SUMIFS('All Emails'!$M$5:$M$1067,'All Emails'!$I$5:$I$1067,A18))</f>
        <v>0.0620567375886525</v>
      </c>
      <c r="R18" s="25" t="n">
        <f aca="false">IF(SUMIFS('All Emails'!$M$5:$M$1067,'All Emails'!$I$5:$I$1067,A18)=0,0,SUMIFS('All Emails'!$P$5:$P$1067,'All Emails'!$I$5:$I$1067,A18)/SUMIFS('All Emails'!$M$5:$M$1067,'All Emails'!$I$5:$I$1067,A18))</f>
        <v>0.00531914893617021</v>
      </c>
      <c r="S18" s="24" t="n">
        <f aca="false">IF(SUMIFS('All Emails'!$L$5:$L$1067,'All Emails'!$I$5:$I$1067,A18)=0,0,SUMIFS('All Emails'!$Q$5:$Q$1067,'All Emails'!$I$5:$I$1067,A18)/SUMIFS('All Emails'!$L$5:$L$1067,'All Emails'!$I$5:$I$1067,A18))</f>
        <v>0.013986013986014</v>
      </c>
    </row>
    <row r="19" customFormat="false" ht="15" hidden="false" customHeight="false" outlineLevel="0" collapsed="false">
      <c r="A19" s="5" t="s">
        <v>180</v>
      </c>
      <c r="B19" s="13" t="s">
        <v>108</v>
      </c>
      <c r="C19" s="13" t="s">
        <v>164</v>
      </c>
      <c r="D19" s="20" t="s">
        <v>166</v>
      </c>
      <c r="E19" s="20" t="s">
        <v>166</v>
      </c>
      <c r="F19" s="20" t="s">
        <v>181</v>
      </c>
      <c r="G19" s="21" t="s">
        <v>104</v>
      </c>
      <c r="H19" s="22" t="n">
        <v>33</v>
      </c>
      <c r="I19" s="22" t="n">
        <v>2</v>
      </c>
      <c r="J19" s="23" t="n">
        <v>45973</v>
      </c>
      <c r="K19" s="23" t="n">
        <v>46006</v>
      </c>
      <c r="L19" s="20" t="s">
        <v>182</v>
      </c>
      <c r="M19" s="21" t="s">
        <v>137</v>
      </c>
      <c r="N19" s="16" t="n">
        <f aca="false">SUMIFS('All Emails'!$M$5:$M$1067,'All Emails'!$I$5:$I$1067,A19)</f>
        <v>257</v>
      </c>
      <c r="O19" s="16" t="n">
        <f aca="false">IF(I19=0,0,N19/I19)</f>
        <v>128.5</v>
      </c>
      <c r="P19" s="24" t="n">
        <f aca="false">IF(SUMIFS('All Emails'!$M$5:$M$1067,'All Emails'!$I$5:$I$1067,A19)=0,0,SUMIFS('All Emails'!$N$5:$N$1067,'All Emails'!$I$5:$I$1067,A19)/SUMIFS('All Emails'!$M$5:$M$1067,'All Emails'!$I$5:$I$1067,A19))</f>
        <v>0.501945525291829</v>
      </c>
      <c r="Q19" s="24" t="n">
        <f aca="false">IF(SUMIFS('All Emails'!$M$5:$M$1067,'All Emails'!$I$5:$I$1067,A19)=0,0,SUMIFS('All Emails'!$O$5:$O$1067,'All Emails'!$I$5:$I$1067,A19)/SUMIFS('All Emails'!$M$5:$M$1067,'All Emails'!$I$5:$I$1067,A19))</f>
        <v>0.108949416342412</v>
      </c>
      <c r="R19" s="25" t="n">
        <f aca="false">IF(SUMIFS('All Emails'!$M$5:$M$1067,'All Emails'!$I$5:$I$1067,A19)=0,0,SUMIFS('All Emails'!$P$5:$P$1067,'All Emails'!$I$5:$I$1067,A19)/SUMIFS('All Emails'!$M$5:$M$1067,'All Emails'!$I$5:$I$1067,A19))</f>
        <v>0</v>
      </c>
      <c r="S19" s="24" t="n">
        <f aca="false">IF(SUMIFS('All Emails'!$L$5:$L$1067,'All Emails'!$I$5:$I$1067,A19)=0,0,SUMIFS('All Emails'!$Q$5:$Q$1067,'All Emails'!$I$5:$I$1067,A19)/SUMIFS('All Emails'!$L$5:$L$1067,'All Emails'!$I$5:$I$1067,A19))</f>
        <v>0</v>
      </c>
    </row>
    <row r="20" customFormat="false" ht="23.85" hidden="false" customHeight="false" outlineLevel="0" collapsed="false">
      <c r="A20" s="5" t="s">
        <v>183</v>
      </c>
      <c r="B20" s="13" t="s">
        <v>108</v>
      </c>
      <c r="C20" s="13" t="s">
        <v>184</v>
      </c>
      <c r="D20" s="20" t="s">
        <v>185</v>
      </c>
      <c r="E20" s="20" t="s">
        <v>186</v>
      </c>
      <c r="F20" s="20" t="s">
        <v>187</v>
      </c>
      <c r="G20" s="21" t="s">
        <v>141</v>
      </c>
      <c r="H20" s="22" t="n">
        <v>92</v>
      </c>
      <c r="I20" s="22" t="n">
        <v>4</v>
      </c>
      <c r="J20" s="23" t="n">
        <v>45938</v>
      </c>
      <c r="K20" s="23" t="n">
        <v>46210</v>
      </c>
      <c r="L20" s="20" t="s">
        <v>188</v>
      </c>
      <c r="M20" s="21" t="s">
        <v>106</v>
      </c>
      <c r="N20" s="16" t="n">
        <f aca="false">SUMIFS('All Emails'!$M$5:$M$1067,'All Emails'!$I$5:$I$1067,A20)</f>
        <v>282</v>
      </c>
      <c r="O20" s="16" t="n">
        <f aca="false">IF(I20=0,0,N20/I20)</f>
        <v>70.5</v>
      </c>
      <c r="P20" s="24" t="n">
        <f aca="false">IF(SUMIFS('All Emails'!$M$5:$M$1067,'All Emails'!$I$5:$I$1067,A20)=0,0,SUMIFS('All Emails'!$N$5:$N$1067,'All Emails'!$I$5:$I$1067,A20)/SUMIFS('All Emails'!$M$5:$M$1067,'All Emails'!$I$5:$I$1067,A20))</f>
        <v>0.432624113475177</v>
      </c>
      <c r="Q20" s="24" t="n">
        <f aca="false">IF(SUMIFS('All Emails'!$M$5:$M$1067,'All Emails'!$I$5:$I$1067,A20)=0,0,SUMIFS('All Emails'!$O$5:$O$1067,'All Emails'!$I$5:$I$1067,A20)/SUMIFS('All Emails'!$M$5:$M$1067,'All Emails'!$I$5:$I$1067,A20))</f>
        <v>0.0460992907801418</v>
      </c>
      <c r="R20" s="25" t="n">
        <f aca="false">IF(SUMIFS('All Emails'!$M$5:$M$1067,'All Emails'!$I$5:$I$1067,A20)=0,0,SUMIFS('All Emails'!$P$5:$P$1067,'All Emails'!$I$5:$I$1067,A20)/SUMIFS('All Emails'!$M$5:$M$1067,'All Emails'!$I$5:$I$1067,A20))</f>
        <v>0</v>
      </c>
      <c r="S20" s="24" t="n">
        <f aca="false">IF(SUMIFS('All Emails'!$L$5:$L$1067,'All Emails'!$I$5:$I$1067,A20)=0,0,SUMIFS('All Emails'!$Q$5:$Q$1067,'All Emails'!$I$5:$I$1067,A20)/SUMIFS('All Emails'!$L$5:$L$1067,'All Emails'!$I$5:$I$1067,A20))</f>
        <v>0.00353356890459364</v>
      </c>
    </row>
    <row r="21" customFormat="false" ht="15" hidden="false" customHeight="false" outlineLevel="0" collapsed="false">
      <c r="A21" s="5" t="s">
        <v>189</v>
      </c>
      <c r="B21" s="13" t="s">
        <v>190</v>
      </c>
      <c r="C21" s="13" t="s">
        <v>191</v>
      </c>
      <c r="D21" s="20" t="s">
        <v>192</v>
      </c>
      <c r="E21" s="20" t="s">
        <v>193</v>
      </c>
      <c r="F21" s="20" t="s">
        <v>194</v>
      </c>
      <c r="G21" s="21" t="s">
        <v>195</v>
      </c>
      <c r="H21" s="22"/>
      <c r="I21" s="22" t="n">
        <v>1</v>
      </c>
      <c r="J21" s="23" t="n">
        <v>46140</v>
      </c>
      <c r="K21" s="23" t="n">
        <v>46140</v>
      </c>
      <c r="L21" s="20" t="s">
        <v>196</v>
      </c>
      <c r="M21" s="21" t="s">
        <v>137</v>
      </c>
      <c r="N21" s="16" t="n">
        <f aca="false">SUMIFS('All Emails'!$M$5:$M$1067,'All Emails'!$I$5:$I$1067,A21)</f>
        <v>6533</v>
      </c>
      <c r="O21" s="16" t="n">
        <f aca="false">IF(I21=0,0,N21/I21)</f>
        <v>6533</v>
      </c>
      <c r="P21" s="24" t="n">
        <f aca="false">IF(SUMIFS('All Emails'!$M$5:$M$1067,'All Emails'!$I$5:$I$1067,A21)=0,0,SUMIFS('All Emails'!$N$5:$N$1067,'All Emails'!$I$5:$I$1067,A21)/SUMIFS('All Emails'!$M$5:$M$1067,'All Emails'!$I$5:$I$1067,A21))</f>
        <v>0.299249961732742</v>
      </c>
      <c r="Q21" s="24" t="n">
        <f aca="false">IF(SUMIFS('All Emails'!$M$5:$M$1067,'All Emails'!$I$5:$I$1067,A21)=0,0,SUMIFS('All Emails'!$O$5:$O$1067,'All Emails'!$I$5:$I$1067,A21)/SUMIFS('All Emails'!$M$5:$M$1067,'All Emails'!$I$5:$I$1067,A21))</f>
        <v>0.0151538343793051</v>
      </c>
      <c r="R21" s="25" t="n">
        <f aca="false">IF(SUMIFS('All Emails'!$M$5:$M$1067,'All Emails'!$I$5:$I$1067,A21)=0,0,SUMIFS('All Emails'!$P$5:$P$1067,'All Emails'!$I$5:$I$1067,A21)/SUMIFS('All Emails'!$M$5:$M$1067,'All Emails'!$I$5:$I$1067,A21))</f>
        <v>0.0125516607990204</v>
      </c>
      <c r="S21" s="24" t="n">
        <f aca="false">IF(SUMIFS('All Emails'!$L$5:$L$1067,'All Emails'!$I$5:$I$1067,A21)=0,0,SUMIFS('All Emails'!$Q$5:$Q$1067,'All Emails'!$I$5:$I$1067,A21)/SUMIFS('All Emails'!$L$5:$L$1067,'All Emails'!$I$5:$I$1067,A21))</f>
        <v>0.0162626110525523</v>
      </c>
    </row>
    <row r="22" customFormat="false" ht="15" hidden="false" customHeight="false" outlineLevel="0" collapsed="false">
      <c r="A22" s="5" t="s">
        <v>197</v>
      </c>
      <c r="B22" s="13" t="s">
        <v>190</v>
      </c>
      <c r="C22" s="13" t="s">
        <v>191</v>
      </c>
      <c r="D22" s="20" t="s">
        <v>198</v>
      </c>
      <c r="E22" s="20" t="s">
        <v>199</v>
      </c>
      <c r="F22" s="20" t="s">
        <v>200</v>
      </c>
      <c r="G22" s="21" t="s">
        <v>141</v>
      </c>
      <c r="H22" s="22" t="n">
        <v>98</v>
      </c>
      <c r="I22" s="22" t="n">
        <v>4</v>
      </c>
      <c r="J22" s="23" t="n">
        <v>45945</v>
      </c>
      <c r="K22" s="23" t="n">
        <v>46226</v>
      </c>
      <c r="L22" s="20" t="s">
        <v>201</v>
      </c>
      <c r="M22" s="21" t="s">
        <v>106</v>
      </c>
      <c r="N22" s="16" t="n">
        <f aca="false">SUMIFS('All Emails'!$M$5:$M$1067,'All Emails'!$I$5:$I$1067,A22)</f>
        <v>23498</v>
      </c>
      <c r="O22" s="16" t="n">
        <f aca="false">IF(I22=0,0,N22/I22)</f>
        <v>5874.5</v>
      </c>
      <c r="P22" s="24" t="n">
        <f aca="false">IF(SUMIFS('All Emails'!$M$5:$M$1067,'All Emails'!$I$5:$I$1067,A22)=0,0,SUMIFS('All Emails'!$N$5:$N$1067,'All Emails'!$I$5:$I$1067,A22)/SUMIFS('All Emails'!$M$5:$M$1067,'All Emails'!$I$5:$I$1067,A22))</f>
        <v>0.287769171844412</v>
      </c>
      <c r="Q22" s="24" t="n">
        <f aca="false">IF(SUMIFS('All Emails'!$M$5:$M$1067,'All Emails'!$I$5:$I$1067,A22)=0,0,SUMIFS('All Emails'!$O$5:$O$1067,'All Emails'!$I$5:$I$1067,A22)/SUMIFS('All Emails'!$M$5:$M$1067,'All Emails'!$I$5:$I$1067,A22))</f>
        <v>0.0117031236700996</v>
      </c>
      <c r="R22" s="25" t="n">
        <f aca="false">IF(SUMIFS('All Emails'!$M$5:$M$1067,'All Emails'!$I$5:$I$1067,A22)=0,0,SUMIFS('All Emails'!$P$5:$P$1067,'All Emails'!$I$5:$I$1067,A22)/SUMIFS('All Emails'!$M$5:$M$1067,'All Emails'!$I$5:$I$1067,A22))</f>
        <v>0.007660226402247</v>
      </c>
      <c r="S22" s="24" t="n">
        <f aca="false">IF(SUMIFS('All Emails'!$L$5:$L$1067,'All Emails'!$I$5:$I$1067,A22)=0,0,SUMIFS('All Emails'!$Q$5:$Q$1067,'All Emails'!$I$5:$I$1067,A22)/SUMIFS('All Emails'!$L$5:$L$1067,'All Emails'!$I$5:$I$1067,A22))</f>
        <v>0.0144283197718312</v>
      </c>
    </row>
    <row r="23" customFormat="false" ht="15" hidden="false" customHeight="false" outlineLevel="0" collapsed="false">
      <c r="A23" s="5" t="s">
        <v>202</v>
      </c>
      <c r="B23" s="13" t="s">
        <v>190</v>
      </c>
      <c r="C23" s="13" t="s">
        <v>191</v>
      </c>
      <c r="D23" s="20" t="s">
        <v>203</v>
      </c>
      <c r="E23" s="20" t="s">
        <v>203</v>
      </c>
      <c r="F23" s="20" t="s">
        <v>204</v>
      </c>
      <c r="G23" s="21" t="s">
        <v>205</v>
      </c>
      <c r="H23" s="22" t="n">
        <v>50</v>
      </c>
      <c r="I23" s="22" t="n">
        <v>2</v>
      </c>
      <c r="J23" s="23" t="n">
        <v>46238</v>
      </c>
      <c r="K23" s="23" t="n">
        <v>46288</v>
      </c>
      <c r="L23" s="20" t="s">
        <v>206</v>
      </c>
      <c r="M23" s="21" t="s">
        <v>106</v>
      </c>
      <c r="N23" s="16" t="n">
        <f aca="false">SUMIFS('All Emails'!$M$5:$M$1067,'All Emails'!$I$5:$I$1067,A23)</f>
        <v>9717</v>
      </c>
      <c r="O23" s="16" t="n">
        <f aca="false">IF(I23=0,0,N23/I23)</f>
        <v>4858.5</v>
      </c>
      <c r="P23" s="24" t="n">
        <f aca="false">IF(SUMIFS('All Emails'!$M$5:$M$1067,'All Emails'!$I$5:$I$1067,A23)=0,0,SUMIFS('All Emails'!$N$5:$N$1067,'All Emails'!$I$5:$I$1067,A23)/SUMIFS('All Emails'!$M$5:$M$1067,'All Emails'!$I$5:$I$1067,A23))</f>
        <v>0.35237213131625</v>
      </c>
      <c r="Q23" s="24" t="n">
        <f aca="false">IF(SUMIFS('All Emails'!$M$5:$M$1067,'All Emails'!$I$5:$I$1067,A23)=0,0,SUMIFS('All Emails'!$O$5:$O$1067,'All Emails'!$I$5:$I$1067,A23)/SUMIFS('All Emails'!$M$5:$M$1067,'All Emails'!$I$5:$I$1067,A23))</f>
        <v>0.0072038695070495</v>
      </c>
      <c r="R23" s="25" t="n">
        <f aca="false">IF(SUMIFS('All Emails'!$M$5:$M$1067,'All Emails'!$I$5:$I$1067,A23)=0,0,SUMIFS('All Emails'!$P$5:$P$1067,'All Emails'!$I$5:$I$1067,A23)/SUMIFS('All Emails'!$M$5:$M$1067,'All Emails'!$I$5:$I$1067,A23))</f>
        <v>0.0138931769064526</v>
      </c>
      <c r="S23" s="24" t="n">
        <f aca="false">IF(SUMIFS('All Emails'!$L$5:$L$1067,'All Emails'!$I$5:$I$1067,A23)=0,0,SUMIFS('All Emails'!$Q$5:$Q$1067,'All Emails'!$I$5:$I$1067,A23)/SUMIFS('All Emails'!$L$5:$L$1067,'All Emails'!$I$5:$I$1067,A23))</f>
        <v>0.0125</v>
      </c>
    </row>
    <row r="24" customFormat="false" ht="23.85" hidden="false" customHeight="false" outlineLevel="0" collapsed="false">
      <c r="A24" s="5" t="s">
        <v>207</v>
      </c>
      <c r="B24" s="13" t="s">
        <v>190</v>
      </c>
      <c r="C24" s="13" t="s">
        <v>191</v>
      </c>
      <c r="D24" s="20" t="s">
        <v>208</v>
      </c>
      <c r="E24" s="20" t="s">
        <v>193</v>
      </c>
      <c r="F24" s="20" t="s">
        <v>209</v>
      </c>
      <c r="G24" s="21" t="s">
        <v>210</v>
      </c>
      <c r="H24" s="22" t="n">
        <v>266</v>
      </c>
      <c r="I24" s="22" t="n">
        <v>2</v>
      </c>
      <c r="J24" s="23" t="n">
        <v>45931</v>
      </c>
      <c r="K24" s="23" t="n">
        <v>46197</v>
      </c>
      <c r="L24" s="20" t="s">
        <v>211</v>
      </c>
      <c r="M24" s="21" t="s">
        <v>137</v>
      </c>
      <c r="N24" s="16" t="n">
        <f aca="false">SUMIFS('All Emails'!$M$5:$M$1067,'All Emails'!$I$5:$I$1067,A24)</f>
        <v>6327</v>
      </c>
      <c r="O24" s="16" t="n">
        <f aca="false">IF(I24=0,0,N24/I24)</f>
        <v>3163.5</v>
      </c>
      <c r="P24" s="24" t="n">
        <f aca="false">IF(SUMIFS('All Emails'!$M$5:$M$1067,'All Emails'!$I$5:$I$1067,A24)=0,0,SUMIFS('All Emails'!$N$5:$N$1067,'All Emails'!$I$5:$I$1067,A24)/SUMIFS('All Emails'!$M$5:$M$1067,'All Emails'!$I$5:$I$1067,A24))</f>
        <v>0.306464359095938</v>
      </c>
      <c r="Q24" s="24" t="n">
        <f aca="false">IF(SUMIFS('All Emails'!$M$5:$M$1067,'All Emails'!$I$5:$I$1067,A24)=0,0,SUMIFS('All Emails'!$O$5:$O$1067,'All Emails'!$I$5:$I$1067,A24)/SUMIFS('All Emails'!$M$5:$M$1067,'All Emails'!$I$5:$I$1067,A24))</f>
        <v>0.0161213845424372</v>
      </c>
      <c r="R24" s="25" t="n">
        <f aca="false">IF(SUMIFS('All Emails'!$M$5:$M$1067,'All Emails'!$I$5:$I$1067,A24)=0,0,SUMIFS('All Emails'!$P$5:$P$1067,'All Emails'!$I$5:$I$1067,A24)/SUMIFS('All Emails'!$M$5:$M$1067,'All Emails'!$I$5:$I$1067,A24))</f>
        <v>0.0085348506401138</v>
      </c>
      <c r="S24" s="24" t="n">
        <f aca="false">IF(SUMIFS('All Emails'!$L$5:$L$1067,'All Emails'!$I$5:$I$1067,A24)=0,0,SUMIFS('All Emails'!$Q$5:$Q$1067,'All Emails'!$I$5:$I$1067,A24)/SUMIFS('All Emails'!$L$5:$L$1067,'All Emails'!$I$5:$I$1067,A24))</f>
        <v>0.0138715710723192</v>
      </c>
    </row>
    <row r="25" customFormat="false" ht="23.85" hidden="false" customHeight="false" outlineLevel="0" collapsed="false">
      <c r="A25" s="5" t="s">
        <v>212</v>
      </c>
      <c r="B25" s="13" t="s">
        <v>190</v>
      </c>
      <c r="C25" s="13" t="s">
        <v>191</v>
      </c>
      <c r="D25" s="20" t="s">
        <v>213</v>
      </c>
      <c r="E25" s="20" t="s">
        <v>186</v>
      </c>
      <c r="F25" s="20" t="s">
        <v>214</v>
      </c>
      <c r="G25" s="21" t="s">
        <v>141</v>
      </c>
      <c r="H25" s="22" t="n">
        <v>78</v>
      </c>
      <c r="I25" s="22" t="n">
        <v>3</v>
      </c>
      <c r="J25" s="23" t="n">
        <v>46052</v>
      </c>
      <c r="K25" s="23" t="n">
        <v>46209</v>
      </c>
      <c r="L25" s="20" t="s">
        <v>215</v>
      </c>
      <c r="M25" s="21" t="s">
        <v>106</v>
      </c>
      <c r="N25" s="16" t="n">
        <f aca="false">SUMIFS('All Emails'!$M$5:$M$1067,'All Emails'!$I$5:$I$1067,A25)</f>
        <v>8979</v>
      </c>
      <c r="O25" s="16" t="n">
        <f aca="false">IF(I25=0,0,N25/I25)</f>
        <v>2993</v>
      </c>
      <c r="P25" s="24" t="n">
        <f aca="false">IF(SUMIFS('All Emails'!$M$5:$M$1067,'All Emails'!$I$5:$I$1067,A25)=0,0,SUMIFS('All Emails'!$N$5:$N$1067,'All Emails'!$I$5:$I$1067,A25)/SUMIFS('All Emails'!$M$5:$M$1067,'All Emails'!$I$5:$I$1067,A25))</f>
        <v>0.13175186546386</v>
      </c>
      <c r="Q25" s="24" t="n">
        <f aca="false">IF(SUMIFS('All Emails'!$M$5:$M$1067,'All Emails'!$I$5:$I$1067,A25)=0,0,SUMIFS('All Emails'!$O$5:$O$1067,'All Emails'!$I$5:$I$1067,A25)/SUMIFS('All Emails'!$M$5:$M$1067,'All Emails'!$I$5:$I$1067,A25))</f>
        <v>0.012919033299922</v>
      </c>
      <c r="R25" s="25" t="n">
        <f aca="false">IF(SUMIFS('All Emails'!$M$5:$M$1067,'All Emails'!$I$5:$I$1067,A25)=0,0,SUMIFS('All Emails'!$P$5:$P$1067,'All Emails'!$I$5:$I$1067,A25)/SUMIFS('All Emails'!$M$5:$M$1067,'All Emails'!$I$5:$I$1067,A25))</f>
        <v>0.00612540371979062</v>
      </c>
      <c r="S25" s="24" t="n">
        <f aca="false">IF(SUMIFS('All Emails'!$L$5:$L$1067,'All Emails'!$I$5:$I$1067,A25)=0,0,SUMIFS('All Emails'!$Q$5:$Q$1067,'All Emails'!$I$5:$I$1067,A25)/SUMIFS('All Emails'!$L$5:$L$1067,'All Emails'!$I$5:$I$1067,A25))</f>
        <v>0.0183666775992129</v>
      </c>
    </row>
    <row r="26" customFormat="false" ht="15" hidden="false" customHeight="false" outlineLevel="0" collapsed="false">
      <c r="A26" s="5" t="s">
        <v>216</v>
      </c>
      <c r="B26" s="13" t="s">
        <v>190</v>
      </c>
      <c r="C26" s="13" t="s">
        <v>191</v>
      </c>
      <c r="D26" s="20" t="s">
        <v>217</v>
      </c>
      <c r="E26" s="20" t="s">
        <v>193</v>
      </c>
      <c r="F26" s="20" t="s">
        <v>218</v>
      </c>
      <c r="G26" s="21" t="s">
        <v>141</v>
      </c>
      <c r="H26" s="22" t="n">
        <v>108</v>
      </c>
      <c r="I26" s="22" t="n">
        <v>3</v>
      </c>
      <c r="J26" s="23" t="n">
        <v>45988</v>
      </c>
      <c r="K26" s="23" t="n">
        <v>46204</v>
      </c>
      <c r="L26" s="20" t="s">
        <v>219</v>
      </c>
      <c r="M26" s="21" t="s">
        <v>106</v>
      </c>
      <c r="N26" s="16" t="n">
        <f aca="false">SUMIFS('All Emails'!$M$5:$M$1067,'All Emails'!$I$5:$I$1067,A26)</f>
        <v>8252</v>
      </c>
      <c r="O26" s="16" t="n">
        <f aca="false">IF(I26=0,0,N26/I26)</f>
        <v>2750.66666666667</v>
      </c>
      <c r="P26" s="24" t="n">
        <f aca="false">IF(SUMIFS('All Emails'!$M$5:$M$1067,'All Emails'!$I$5:$I$1067,A26)=0,0,SUMIFS('All Emails'!$N$5:$N$1067,'All Emails'!$I$5:$I$1067,A26)/SUMIFS('All Emails'!$M$5:$M$1067,'All Emails'!$I$5:$I$1067,A26))</f>
        <v>0.181652932622395</v>
      </c>
      <c r="Q26" s="24" t="n">
        <f aca="false">IF(SUMIFS('All Emails'!$M$5:$M$1067,'All Emails'!$I$5:$I$1067,A26)=0,0,SUMIFS('All Emails'!$O$5:$O$1067,'All Emails'!$I$5:$I$1067,A26)/SUMIFS('All Emails'!$M$5:$M$1067,'All Emails'!$I$5:$I$1067,A26))</f>
        <v>0.0106640814348037</v>
      </c>
      <c r="R26" s="25" t="n">
        <f aca="false">IF(SUMIFS('All Emails'!$M$5:$M$1067,'All Emails'!$I$5:$I$1067,A26)=0,0,SUMIFS('All Emails'!$P$5:$P$1067,'All Emails'!$I$5:$I$1067,A26)/SUMIFS('All Emails'!$M$5:$M$1067,'All Emails'!$I$5:$I$1067,A26))</f>
        <v>0.00484730974309258</v>
      </c>
      <c r="S26" s="24" t="n">
        <f aca="false">IF(SUMIFS('All Emails'!$L$5:$L$1067,'All Emails'!$I$5:$I$1067,A26)=0,0,SUMIFS('All Emails'!$Q$5:$Q$1067,'All Emails'!$I$5:$I$1067,A26)/SUMIFS('All Emails'!$L$5:$L$1067,'All Emails'!$I$5:$I$1067,A26))</f>
        <v>0.0120914641446187</v>
      </c>
    </row>
    <row r="27" customFormat="false" ht="15" hidden="false" customHeight="false" outlineLevel="0" collapsed="false">
      <c r="A27" s="5" t="s">
        <v>220</v>
      </c>
      <c r="B27" s="13" t="s">
        <v>190</v>
      </c>
      <c r="C27" s="13" t="s">
        <v>191</v>
      </c>
      <c r="D27" s="20" t="s">
        <v>221</v>
      </c>
      <c r="E27" s="20" t="s">
        <v>193</v>
      </c>
      <c r="F27" s="20" t="s">
        <v>209</v>
      </c>
      <c r="G27" s="21" t="s">
        <v>141</v>
      </c>
      <c r="H27" s="22" t="n">
        <v>96</v>
      </c>
      <c r="I27" s="22" t="n">
        <v>2</v>
      </c>
      <c r="J27" s="23" t="n">
        <v>46120</v>
      </c>
      <c r="K27" s="23" t="n">
        <v>46216</v>
      </c>
      <c r="L27" s="20" t="s">
        <v>142</v>
      </c>
      <c r="M27" s="21" t="s">
        <v>106</v>
      </c>
      <c r="N27" s="16" t="n">
        <f aca="false">SUMIFS('All Emails'!$M$5:$M$1067,'All Emails'!$I$5:$I$1067,A27)</f>
        <v>5119</v>
      </c>
      <c r="O27" s="16" t="n">
        <f aca="false">IF(I27=0,0,N27/I27)</f>
        <v>2559.5</v>
      </c>
      <c r="P27" s="24" t="n">
        <f aca="false">IF(SUMIFS('All Emails'!$M$5:$M$1067,'All Emails'!$I$5:$I$1067,A27)=0,0,SUMIFS('All Emails'!$N$5:$N$1067,'All Emails'!$I$5:$I$1067,A27)/SUMIFS('All Emails'!$M$5:$M$1067,'All Emails'!$I$5:$I$1067,A27))</f>
        <v>0.300840007814026</v>
      </c>
      <c r="Q27" s="24" t="n">
        <f aca="false">IF(SUMIFS('All Emails'!$M$5:$M$1067,'All Emails'!$I$5:$I$1067,A27)=0,0,SUMIFS('All Emails'!$O$5:$O$1067,'All Emails'!$I$5:$I$1067,A27)/SUMIFS('All Emails'!$M$5:$M$1067,'All Emails'!$I$5:$I$1067,A27))</f>
        <v>0.00859542879468646</v>
      </c>
      <c r="R27" s="25" t="n">
        <f aca="false">IF(SUMIFS('All Emails'!$M$5:$M$1067,'All Emails'!$I$5:$I$1067,A27)=0,0,SUMIFS('All Emails'!$P$5:$P$1067,'All Emails'!$I$5:$I$1067,A27)/SUMIFS('All Emails'!$M$5:$M$1067,'All Emails'!$I$5:$I$1067,A27))</f>
        <v>0.00918148075796054</v>
      </c>
      <c r="S27" s="24" t="n">
        <f aca="false">IF(SUMIFS('All Emails'!$L$5:$L$1067,'All Emails'!$I$5:$I$1067,A27)=0,0,SUMIFS('All Emails'!$Q$5:$Q$1067,'All Emails'!$I$5:$I$1067,A27)/SUMIFS('All Emails'!$L$5:$L$1067,'All Emails'!$I$5:$I$1067,A27))</f>
        <v>0.0087141750580945</v>
      </c>
    </row>
    <row r="28" customFormat="false" ht="23.85" hidden="false" customHeight="false" outlineLevel="0" collapsed="false">
      <c r="A28" s="5" t="s">
        <v>222</v>
      </c>
      <c r="B28" s="13" t="s">
        <v>190</v>
      </c>
      <c r="C28" s="13" t="s">
        <v>223</v>
      </c>
      <c r="D28" s="20" t="s">
        <v>224</v>
      </c>
      <c r="E28" s="20" t="s">
        <v>225</v>
      </c>
      <c r="F28" s="20" t="s">
        <v>226</v>
      </c>
      <c r="G28" s="21" t="s">
        <v>205</v>
      </c>
      <c r="H28" s="22" t="n">
        <v>19</v>
      </c>
      <c r="I28" s="22" t="n">
        <v>2</v>
      </c>
      <c r="J28" s="23" t="n">
        <v>46275</v>
      </c>
      <c r="K28" s="23" t="n">
        <v>46294</v>
      </c>
      <c r="L28" s="20" t="s">
        <v>227</v>
      </c>
      <c r="M28" s="21" t="s">
        <v>106</v>
      </c>
      <c r="N28" s="16" t="n">
        <f aca="false">SUMIFS('All Emails'!$M$5:$M$1067,'All Emails'!$I$5:$I$1067,A28)</f>
        <v>379</v>
      </c>
      <c r="O28" s="16" t="n">
        <f aca="false">IF(I28=0,0,N28/I28)</f>
        <v>189.5</v>
      </c>
      <c r="P28" s="24" t="n">
        <f aca="false">IF(SUMIFS('All Emails'!$M$5:$M$1067,'All Emails'!$I$5:$I$1067,A28)=0,0,SUMIFS('All Emails'!$N$5:$N$1067,'All Emails'!$I$5:$I$1067,A28)/SUMIFS('All Emails'!$M$5:$M$1067,'All Emails'!$I$5:$I$1067,A28))</f>
        <v>0.269129287598945</v>
      </c>
      <c r="Q28" s="24" t="n">
        <f aca="false">IF(SUMIFS('All Emails'!$M$5:$M$1067,'All Emails'!$I$5:$I$1067,A28)=0,0,SUMIFS('All Emails'!$O$5:$O$1067,'All Emails'!$I$5:$I$1067,A28)/SUMIFS('All Emails'!$M$5:$M$1067,'All Emails'!$I$5:$I$1067,A28))</f>
        <v>0.0316622691292876</v>
      </c>
      <c r="R28" s="25" t="n">
        <f aca="false">IF(SUMIFS('All Emails'!$M$5:$M$1067,'All Emails'!$I$5:$I$1067,A28)=0,0,SUMIFS('All Emails'!$P$5:$P$1067,'All Emails'!$I$5:$I$1067,A28)/SUMIFS('All Emails'!$M$5:$M$1067,'All Emails'!$I$5:$I$1067,A28))</f>
        <v>0.00527704485488127</v>
      </c>
      <c r="S28" s="24" t="n">
        <f aca="false">IF(SUMIFS('All Emails'!$L$5:$L$1067,'All Emails'!$I$5:$I$1067,A28)=0,0,SUMIFS('All Emails'!$Q$5:$Q$1067,'All Emails'!$I$5:$I$1067,A28)/SUMIFS('All Emails'!$L$5:$L$1067,'All Emails'!$I$5:$I$1067,A28))</f>
        <v>0</v>
      </c>
    </row>
    <row r="29" customFormat="false" ht="15" hidden="false" customHeight="false" outlineLevel="0" collapsed="false">
      <c r="A29" s="5" t="s">
        <v>228</v>
      </c>
      <c r="B29" s="13" t="s">
        <v>190</v>
      </c>
      <c r="C29" s="13" t="s">
        <v>229</v>
      </c>
      <c r="D29" s="20" t="s">
        <v>230</v>
      </c>
      <c r="E29" s="20" t="s">
        <v>231</v>
      </c>
      <c r="F29" s="20" t="s">
        <v>232</v>
      </c>
      <c r="G29" s="21" t="s">
        <v>104</v>
      </c>
      <c r="H29" s="22" t="n">
        <v>30</v>
      </c>
      <c r="I29" s="22" t="n">
        <v>3</v>
      </c>
      <c r="J29" s="23" t="n">
        <v>46212</v>
      </c>
      <c r="K29" s="23" t="n">
        <v>46273</v>
      </c>
      <c r="L29" s="20" t="s">
        <v>233</v>
      </c>
      <c r="M29" s="21" t="s">
        <v>106</v>
      </c>
      <c r="N29" s="16" t="n">
        <f aca="false">SUMIFS('All Emails'!$M$5:$M$1067,'All Emails'!$I$5:$I$1067,A29)</f>
        <v>146</v>
      </c>
      <c r="O29" s="16" t="n">
        <f aca="false">IF(I29=0,0,N29/I29)</f>
        <v>48.6666666666667</v>
      </c>
      <c r="P29" s="24" t="n">
        <f aca="false">IF(SUMIFS('All Emails'!$M$5:$M$1067,'All Emails'!$I$5:$I$1067,A29)=0,0,SUMIFS('All Emails'!$N$5:$N$1067,'All Emails'!$I$5:$I$1067,A29)/SUMIFS('All Emails'!$M$5:$M$1067,'All Emails'!$I$5:$I$1067,A29))</f>
        <v>0.308219178082192</v>
      </c>
      <c r="Q29" s="24" t="n">
        <f aca="false">IF(SUMIFS('All Emails'!$M$5:$M$1067,'All Emails'!$I$5:$I$1067,A29)=0,0,SUMIFS('All Emails'!$O$5:$O$1067,'All Emails'!$I$5:$I$1067,A29)/SUMIFS('All Emails'!$M$5:$M$1067,'All Emails'!$I$5:$I$1067,A29))</f>
        <v>0.0958904109589041</v>
      </c>
      <c r="R29" s="25" t="n">
        <f aca="false">IF(SUMIFS('All Emails'!$M$5:$M$1067,'All Emails'!$I$5:$I$1067,A29)=0,0,SUMIFS('All Emails'!$P$5:$P$1067,'All Emails'!$I$5:$I$1067,A29)/SUMIFS('All Emails'!$M$5:$M$1067,'All Emails'!$I$5:$I$1067,A29))</f>
        <v>0</v>
      </c>
      <c r="S29" s="24" t="n">
        <f aca="false">IF(SUMIFS('All Emails'!$L$5:$L$1067,'All Emails'!$I$5:$I$1067,A29)=0,0,SUMIFS('All Emails'!$Q$5:$Q$1067,'All Emails'!$I$5:$I$1067,A29)/SUMIFS('All Emails'!$L$5:$L$1067,'All Emails'!$I$5:$I$1067,A29))</f>
        <v>0</v>
      </c>
    </row>
    <row r="30" customFormat="false" ht="23.85" hidden="false" customHeight="false" outlineLevel="0" collapsed="false">
      <c r="A30" s="5" t="s">
        <v>234</v>
      </c>
      <c r="B30" s="13" t="s">
        <v>235</v>
      </c>
      <c r="C30" s="13" t="s">
        <v>236</v>
      </c>
      <c r="D30" s="20" t="s">
        <v>237</v>
      </c>
      <c r="E30" s="20" t="s">
        <v>238</v>
      </c>
      <c r="F30" s="20" t="s">
        <v>239</v>
      </c>
      <c r="G30" s="21" t="s">
        <v>104</v>
      </c>
      <c r="H30" s="22" t="n">
        <v>43</v>
      </c>
      <c r="I30" s="22" t="n">
        <v>7</v>
      </c>
      <c r="J30" s="23" t="n">
        <v>45958</v>
      </c>
      <c r="K30" s="23" t="n">
        <v>46271</v>
      </c>
      <c r="L30" s="20" t="s">
        <v>240</v>
      </c>
      <c r="M30" s="21" t="s">
        <v>106</v>
      </c>
      <c r="N30" s="16" t="n">
        <f aca="false">SUMIFS('All Emails'!$M$5:$M$1067,'All Emails'!$I$5:$I$1067,A30)</f>
        <v>25510</v>
      </c>
      <c r="O30" s="16" t="n">
        <f aca="false">IF(I30=0,0,N30/I30)</f>
        <v>3644.28571428571</v>
      </c>
      <c r="P30" s="24" t="n">
        <f aca="false">IF(SUMIFS('All Emails'!$M$5:$M$1067,'All Emails'!$I$5:$I$1067,A30)=0,0,SUMIFS('All Emails'!$N$5:$N$1067,'All Emails'!$I$5:$I$1067,A30)/SUMIFS('All Emails'!$M$5:$M$1067,'All Emails'!$I$5:$I$1067,A30))</f>
        <v>0.220227361818895</v>
      </c>
      <c r="Q30" s="24" t="n">
        <f aca="false">IF(SUMIFS('All Emails'!$M$5:$M$1067,'All Emails'!$I$5:$I$1067,A30)=0,0,SUMIFS('All Emails'!$O$5:$O$1067,'All Emails'!$I$5:$I$1067,A30)/SUMIFS('All Emails'!$M$5:$M$1067,'All Emails'!$I$5:$I$1067,A30))</f>
        <v>0.0311642493139945</v>
      </c>
      <c r="R30" s="25" t="n">
        <f aca="false">IF(SUMIFS('All Emails'!$M$5:$M$1067,'All Emails'!$I$5:$I$1067,A30)=0,0,SUMIFS('All Emails'!$P$5:$P$1067,'All Emails'!$I$5:$I$1067,A30)/SUMIFS('All Emails'!$M$5:$M$1067,'All Emails'!$I$5:$I$1067,A30))</f>
        <v>0.00392003136025088</v>
      </c>
      <c r="S30" s="24" t="n">
        <f aca="false">IF(SUMIFS('All Emails'!$L$5:$L$1067,'All Emails'!$I$5:$I$1067,A30)=0,0,SUMIFS('All Emails'!$Q$5:$Q$1067,'All Emails'!$I$5:$I$1067,A30)/SUMIFS('All Emails'!$L$5:$L$1067,'All Emails'!$I$5:$I$1067,A30))</f>
        <v>0.00758607274849251</v>
      </c>
    </row>
    <row r="31" customFormat="false" ht="23.85" hidden="false" customHeight="false" outlineLevel="0" collapsed="false">
      <c r="A31" s="5" t="s">
        <v>241</v>
      </c>
      <c r="B31" s="13" t="s">
        <v>235</v>
      </c>
      <c r="C31" s="13" t="s">
        <v>242</v>
      </c>
      <c r="D31" s="20" t="s">
        <v>243</v>
      </c>
      <c r="E31" s="20" t="s">
        <v>244</v>
      </c>
      <c r="F31" s="20" t="s">
        <v>245</v>
      </c>
      <c r="G31" s="21" t="s">
        <v>104</v>
      </c>
      <c r="H31" s="22" t="n">
        <v>42</v>
      </c>
      <c r="I31" s="22" t="n">
        <v>4</v>
      </c>
      <c r="J31" s="23" t="n">
        <v>45950</v>
      </c>
      <c r="K31" s="23" t="n">
        <v>46252</v>
      </c>
      <c r="L31" s="20" t="s">
        <v>246</v>
      </c>
      <c r="M31" s="21" t="s">
        <v>106</v>
      </c>
      <c r="N31" s="16" t="n">
        <f aca="false">SUMIFS('All Emails'!$M$5:$M$1067,'All Emails'!$I$5:$I$1067,A31)</f>
        <v>2914</v>
      </c>
      <c r="O31" s="16" t="n">
        <f aca="false">IF(I31=0,0,N31/I31)</f>
        <v>728.5</v>
      </c>
      <c r="P31" s="24" t="n">
        <f aca="false">IF(SUMIFS('All Emails'!$M$5:$M$1067,'All Emails'!$I$5:$I$1067,A31)=0,0,SUMIFS('All Emails'!$N$5:$N$1067,'All Emails'!$I$5:$I$1067,A31)/SUMIFS('All Emails'!$M$5:$M$1067,'All Emails'!$I$5:$I$1067,A31))</f>
        <v>0.32566918325326</v>
      </c>
      <c r="Q31" s="24" t="n">
        <f aca="false">IF(SUMIFS('All Emails'!$M$5:$M$1067,'All Emails'!$I$5:$I$1067,A31)=0,0,SUMIFS('All Emails'!$O$5:$O$1067,'All Emails'!$I$5:$I$1067,A31)/SUMIFS('All Emails'!$M$5:$M$1067,'All Emails'!$I$5:$I$1067,A31))</f>
        <v>0.0199039121482498</v>
      </c>
      <c r="R31" s="25" t="n">
        <f aca="false">IF(SUMIFS('All Emails'!$M$5:$M$1067,'All Emails'!$I$5:$I$1067,A31)=0,0,SUMIFS('All Emails'!$P$5:$P$1067,'All Emails'!$I$5:$I$1067,A31)/SUMIFS('All Emails'!$M$5:$M$1067,'All Emails'!$I$5:$I$1067,A31))</f>
        <v>0.0116678105696637</v>
      </c>
      <c r="S31" s="24" t="n">
        <f aca="false">IF(SUMIFS('All Emails'!$L$5:$L$1067,'All Emails'!$I$5:$I$1067,A31)=0,0,SUMIFS('All Emails'!$Q$5:$Q$1067,'All Emails'!$I$5:$I$1067,A31)/SUMIFS('All Emails'!$L$5:$L$1067,'All Emails'!$I$5:$I$1067,A31))</f>
        <v>0.0392350807781075</v>
      </c>
    </row>
    <row r="32" customFormat="false" ht="23.85" hidden="false" customHeight="false" outlineLevel="0" collapsed="false">
      <c r="A32" s="5" t="s">
        <v>247</v>
      </c>
      <c r="B32" s="13" t="s">
        <v>235</v>
      </c>
      <c r="C32" s="13" t="s">
        <v>236</v>
      </c>
      <c r="D32" s="20" t="s">
        <v>237</v>
      </c>
      <c r="E32" s="20" t="s">
        <v>238</v>
      </c>
      <c r="F32" s="20" t="s">
        <v>248</v>
      </c>
      <c r="G32" s="21" t="s">
        <v>148</v>
      </c>
      <c r="H32" s="22" t="n">
        <v>62</v>
      </c>
      <c r="I32" s="22" t="n">
        <v>2</v>
      </c>
      <c r="J32" s="23" t="n">
        <v>46183</v>
      </c>
      <c r="K32" s="23" t="n">
        <v>46245</v>
      </c>
      <c r="L32" s="20" t="s">
        <v>249</v>
      </c>
      <c r="M32" s="21" t="s">
        <v>106</v>
      </c>
      <c r="N32" s="16" t="n">
        <f aca="false">SUMIFS('All Emails'!$M$5:$M$1067,'All Emails'!$I$5:$I$1067,A32)</f>
        <v>1128</v>
      </c>
      <c r="O32" s="16" t="n">
        <f aca="false">IF(I32=0,0,N32/I32)</f>
        <v>564</v>
      </c>
      <c r="P32" s="24" t="n">
        <f aca="false">IF(SUMIFS('All Emails'!$M$5:$M$1067,'All Emails'!$I$5:$I$1067,A32)=0,0,SUMIFS('All Emails'!$N$5:$N$1067,'All Emails'!$I$5:$I$1067,A32)/SUMIFS('All Emails'!$M$5:$M$1067,'All Emails'!$I$5:$I$1067,A32))</f>
        <v>0.24645390070922</v>
      </c>
      <c r="Q32" s="24" t="n">
        <f aca="false">IF(SUMIFS('All Emails'!$M$5:$M$1067,'All Emails'!$I$5:$I$1067,A32)=0,0,SUMIFS('All Emails'!$O$5:$O$1067,'All Emails'!$I$5:$I$1067,A32)/SUMIFS('All Emails'!$M$5:$M$1067,'All Emails'!$I$5:$I$1067,A32))</f>
        <v>0.00443262411347518</v>
      </c>
      <c r="R32" s="25" t="n">
        <f aca="false">IF(SUMIFS('All Emails'!$M$5:$M$1067,'All Emails'!$I$5:$I$1067,A32)=0,0,SUMIFS('All Emails'!$P$5:$P$1067,'All Emails'!$I$5:$I$1067,A32)/SUMIFS('All Emails'!$M$5:$M$1067,'All Emails'!$I$5:$I$1067,A32))</f>
        <v>0.00354609929078014</v>
      </c>
      <c r="S32" s="24" t="n">
        <f aca="false">IF(SUMIFS('All Emails'!$L$5:$L$1067,'All Emails'!$I$5:$I$1067,A32)=0,0,SUMIFS('All Emails'!$Q$5:$Q$1067,'All Emails'!$I$5:$I$1067,A32)/SUMIFS('All Emails'!$L$5:$L$1067,'All Emails'!$I$5:$I$1067,A32))</f>
        <v>0.013986013986014</v>
      </c>
    </row>
    <row r="33" customFormat="false" ht="15" hidden="false" customHeight="false" outlineLevel="0" collapsed="false">
      <c r="A33" s="5" t="s">
        <v>250</v>
      </c>
      <c r="B33" s="13" t="s">
        <v>235</v>
      </c>
      <c r="C33" s="13" t="s">
        <v>109</v>
      </c>
      <c r="D33" s="20" t="s">
        <v>251</v>
      </c>
      <c r="E33" s="20" t="s">
        <v>252</v>
      </c>
      <c r="F33" s="20" t="s">
        <v>253</v>
      </c>
      <c r="G33" s="21" t="s">
        <v>104</v>
      </c>
      <c r="H33" s="22" t="n">
        <v>28</v>
      </c>
      <c r="I33" s="22" t="n">
        <v>7</v>
      </c>
      <c r="J33" s="23" t="n">
        <v>46092</v>
      </c>
      <c r="K33" s="23" t="n">
        <v>46268</v>
      </c>
      <c r="L33" s="20" t="s">
        <v>254</v>
      </c>
      <c r="M33" s="21" t="s">
        <v>106</v>
      </c>
      <c r="N33" s="16" t="n">
        <f aca="false">SUMIFS('All Emails'!$M$5:$M$1067,'All Emails'!$I$5:$I$1067,A33)</f>
        <v>242</v>
      </c>
      <c r="O33" s="16" t="n">
        <f aca="false">IF(I33=0,0,N33/I33)</f>
        <v>34.5714285714286</v>
      </c>
      <c r="P33" s="24" t="n">
        <f aca="false">IF(SUMIFS('All Emails'!$M$5:$M$1067,'All Emails'!$I$5:$I$1067,A33)=0,0,SUMIFS('All Emails'!$N$5:$N$1067,'All Emails'!$I$5:$I$1067,A33)/SUMIFS('All Emails'!$M$5:$M$1067,'All Emails'!$I$5:$I$1067,A33))</f>
        <v>0.582644628099174</v>
      </c>
      <c r="Q33" s="24" t="n">
        <f aca="false">IF(SUMIFS('All Emails'!$M$5:$M$1067,'All Emails'!$I$5:$I$1067,A33)=0,0,SUMIFS('All Emails'!$O$5:$O$1067,'All Emails'!$I$5:$I$1067,A33)/SUMIFS('All Emails'!$M$5:$M$1067,'All Emails'!$I$5:$I$1067,A33))</f>
        <v>0.0619834710743802</v>
      </c>
      <c r="R33" s="25" t="n">
        <f aca="false">IF(SUMIFS('All Emails'!$M$5:$M$1067,'All Emails'!$I$5:$I$1067,A33)=0,0,SUMIFS('All Emails'!$P$5:$P$1067,'All Emails'!$I$5:$I$1067,A33)/SUMIFS('All Emails'!$M$5:$M$1067,'All Emails'!$I$5:$I$1067,A33))</f>
        <v>0.00413223140495868</v>
      </c>
      <c r="S33" s="24" t="n">
        <f aca="false">IF(SUMIFS('All Emails'!$L$5:$L$1067,'All Emails'!$I$5:$I$1067,A33)=0,0,SUMIFS('All Emails'!$Q$5:$Q$1067,'All Emails'!$I$5:$I$1067,A33)/SUMIFS('All Emails'!$L$5:$L$1067,'All Emails'!$I$5:$I$1067,A33))</f>
        <v>0</v>
      </c>
    </row>
    <row r="34" customFormat="false" ht="35.05" hidden="false" customHeight="false" outlineLevel="0" collapsed="false">
      <c r="A34" s="5" t="s">
        <v>255</v>
      </c>
      <c r="B34" s="13" t="s">
        <v>235</v>
      </c>
      <c r="C34" s="13" t="s">
        <v>164</v>
      </c>
      <c r="D34" s="20" t="s">
        <v>256</v>
      </c>
      <c r="E34" s="20" t="s">
        <v>166</v>
      </c>
      <c r="F34" s="20" t="s">
        <v>257</v>
      </c>
      <c r="G34" s="21" t="s">
        <v>258</v>
      </c>
      <c r="H34" s="22" t="n">
        <v>9</v>
      </c>
      <c r="I34" s="22" t="n">
        <v>11</v>
      </c>
      <c r="J34" s="23" t="n">
        <v>45961</v>
      </c>
      <c r="K34" s="23" t="n">
        <v>46065</v>
      </c>
      <c r="L34" s="20" t="s">
        <v>259</v>
      </c>
      <c r="M34" s="21" t="s">
        <v>137</v>
      </c>
      <c r="N34" s="16" t="n">
        <f aca="false">SUMIFS('All Emails'!$M$5:$M$1067,'All Emails'!$I$5:$I$1067,A34)</f>
        <v>279</v>
      </c>
      <c r="O34" s="16" t="n">
        <f aca="false">IF(I34=0,0,N34/I34)</f>
        <v>25.3636363636364</v>
      </c>
      <c r="P34" s="24" t="n">
        <f aca="false">IF(SUMIFS('All Emails'!$M$5:$M$1067,'All Emails'!$I$5:$I$1067,A34)=0,0,SUMIFS('All Emails'!$N$5:$N$1067,'All Emails'!$I$5:$I$1067,A34)/SUMIFS('All Emails'!$M$5:$M$1067,'All Emails'!$I$5:$I$1067,A34))</f>
        <v>0.523297491039427</v>
      </c>
      <c r="Q34" s="24" t="n">
        <f aca="false">IF(SUMIFS('All Emails'!$M$5:$M$1067,'All Emails'!$I$5:$I$1067,A34)=0,0,SUMIFS('All Emails'!$O$5:$O$1067,'All Emails'!$I$5:$I$1067,A34)/SUMIFS('All Emails'!$M$5:$M$1067,'All Emails'!$I$5:$I$1067,A34))</f>
        <v>0.0681003584229391</v>
      </c>
      <c r="R34" s="25" t="n">
        <f aca="false">IF(SUMIFS('All Emails'!$M$5:$M$1067,'All Emails'!$I$5:$I$1067,A34)=0,0,SUMIFS('All Emails'!$P$5:$P$1067,'All Emails'!$I$5:$I$1067,A34)/SUMIFS('All Emails'!$M$5:$M$1067,'All Emails'!$I$5:$I$1067,A34))</f>
        <v>0.003584229390681</v>
      </c>
      <c r="S34" s="24" t="n">
        <f aca="false">IF(SUMIFS('All Emails'!$L$5:$L$1067,'All Emails'!$I$5:$I$1067,A34)=0,0,SUMIFS('All Emails'!$Q$5:$Q$1067,'All Emails'!$I$5:$I$1067,A34)/SUMIFS('All Emails'!$L$5:$L$1067,'All Emails'!$I$5:$I$1067,A34))</f>
        <v>0</v>
      </c>
    </row>
    <row r="35" customFormat="false" ht="23.85" hidden="false" customHeight="false" outlineLevel="0" collapsed="false">
      <c r="A35" s="5" t="s">
        <v>260</v>
      </c>
      <c r="B35" s="13" t="s">
        <v>235</v>
      </c>
      <c r="C35" s="13" t="s">
        <v>164</v>
      </c>
      <c r="D35" s="20" t="s">
        <v>261</v>
      </c>
      <c r="E35" s="20" t="s">
        <v>166</v>
      </c>
      <c r="F35" s="20" t="s">
        <v>262</v>
      </c>
      <c r="G35" s="21" t="s">
        <v>258</v>
      </c>
      <c r="H35" s="22" t="n">
        <v>7</v>
      </c>
      <c r="I35" s="22" t="n">
        <v>24</v>
      </c>
      <c r="J35" s="23" t="n">
        <v>45954</v>
      </c>
      <c r="K35" s="23" t="n">
        <v>46226</v>
      </c>
      <c r="L35" s="20" t="s">
        <v>263</v>
      </c>
      <c r="M35" s="21" t="s">
        <v>106</v>
      </c>
      <c r="N35" s="16" t="n">
        <f aca="false">SUMIFS('All Emails'!$M$5:$M$1067,'All Emails'!$I$5:$I$1067,A35)</f>
        <v>510</v>
      </c>
      <c r="O35" s="16" t="n">
        <f aca="false">IF(I35=0,0,N35/I35)</f>
        <v>21.25</v>
      </c>
      <c r="P35" s="24" t="n">
        <f aca="false">IF(SUMIFS('All Emails'!$M$5:$M$1067,'All Emails'!$I$5:$I$1067,A35)=0,0,SUMIFS('All Emails'!$N$5:$N$1067,'All Emails'!$I$5:$I$1067,A35)/SUMIFS('All Emails'!$M$5:$M$1067,'All Emails'!$I$5:$I$1067,A35))</f>
        <v>0.574509803921569</v>
      </c>
      <c r="Q35" s="24" t="n">
        <f aca="false">IF(SUMIFS('All Emails'!$M$5:$M$1067,'All Emails'!$I$5:$I$1067,A35)=0,0,SUMIFS('All Emails'!$O$5:$O$1067,'All Emails'!$I$5:$I$1067,A35)/SUMIFS('All Emails'!$M$5:$M$1067,'All Emails'!$I$5:$I$1067,A35))</f>
        <v>0.092156862745098</v>
      </c>
      <c r="R35" s="25" t="n">
        <f aca="false">IF(SUMIFS('All Emails'!$M$5:$M$1067,'All Emails'!$I$5:$I$1067,A35)=0,0,SUMIFS('All Emails'!$P$5:$P$1067,'All Emails'!$I$5:$I$1067,A35)/SUMIFS('All Emails'!$M$5:$M$1067,'All Emails'!$I$5:$I$1067,A35))</f>
        <v>0.00196078431372549</v>
      </c>
      <c r="S35" s="24" t="n">
        <f aca="false">IF(SUMIFS('All Emails'!$L$5:$L$1067,'All Emails'!$I$5:$I$1067,A35)=0,0,SUMIFS('All Emails'!$Q$5:$Q$1067,'All Emails'!$I$5:$I$1067,A35)/SUMIFS('All Emails'!$L$5:$L$1067,'All Emails'!$I$5:$I$1067,A35))</f>
        <v>0</v>
      </c>
    </row>
    <row r="36" customFormat="false" ht="23.85" hidden="false" customHeight="false" outlineLevel="0" collapsed="false">
      <c r="A36" s="5" t="s">
        <v>264</v>
      </c>
      <c r="B36" s="13" t="s">
        <v>265</v>
      </c>
      <c r="C36" s="13" t="s">
        <v>266</v>
      </c>
      <c r="D36" s="20" t="s">
        <v>267</v>
      </c>
      <c r="E36" s="20" t="s">
        <v>267</v>
      </c>
      <c r="F36" s="20" t="s">
        <v>268</v>
      </c>
      <c r="G36" s="21" t="s">
        <v>141</v>
      </c>
      <c r="H36" s="22" t="n">
        <v>114</v>
      </c>
      <c r="I36" s="22" t="n">
        <v>4</v>
      </c>
      <c r="J36" s="23" t="n">
        <v>45961</v>
      </c>
      <c r="K36" s="23" t="n">
        <v>46260</v>
      </c>
      <c r="L36" s="20" t="s">
        <v>269</v>
      </c>
      <c r="M36" s="21" t="s">
        <v>106</v>
      </c>
      <c r="N36" s="16" t="n">
        <f aca="false">SUMIFS('All Emails'!$M$5:$M$1067,'All Emails'!$I$5:$I$1067,A36)</f>
        <v>984</v>
      </c>
      <c r="O36" s="16" t="n">
        <f aca="false">IF(I36=0,0,N36/I36)</f>
        <v>246</v>
      </c>
      <c r="P36" s="24" t="n">
        <f aca="false">IF(SUMIFS('All Emails'!$M$5:$M$1067,'All Emails'!$I$5:$I$1067,A36)=0,0,SUMIFS('All Emails'!$N$5:$N$1067,'All Emails'!$I$5:$I$1067,A36)/SUMIFS('All Emails'!$M$5:$M$1067,'All Emails'!$I$5:$I$1067,A36))</f>
        <v>0.384146341463415</v>
      </c>
      <c r="Q36" s="24" t="n">
        <f aca="false">IF(SUMIFS('All Emails'!$M$5:$M$1067,'All Emails'!$I$5:$I$1067,A36)=0,0,SUMIFS('All Emails'!$O$5:$O$1067,'All Emails'!$I$5:$I$1067,A36)/SUMIFS('All Emails'!$M$5:$M$1067,'All Emails'!$I$5:$I$1067,A36))</f>
        <v>0.0264227642276423</v>
      </c>
      <c r="R36" s="25" t="n">
        <f aca="false">IF(SUMIFS('All Emails'!$M$5:$M$1067,'All Emails'!$I$5:$I$1067,A36)=0,0,SUMIFS('All Emails'!$P$5:$P$1067,'All Emails'!$I$5:$I$1067,A36)/SUMIFS('All Emails'!$M$5:$M$1067,'All Emails'!$I$5:$I$1067,A36))</f>
        <v>0.00101626016260163</v>
      </c>
      <c r="S36" s="24" t="n">
        <f aca="false">IF(SUMIFS('All Emails'!$L$5:$L$1067,'All Emails'!$I$5:$I$1067,A36)=0,0,SUMIFS('All Emails'!$Q$5:$Q$1067,'All Emails'!$I$5:$I$1067,A36)/SUMIFS('All Emails'!$L$5:$L$1067,'All Emails'!$I$5:$I$1067,A36))</f>
        <v>0.00404858299595142</v>
      </c>
    </row>
    <row r="37" customFormat="false" ht="23.85" hidden="false" customHeight="false" outlineLevel="0" collapsed="false">
      <c r="A37" s="5" t="s">
        <v>270</v>
      </c>
      <c r="B37" s="13" t="s">
        <v>265</v>
      </c>
      <c r="C37" s="13" t="s">
        <v>164</v>
      </c>
      <c r="D37" s="20" t="s">
        <v>165</v>
      </c>
      <c r="E37" s="20" t="s">
        <v>166</v>
      </c>
      <c r="F37" s="20" t="s">
        <v>271</v>
      </c>
      <c r="G37" s="21" t="s">
        <v>141</v>
      </c>
      <c r="H37" s="22" t="n">
        <v>94</v>
      </c>
      <c r="I37" s="22" t="n">
        <v>3</v>
      </c>
      <c r="J37" s="23" t="n">
        <v>46029</v>
      </c>
      <c r="K37" s="23" t="n">
        <v>46218</v>
      </c>
      <c r="L37" s="20" t="s">
        <v>215</v>
      </c>
      <c r="M37" s="21" t="s">
        <v>106</v>
      </c>
      <c r="N37" s="16" t="n">
        <f aca="false">SUMIFS('All Emails'!$M$5:$M$1067,'All Emails'!$I$5:$I$1067,A37)</f>
        <v>238</v>
      </c>
      <c r="O37" s="16" t="n">
        <f aca="false">IF(I37=0,0,N37/I37)</f>
        <v>79.3333333333333</v>
      </c>
      <c r="P37" s="24" t="n">
        <f aca="false">IF(SUMIFS('All Emails'!$M$5:$M$1067,'All Emails'!$I$5:$I$1067,A37)=0,0,SUMIFS('All Emails'!$N$5:$N$1067,'All Emails'!$I$5:$I$1067,A37)/SUMIFS('All Emails'!$M$5:$M$1067,'All Emails'!$I$5:$I$1067,A37))</f>
        <v>0.382352941176471</v>
      </c>
      <c r="Q37" s="24" t="n">
        <f aca="false">IF(SUMIFS('All Emails'!$M$5:$M$1067,'All Emails'!$I$5:$I$1067,A37)=0,0,SUMIFS('All Emails'!$O$5:$O$1067,'All Emails'!$I$5:$I$1067,A37)/SUMIFS('All Emails'!$M$5:$M$1067,'All Emails'!$I$5:$I$1067,A37))</f>
        <v>0.0588235294117647</v>
      </c>
      <c r="R37" s="25" t="n">
        <f aca="false">IF(SUMIFS('All Emails'!$M$5:$M$1067,'All Emails'!$I$5:$I$1067,A37)=0,0,SUMIFS('All Emails'!$P$5:$P$1067,'All Emails'!$I$5:$I$1067,A37)/SUMIFS('All Emails'!$M$5:$M$1067,'All Emails'!$I$5:$I$1067,A37))</f>
        <v>0</v>
      </c>
      <c r="S37" s="24" t="n">
        <f aca="false">IF(SUMIFS('All Emails'!$L$5:$L$1067,'All Emails'!$I$5:$I$1067,A37)=0,0,SUMIFS('All Emails'!$Q$5:$Q$1067,'All Emails'!$I$5:$I$1067,A37)/SUMIFS('All Emails'!$L$5:$L$1067,'All Emails'!$I$5:$I$1067,A37))</f>
        <v>0.00418410041841004</v>
      </c>
    </row>
    <row r="38" customFormat="false" ht="23.85" hidden="false" customHeight="false" outlineLevel="0" collapsed="false">
      <c r="A38" s="5" t="s">
        <v>272</v>
      </c>
      <c r="B38" s="13" t="s">
        <v>265</v>
      </c>
      <c r="C38" s="13" t="s">
        <v>164</v>
      </c>
      <c r="D38" s="20" t="s">
        <v>165</v>
      </c>
      <c r="E38" s="20" t="s">
        <v>166</v>
      </c>
      <c r="F38" s="20" t="s">
        <v>273</v>
      </c>
      <c r="G38" s="21" t="s">
        <v>141</v>
      </c>
      <c r="H38" s="22" t="n">
        <v>112</v>
      </c>
      <c r="I38" s="22" t="n">
        <v>3</v>
      </c>
      <c r="J38" s="23" t="n">
        <v>45995</v>
      </c>
      <c r="K38" s="23" t="n">
        <v>46218</v>
      </c>
      <c r="L38" s="20" t="s">
        <v>274</v>
      </c>
      <c r="M38" s="21" t="s">
        <v>106</v>
      </c>
      <c r="N38" s="16" t="n">
        <f aca="false">SUMIFS('All Emails'!$M$5:$M$1067,'All Emails'!$I$5:$I$1067,A38)</f>
        <v>179</v>
      </c>
      <c r="O38" s="16" t="n">
        <f aca="false">IF(I38=0,0,N38/I38)</f>
        <v>59.6666666666667</v>
      </c>
      <c r="P38" s="24" t="n">
        <f aca="false">IF(SUMIFS('All Emails'!$M$5:$M$1067,'All Emails'!$I$5:$I$1067,A38)=0,0,SUMIFS('All Emails'!$N$5:$N$1067,'All Emails'!$I$5:$I$1067,A38)/SUMIFS('All Emails'!$M$5:$M$1067,'All Emails'!$I$5:$I$1067,A38))</f>
        <v>0.581005586592179</v>
      </c>
      <c r="Q38" s="24" t="n">
        <f aca="false">IF(SUMIFS('All Emails'!$M$5:$M$1067,'All Emails'!$I$5:$I$1067,A38)=0,0,SUMIFS('All Emails'!$O$5:$O$1067,'All Emails'!$I$5:$I$1067,A38)/SUMIFS('All Emails'!$M$5:$M$1067,'All Emails'!$I$5:$I$1067,A38))</f>
        <v>0.111731843575419</v>
      </c>
      <c r="R38" s="25" t="n">
        <f aca="false">IF(SUMIFS('All Emails'!$M$5:$M$1067,'All Emails'!$I$5:$I$1067,A38)=0,0,SUMIFS('All Emails'!$P$5:$P$1067,'All Emails'!$I$5:$I$1067,A38)/SUMIFS('All Emails'!$M$5:$M$1067,'All Emails'!$I$5:$I$1067,A38))</f>
        <v>0</v>
      </c>
      <c r="S38" s="24" t="n">
        <f aca="false">IF(SUMIFS('All Emails'!$L$5:$L$1067,'All Emails'!$I$5:$I$1067,A38)=0,0,SUMIFS('All Emails'!$Q$5:$Q$1067,'All Emails'!$I$5:$I$1067,A38)/SUMIFS('All Emails'!$L$5:$L$1067,'All Emails'!$I$5:$I$1067,A38))</f>
        <v>0</v>
      </c>
    </row>
    <row r="39" customFormat="false" ht="23.85" hidden="false" customHeight="false" outlineLevel="0" collapsed="false">
      <c r="A39" s="5" t="s">
        <v>275</v>
      </c>
      <c r="B39" s="13" t="s">
        <v>265</v>
      </c>
      <c r="C39" s="13" t="s">
        <v>276</v>
      </c>
      <c r="D39" s="20" t="s">
        <v>277</v>
      </c>
      <c r="E39" s="20" t="s">
        <v>277</v>
      </c>
      <c r="F39" s="20" t="s">
        <v>278</v>
      </c>
      <c r="G39" s="21" t="s">
        <v>141</v>
      </c>
      <c r="H39" s="22" t="n">
        <v>115</v>
      </c>
      <c r="I39" s="22" t="n">
        <v>2</v>
      </c>
      <c r="J39" s="23" t="n">
        <v>45993</v>
      </c>
      <c r="K39" s="23" t="n">
        <v>46108</v>
      </c>
      <c r="L39" s="20" t="s">
        <v>279</v>
      </c>
      <c r="M39" s="21" t="s">
        <v>137</v>
      </c>
      <c r="N39" s="16" t="n">
        <f aca="false">SUMIFS('All Emails'!$M$5:$M$1067,'All Emails'!$I$5:$I$1067,A39)</f>
        <v>110</v>
      </c>
      <c r="O39" s="16" t="n">
        <f aca="false">IF(I39=0,0,N39/I39)</f>
        <v>55</v>
      </c>
      <c r="P39" s="24" t="n">
        <f aca="false">IF(SUMIFS('All Emails'!$M$5:$M$1067,'All Emails'!$I$5:$I$1067,A39)=0,0,SUMIFS('All Emails'!$N$5:$N$1067,'All Emails'!$I$5:$I$1067,A39)/SUMIFS('All Emails'!$M$5:$M$1067,'All Emails'!$I$5:$I$1067,A39))</f>
        <v>0.454545454545455</v>
      </c>
      <c r="Q39" s="24" t="n">
        <f aca="false">IF(SUMIFS('All Emails'!$M$5:$M$1067,'All Emails'!$I$5:$I$1067,A39)=0,0,SUMIFS('All Emails'!$O$5:$O$1067,'All Emails'!$I$5:$I$1067,A39)/SUMIFS('All Emails'!$M$5:$M$1067,'All Emails'!$I$5:$I$1067,A39))</f>
        <v>0.0909090909090909</v>
      </c>
      <c r="R39" s="25" t="n">
        <f aca="false">IF(SUMIFS('All Emails'!$M$5:$M$1067,'All Emails'!$I$5:$I$1067,A39)=0,0,SUMIFS('All Emails'!$P$5:$P$1067,'All Emails'!$I$5:$I$1067,A39)/SUMIFS('All Emails'!$M$5:$M$1067,'All Emails'!$I$5:$I$1067,A39))</f>
        <v>0</v>
      </c>
      <c r="S39" s="24" t="n">
        <f aca="false">IF(SUMIFS('All Emails'!$L$5:$L$1067,'All Emails'!$I$5:$I$1067,A39)=0,0,SUMIFS('All Emails'!$Q$5:$Q$1067,'All Emails'!$I$5:$I$1067,A39)/SUMIFS('All Emails'!$L$5:$L$1067,'All Emails'!$I$5:$I$1067,A39))</f>
        <v>0.00900900900900901</v>
      </c>
    </row>
    <row r="40" customFormat="false" ht="15" hidden="false" customHeight="false" outlineLevel="0" collapsed="false">
      <c r="A40" s="5" t="s">
        <v>280</v>
      </c>
      <c r="B40" s="13" t="s">
        <v>265</v>
      </c>
      <c r="C40" s="13" t="s">
        <v>223</v>
      </c>
      <c r="D40" s="20" t="s">
        <v>281</v>
      </c>
      <c r="E40" s="20" t="s">
        <v>281</v>
      </c>
      <c r="F40" s="20" t="s">
        <v>282</v>
      </c>
      <c r="G40" s="21" t="s">
        <v>148</v>
      </c>
      <c r="H40" s="22" t="n">
        <v>55</v>
      </c>
      <c r="I40" s="22" t="n">
        <v>2</v>
      </c>
      <c r="J40" s="23" t="n">
        <v>45938</v>
      </c>
      <c r="K40" s="23" t="n">
        <v>45993</v>
      </c>
      <c r="L40" s="20" t="s">
        <v>283</v>
      </c>
      <c r="M40" s="21" t="s">
        <v>137</v>
      </c>
      <c r="N40" s="16" t="n">
        <f aca="false">SUMIFS('All Emails'!$M$5:$M$1067,'All Emails'!$I$5:$I$1067,A40)</f>
        <v>77</v>
      </c>
      <c r="O40" s="16" t="n">
        <f aca="false">IF(I40=0,0,N40/I40)</f>
        <v>38.5</v>
      </c>
      <c r="P40" s="24" t="n">
        <f aca="false">IF(SUMIFS('All Emails'!$M$5:$M$1067,'All Emails'!$I$5:$I$1067,A40)=0,0,SUMIFS('All Emails'!$N$5:$N$1067,'All Emails'!$I$5:$I$1067,A40)/SUMIFS('All Emails'!$M$5:$M$1067,'All Emails'!$I$5:$I$1067,A40))</f>
        <v>0.532467532467532</v>
      </c>
      <c r="Q40" s="24" t="n">
        <f aca="false">IF(SUMIFS('All Emails'!$M$5:$M$1067,'All Emails'!$I$5:$I$1067,A40)=0,0,SUMIFS('All Emails'!$O$5:$O$1067,'All Emails'!$I$5:$I$1067,A40)/SUMIFS('All Emails'!$M$5:$M$1067,'All Emails'!$I$5:$I$1067,A40))</f>
        <v>0.142857142857143</v>
      </c>
      <c r="R40" s="25" t="n">
        <f aca="false">IF(SUMIFS('All Emails'!$M$5:$M$1067,'All Emails'!$I$5:$I$1067,A40)=0,0,SUMIFS('All Emails'!$P$5:$P$1067,'All Emails'!$I$5:$I$1067,A40)/SUMIFS('All Emails'!$M$5:$M$1067,'All Emails'!$I$5:$I$1067,A40))</f>
        <v>0</v>
      </c>
      <c r="S40" s="24" t="n">
        <f aca="false">IF(SUMIFS('All Emails'!$L$5:$L$1067,'All Emails'!$I$5:$I$1067,A40)=0,0,SUMIFS('All Emails'!$Q$5:$Q$1067,'All Emails'!$I$5:$I$1067,A40)/SUMIFS('All Emails'!$L$5:$L$1067,'All Emails'!$I$5:$I$1067,A40))</f>
        <v>0</v>
      </c>
    </row>
    <row r="41" customFormat="false" ht="15" hidden="false" customHeight="false" outlineLevel="0" collapsed="false">
      <c r="A41" s="5" t="s">
        <v>284</v>
      </c>
      <c r="B41" s="13" t="s">
        <v>265</v>
      </c>
      <c r="C41" s="13" t="s">
        <v>164</v>
      </c>
      <c r="D41" s="20" t="s">
        <v>166</v>
      </c>
      <c r="E41" s="20" t="s">
        <v>166</v>
      </c>
      <c r="F41" s="20" t="s">
        <v>181</v>
      </c>
      <c r="G41" s="21" t="s">
        <v>104</v>
      </c>
      <c r="H41" s="22" t="n">
        <v>34</v>
      </c>
      <c r="I41" s="22" t="n">
        <v>2</v>
      </c>
      <c r="J41" s="23" t="n">
        <v>45996</v>
      </c>
      <c r="K41" s="23" t="n">
        <v>46030</v>
      </c>
      <c r="L41" s="20" t="s">
        <v>285</v>
      </c>
      <c r="M41" s="21" t="s">
        <v>137</v>
      </c>
      <c r="N41" s="16" t="n">
        <f aca="false">SUMIFS('All Emails'!$M$5:$M$1067,'All Emails'!$I$5:$I$1067,A41)</f>
        <v>57</v>
      </c>
      <c r="O41" s="16" t="n">
        <f aca="false">IF(I41=0,0,N41/I41)</f>
        <v>28.5</v>
      </c>
      <c r="P41" s="24" t="n">
        <f aca="false">IF(SUMIFS('All Emails'!$M$5:$M$1067,'All Emails'!$I$5:$I$1067,A41)=0,0,SUMIFS('All Emails'!$N$5:$N$1067,'All Emails'!$I$5:$I$1067,A41)/SUMIFS('All Emails'!$M$5:$M$1067,'All Emails'!$I$5:$I$1067,A41))</f>
        <v>0.614035087719298</v>
      </c>
      <c r="Q41" s="24" t="n">
        <f aca="false">IF(SUMIFS('All Emails'!$M$5:$M$1067,'All Emails'!$I$5:$I$1067,A41)=0,0,SUMIFS('All Emails'!$O$5:$O$1067,'All Emails'!$I$5:$I$1067,A41)/SUMIFS('All Emails'!$M$5:$M$1067,'All Emails'!$I$5:$I$1067,A41))</f>
        <v>0.210526315789474</v>
      </c>
      <c r="R41" s="25" t="n">
        <f aca="false">IF(SUMIFS('All Emails'!$M$5:$M$1067,'All Emails'!$I$5:$I$1067,A41)=0,0,SUMIFS('All Emails'!$P$5:$P$1067,'All Emails'!$I$5:$I$1067,A41)/SUMIFS('All Emails'!$M$5:$M$1067,'All Emails'!$I$5:$I$1067,A41))</f>
        <v>0</v>
      </c>
      <c r="S41" s="24" t="n">
        <f aca="false">IF(SUMIFS('All Emails'!$L$5:$L$1067,'All Emails'!$I$5:$I$1067,A41)=0,0,SUMIFS('All Emails'!$Q$5:$Q$1067,'All Emails'!$I$5:$I$1067,A41)/SUMIFS('All Emails'!$L$5:$L$1067,'All Emails'!$I$5:$I$1067,A41))</f>
        <v>0</v>
      </c>
    </row>
    <row r="42" customFormat="false" ht="15" hidden="false" customHeight="false" outlineLevel="0" collapsed="false">
      <c r="A42" s="5" t="s">
        <v>286</v>
      </c>
      <c r="B42" s="13" t="s">
        <v>265</v>
      </c>
      <c r="C42" s="13" t="s">
        <v>287</v>
      </c>
      <c r="D42" s="20" t="s">
        <v>288</v>
      </c>
      <c r="E42" s="20" t="s">
        <v>288</v>
      </c>
      <c r="F42" s="20" t="s">
        <v>289</v>
      </c>
      <c r="G42" s="21" t="s">
        <v>210</v>
      </c>
      <c r="H42" s="22" t="n">
        <v>219</v>
      </c>
      <c r="I42" s="22" t="n">
        <v>2</v>
      </c>
      <c r="J42" s="23" t="n">
        <v>46049</v>
      </c>
      <c r="K42" s="23" t="n">
        <v>46268</v>
      </c>
      <c r="L42" s="20" t="s">
        <v>290</v>
      </c>
      <c r="M42" s="21" t="s">
        <v>106</v>
      </c>
      <c r="N42" s="16" t="n">
        <f aca="false">SUMIFS('All Emails'!$M$5:$M$1067,'All Emails'!$I$5:$I$1067,A42)</f>
        <v>44</v>
      </c>
      <c r="O42" s="16" t="n">
        <f aca="false">IF(I42=0,0,N42/I42)</f>
        <v>22</v>
      </c>
      <c r="P42" s="24" t="n">
        <f aca="false">IF(SUMIFS('All Emails'!$M$5:$M$1067,'All Emails'!$I$5:$I$1067,A42)=0,0,SUMIFS('All Emails'!$N$5:$N$1067,'All Emails'!$I$5:$I$1067,A42)/SUMIFS('All Emails'!$M$5:$M$1067,'All Emails'!$I$5:$I$1067,A42))</f>
        <v>0.727272727272727</v>
      </c>
      <c r="Q42" s="24" t="n">
        <f aca="false">IF(SUMIFS('All Emails'!$M$5:$M$1067,'All Emails'!$I$5:$I$1067,A42)=0,0,SUMIFS('All Emails'!$O$5:$O$1067,'All Emails'!$I$5:$I$1067,A42)/SUMIFS('All Emails'!$M$5:$M$1067,'All Emails'!$I$5:$I$1067,A42))</f>
        <v>0.363636363636364</v>
      </c>
      <c r="R42" s="25" t="n">
        <f aca="false">IF(SUMIFS('All Emails'!$M$5:$M$1067,'All Emails'!$I$5:$I$1067,A42)=0,0,SUMIFS('All Emails'!$P$5:$P$1067,'All Emails'!$I$5:$I$1067,A42)/SUMIFS('All Emails'!$M$5:$M$1067,'All Emails'!$I$5:$I$1067,A42))</f>
        <v>0</v>
      </c>
      <c r="S42" s="24" t="n">
        <f aca="false">IF(SUMIFS('All Emails'!$L$5:$L$1067,'All Emails'!$I$5:$I$1067,A42)=0,0,SUMIFS('All Emails'!$Q$5:$Q$1067,'All Emails'!$I$5:$I$1067,A42)/SUMIFS('All Emails'!$L$5:$L$1067,'All Emails'!$I$5:$I$1067,A42))</f>
        <v>0</v>
      </c>
    </row>
    <row r="43" customFormat="false" ht="15" hidden="false" customHeight="false" outlineLevel="0" collapsed="false">
      <c r="A43" s="5" t="s">
        <v>291</v>
      </c>
      <c r="B43" s="13" t="s">
        <v>265</v>
      </c>
      <c r="C43" s="13" t="s">
        <v>287</v>
      </c>
      <c r="D43" s="20" t="s">
        <v>288</v>
      </c>
      <c r="E43" s="20" t="s">
        <v>288</v>
      </c>
      <c r="F43" s="20" t="s">
        <v>292</v>
      </c>
      <c r="G43" s="21" t="s">
        <v>141</v>
      </c>
      <c r="H43" s="22" t="n">
        <v>110</v>
      </c>
      <c r="I43" s="22" t="n">
        <v>3</v>
      </c>
      <c r="J43" s="23" t="n">
        <v>46049</v>
      </c>
      <c r="K43" s="23" t="n">
        <v>46268</v>
      </c>
      <c r="L43" s="20" t="s">
        <v>293</v>
      </c>
      <c r="M43" s="21" t="s">
        <v>106</v>
      </c>
      <c r="N43" s="16" t="n">
        <f aca="false">SUMIFS('All Emails'!$M$5:$M$1067,'All Emails'!$I$5:$I$1067,A43)</f>
        <v>45</v>
      </c>
      <c r="O43" s="16" t="n">
        <f aca="false">IF(I43=0,0,N43/I43)</f>
        <v>15</v>
      </c>
      <c r="P43" s="24" t="n">
        <f aca="false">IF(SUMIFS('All Emails'!$M$5:$M$1067,'All Emails'!$I$5:$I$1067,A43)=0,0,SUMIFS('All Emails'!$N$5:$N$1067,'All Emails'!$I$5:$I$1067,A43)/SUMIFS('All Emails'!$M$5:$M$1067,'All Emails'!$I$5:$I$1067,A43))</f>
        <v>0.733333333333333</v>
      </c>
      <c r="Q43" s="24" t="n">
        <f aca="false">IF(SUMIFS('All Emails'!$M$5:$M$1067,'All Emails'!$I$5:$I$1067,A43)=0,0,SUMIFS('All Emails'!$O$5:$O$1067,'All Emails'!$I$5:$I$1067,A43)/SUMIFS('All Emails'!$M$5:$M$1067,'All Emails'!$I$5:$I$1067,A43))</f>
        <v>0.444444444444444</v>
      </c>
      <c r="R43" s="25" t="n">
        <f aca="false">IF(SUMIFS('All Emails'!$M$5:$M$1067,'All Emails'!$I$5:$I$1067,A43)=0,0,SUMIFS('All Emails'!$P$5:$P$1067,'All Emails'!$I$5:$I$1067,A43)/SUMIFS('All Emails'!$M$5:$M$1067,'All Emails'!$I$5:$I$1067,A43))</f>
        <v>0</v>
      </c>
      <c r="S43" s="24" t="n">
        <f aca="false">IF(SUMIFS('All Emails'!$L$5:$L$1067,'All Emails'!$I$5:$I$1067,A43)=0,0,SUMIFS('All Emails'!$Q$5:$Q$1067,'All Emails'!$I$5:$I$1067,A43)/SUMIFS('All Emails'!$L$5:$L$1067,'All Emails'!$I$5:$I$1067,A43))</f>
        <v>0</v>
      </c>
    </row>
    <row r="44" customFormat="false" ht="23.85" hidden="false" customHeight="false" outlineLevel="0" collapsed="false">
      <c r="A44" s="5" t="s">
        <v>294</v>
      </c>
      <c r="B44" s="13" t="s">
        <v>295</v>
      </c>
      <c r="C44" s="13" t="s">
        <v>296</v>
      </c>
      <c r="D44" s="20" t="s">
        <v>297</v>
      </c>
      <c r="E44" s="20" t="s">
        <v>298</v>
      </c>
      <c r="F44" s="20" t="s">
        <v>299</v>
      </c>
      <c r="G44" s="21" t="s">
        <v>104</v>
      </c>
      <c r="H44" s="22" t="n">
        <v>30</v>
      </c>
      <c r="I44" s="22" t="n">
        <v>13</v>
      </c>
      <c r="J44" s="23" t="n">
        <v>45932</v>
      </c>
      <c r="K44" s="23" t="n">
        <v>46295</v>
      </c>
      <c r="L44" s="20" t="s">
        <v>300</v>
      </c>
      <c r="M44" s="21" t="s">
        <v>106</v>
      </c>
      <c r="N44" s="16" t="n">
        <f aca="false">SUMIFS('All Emails'!$M$5:$M$1067,'All Emails'!$I$5:$I$1067,A44)</f>
        <v>8068</v>
      </c>
      <c r="O44" s="16" t="n">
        <f aca="false">IF(I44=0,0,N44/I44)</f>
        <v>620.615384615385</v>
      </c>
      <c r="P44" s="24" t="n">
        <f aca="false">IF(SUMIFS('All Emails'!$M$5:$M$1067,'All Emails'!$I$5:$I$1067,A44)=0,0,SUMIFS('All Emails'!$N$5:$N$1067,'All Emails'!$I$5:$I$1067,A44)/SUMIFS('All Emails'!$M$5:$M$1067,'All Emails'!$I$5:$I$1067,A44))</f>
        <v>0.557263262270699</v>
      </c>
      <c r="Q44" s="24" t="n">
        <f aca="false">IF(SUMIFS('All Emails'!$M$5:$M$1067,'All Emails'!$I$5:$I$1067,A44)=0,0,SUMIFS('All Emails'!$O$5:$O$1067,'All Emails'!$I$5:$I$1067,A44)/SUMIFS('All Emails'!$M$5:$M$1067,'All Emails'!$I$5:$I$1067,A44))</f>
        <v>0.0810609816559246</v>
      </c>
      <c r="R44" s="25" t="n">
        <f aca="false">IF(SUMIFS('All Emails'!$M$5:$M$1067,'All Emails'!$I$5:$I$1067,A44)=0,0,SUMIFS('All Emails'!$P$5:$P$1067,'All Emails'!$I$5:$I$1067,A44)/SUMIFS('All Emails'!$M$5:$M$1067,'All Emails'!$I$5:$I$1067,A44))</f>
        <v>0.000123946455131383</v>
      </c>
      <c r="S44" s="24" t="n">
        <f aca="false">IF(SUMIFS('All Emails'!$L$5:$L$1067,'All Emails'!$I$5:$I$1067,A44)=0,0,SUMIFS('All Emails'!$Q$5:$Q$1067,'All Emails'!$I$5:$I$1067,A44)/SUMIFS('All Emails'!$L$5:$L$1067,'All Emails'!$I$5:$I$1067,A44))</f>
        <v>0.00210265924551639</v>
      </c>
    </row>
    <row r="45" customFormat="false" ht="15" hidden="false" customHeight="false" outlineLevel="0" collapsed="false">
      <c r="A45" s="2" t="s">
        <v>301</v>
      </c>
    </row>
    <row r="47" customFormat="false" ht="15" hidden="false" customHeight="false" outlineLevel="0" collapsed="false">
      <c r="A47" s="3" t="s">
        <v>302</v>
      </c>
    </row>
    <row r="48" customFormat="false" ht="30" hidden="false" customHeight="true" outlineLevel="0" collapsed="false">
      <c r="A48" s="4" t="s">
        <v>87</v>
      </c>
      <c r="B48" s="4" t="s">
        <v>303</v>
      </c>
    </row>
    <row r="49" customFormat="false" ht="15" hidden="false" customHeight="false" outlineLevel="0" collapsed="false">
      <c r="A49" s="5" t="s">
        <v>258</v>
      </c>
      <c r="B49" s="16" t="n">
        <f aca="false">COUNTIF(G5:G44,A49)</f>
        <v>2</v>
      </c>
    </row>
    <row r="50" customFormat="false" ht="15" hidden="false" customHeight="false" outlineLevel="0" collapsed="false">
      <c r="A50" s="5" t="s">
        <v>155</v>
      </c>
      <c r="B50" s="16" t="n">
        <f aca="false">COUNTIF(G5:G44,A50)</f>
        <v>1</v>
      </c>
    </row>
    <row r="51" customFormat="false" ht="15" hidden="false" customHeight="false" outlineLevel="0" collapsed="false">
      <c r="A51" s="5" t="s">
        <v>104</v>
      </c>
      <c r="B51" s="16" t="n">
        <f aca="false">COUNTIF(G5:G44,A51)</f>
        <v>17</v>
      </c>
    </row>
    <row r="52" customFormat="false" ht="15" hidden="false" customHeight="false" outlineLevel="0" collapsed="false">
      <c r="A52" s="5" t="s">
        <v>148</v>
      </c>
      <c r="B52" s="16" t="n">
        <f aca="false">COUNTIF(G5:G44,A52)</f>
        <v>4</v>
      </c>
    </row>
    <row r="53" customFormat="false" ht="15" hidden="false" customHeight="false" outlineLevel="0" collapsed="false">
      <c r="A53" s="5" t="s">
        <v>141</v>
      </c>
      <c r="B53" s="16" t="n">
        <f aca="false">COUNTIF(G5:G44,A53)</f>
        <v>11</v>
      </c>
    </row>
    <row r="54" customFormat="false" ht="15" hidden="false" customHeight="false" outlineLevel="0" collapsed="false">
      <c r="A54" s="5" t="s">
        <v>210</v>
      </c>
      <c r="B54" s="16" t="n">
        <f aca="false">COUNTIF(G5:G44,A54)</f>
        <v>2</v>
      </c>
    </row>
    <row r="55" customFormat="false" ht="15" hidden="false" customHeight="false" outlineLevel="0" collapsed="false">
      <c r="A55" s="5" t="s">
        <v>205</v>
      </c>
      <c r="B55" s="16" t="n">
        <f aca="false">COUNTIF(G5:G44,A55)</f>
        <v>2</v>
      </c>
    </row>
    <row r="56" customFormat="false" ht="15" hidden="false" customHeight="false" outlineLevel="0" collapsed="false">
      <c r="A56" s="5" t="s">
        <v>195</v>
      </c>
      <c r="B56" s="16" t="n">
        <f aca="false">COUNTIF(G5:G44,A56)</f>
        <v>1</v>
      </c>
    </row>
  </sheetData>
  <autoFilter ref="A4:S44"/>
  <conditionalFormatting sqref="R5:R44">
    <cfRule type="cellIs" priority="2" operator="greaterThan" aboveAverage="0" equalAverage="0" bottom="0" percent="0" rank="0" text="" dxfId="0">
      <formula>0.0035</formula>
    </cfRule>
  </conditionalFormatting>
  <conditionalFormatting sqref="F5:F44">
    <cfRule type="expression" priority="3" aboveAverage="0" equalAverage="0" bottom="0" percent="0" rank="0" text="" dxfId="5">
      <formula>ISNUMBER(SEARCH("Marketing Communications",F5))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6" min="4" style="0" width="9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1" min="10" style="0" width="46"/>
    <col collapsed="false" customWidth="true" hidden="false" outlineLevel="0" max="12" min="12" style="0" width="36"/>
    <col collapsed="false" customWidth="true" hidden="false" outlineLevel="0" max="13" min="13" style="0" width="30"/>
  </cols>
  <sheetData>
    <row r="1" customFormat="false" ht="17.35" hidden="false" customHeight="false" outlineLevel="0" collapsed="false">
      <c r="A1" s="1" t="s">
        <v>304</v>
      </c>
    </row>
    <row r="2" customFormat="false" ht="15" hidden="false" customHeight="false" outlineLevel="0" collapsed="false">
      <c r="A2" s="2" t="s">
        <v>305</v>
      </c>
    </row>
    <row r="4" customFormat="false" ht="30" hidden="false" customHeight="true" outlineLevel="0" collapsed="false">
      <c r="A4" s="4" t="s">
        <v>83</v>
      </c>
      <c r="B4" s="4" t="s">
        <v>6</v>
      </c>
      <c r="C4" s="4" t="s">
        <v>9</v>
      </c>
      <c r="D4" s="4" t="s">
        <v>11</v>
      </c>
      <c r="E4" s="4" t="s">
        <v>12</v>
      </c>
      <c r="F4" s="4" t="s">
        <v>96</v>
      </c>
      <c r="G4" s="4" t="s">
        <v>306</v>
      </c>
      <c r="H4" s="4" t="s">
        <v>93</v>
      </c>
      <c r="I4" s="4" t="s">
        <v>307</v>
      </c>
      <c r="J4" s="4" t="s">
        <v>308</v>
      </c>
      <c r="K4" s="4" t="s">
        <v>309</v>
      </c>
      <c r="L4" s="4" t="s">
        <v>310</v>
      </c>
      <c r="M4" s="4" t="s">
        <v>311</v>
      </c>
    </row>
    <row r="5" customFormat="false" ht="35.05" hidden="false" customHeight="false" outlineLevel="0" collapsed="false">
      <c r="A5" s="5" t="s">
        <v>100</v>
      </c>
      <c r="B5" s="22" t="n">
        <f aca="false">COUNTIFS('All Emails'!$J$5:$J$1067,A5)</f>
        <v>122</v>
      </c>
      <c r="C5" s="16" t="n">
        <f aca="false">SUMIFS('All Emails'!$M$5:$M$1067,'All Emails'!$J$5:$J$1067,A5)</f>
        <v>127077</v>
      </c>
      <c r="D5" s="24" t="n">
        <f aca="false">IF(SUMIFS('All Emails'!$M$5:$M$1067,'All Emails'!$J$5:$J$1067,A5)=0,0,SUMIFS('All Emails'!$N$5:$N$1067,'All Emails'!$J$5:$J$1067,A5)/SUMIFS('All Emails'!$M$5:$M$1067,'All Emails'!$J$5:$J$1067,A5))</f>
        <v>0.213830984363811</v>
      </c>
      <c r="E5" s="24" t="n">
        <f aca="false">IF(SUMIFS('All Emails'!$M$5:$M$1067,'All Emails'!$J$5:$J$1067,A5)=0,0,SUMIFS('All Emails'!$O$5:$O$1067,'All Emails'!$J$5:$J$1067,A5)/SUMIFS('All Emails'!$M$5:$M$1067,'All Emails'!$J$5:$J$1067,A5))</f>
        <v>0.0334206819487397</v>
      </c>
      <c r="F5" s="25" t="n">
        <f aca="false">IF(SUMIFS('All Emails'!$M$5:$M$1067,'All Emails'!$J$5:$J$1067,A5)=0,0,SUMIFS('All Emails'!$P$5:$P$1067,'All Emails'!$J$5:$J$1067,A5)/SUMIFS('All Emails'!$M$5:$M$1067,'All Emails'!$J$5:$J$1067,A5))</f>
        <v>0.0060121028982428</v>
      </c>
      <c r="G5" s="26" t="n">
        <v>46295.2704282407</v>
      </c>
      <c r="H5" s="21" t="str">
        <f aca="false">IF(COUNTIFS('All Emails'!$J$5:$J$1067,A5,'All Emails'!$B$5:$B$1067,"&gt;="&amp;DATE(2026,7,1))&gt;0,"Yes","No")</f>
        <v>Yes</v>
      </c>
      <c r="I5" s="20" t="s">
        <v>98</v>
      </c>
      <c r="J5" s="20" t="s">
        <v>312</v>
      </c>
      <c r="K5" s="20" t="s">
        <v>313</v>
      </c>
      <c r="L5" s="20" t="s">
        <v>314</v>
      </c>
      <c r="M5" s="20" t="s">
        <v>315</v>
      </c>
    </row>
    <row r="6" customFormat="false" ht="68.65" hidden="false" customHeight="false" outlineLevel="0" collapsed="false">
      <c r="A6" s="5" t="s">
        <v>164</v>
      </c>
      <c r="B6" s="22" t="n">
        <f aca="false">COUNTIFS('All Emails'!$J$5:$J$1067,A6)</f>
        <v>99</v>
      </c>
      <c r="C6" s="16" t="n">
        <f aca="false">SUMIFS('All Emails'!$M$5:$M$1067,'All Emails'!$J$5:$J$1067,A6)</f>
        <v>27590</v>
      </c>
      <c r="D6" s="24" t="n">
        <f aca="false">IF(SUMIFS('All Emails'!$M$5:$M$1067,'All Emails'!$J$5:$J$1067,A6)=0,0,SUMIFS('All Emails'!$N$5:$N$1067,'All Emails'!$J$5:$J$1067,A6)/SUMIFS('All Emails'!$M$5:$M$1067,'All Emails'!$J$5:$J$1067,A6))</f>
        <v>0.429793403407032</v>
      </c>
      <c r="E6" s="24" t="n">
        <f aca="false">IF(SUMIFS('All Emails'!$M$5:$M$1067,'All Emails'!$J$5:$J$1067,A6)=0,0,SUMIFS('All Emails'!$O$5:$O$1067,'All Emails'!$J$5:$J$1067,A6)/SUMIFS('All Emails'!$M$5:$M$1067,'All Emails'!$J$5:$J$1067,A6))</f>
        <v>0.0511054729974629</v>
      </c>
      <c r="F6" s="25" t="n">
        <f aca="false">IF(SUMIFS('All Emails'!$M$5:$M$1067,'All Emails'!$J$5:$J$1067,A6)=0,0,SUMIFS('All Emails'!$P$5:$P$1067,'All Emails'!$J$5:$J$1067,A6)/SUMIFS('All Emails'!$M$5:$M$1067,'All Emails'!$J$5:$J$1067,A6))</f>
        <v>0.004929322218195</v>
      </c>
      <c r="G6" s="26" t="n">
        <v>46283.3439236111</v>
      </c>
      <c r="H6" s="21" t="str">
        <f aca="false">IF(COUNTIFS('All Emails'!$J$5:$J$1067,A6,'All Emails'!$B$5:$B$1067,"&gt;="&amp;DATE(2026,7,1))&gt;0,"Yes","No")</f>
        <v>Yes</v>
      </c>
      <c r="I6" s="20" t="s">
        <v>316</v>
      </c>
      <c r="J6" s="20" t="s">
        <v>317</v>
      </c>
      <c r="K6" s="20" t="s">
        <v>318</v>
      </c>
      <c r="L6" s="20" t="s">
        <v>319</v>
      </c>
      <c r="M6" s="20" t="s">
        <v>8</v>
      </c>
    </row>
    <row r="7" customFormat="false" ht="35.05" hidden="false" customHeight="false" outlineLevel="0" collapsed="false">
      <c r="A7" s="5" t="s">
        <v>126</v>
      </c>
      <c r="B7" s="22" t="n">
        <f aca="false">COUNTIFS('All Emails'!$J$5:$J$1067,A7)</f>
        <v>93</v>
      </c>
      <c r="C7" s="16" t="n">
        <f aca="false">SUMIFS('All Emails'!$M$5:$M$1067,'All Emails'!$J$5:$J$1067,A7)</f>
        <v>60374</v>
      </c>
      <c r="D7" s="24" t="n">
        <f aca="false">IF(SUMIFS('All Emails'!$M$5:$M$1067,'All Emails'!$J$5:$J$1067,A7)=0,0,SUMIFS('All Emails'!$N$5:$N$1067,'All Emails'!$J$5:$J$1067,A7)/SUMIFS('All Emails'!$M$5:$M$1067,'All Emails'!$J$5:$J$1067,A7))</f>
        <v>0.308046510087124</v>
      </c>
      <c r="E7" s="24" t="n">
        <f aca="false">IF(SUMIFS('All Emails'!$M$5:$M$1067,'All Emails'!$J$5:$J$1067,A7)=0,0,SUMIFS('All Emails'!$O$5:$O$1067,'All Emails'!$J$5:$J$1067,A7)/SUMIFS('All Emails'!$M$5:$M$1067,'All Emails'!$J$5:$J$1067,A7))</f>
        <v>0.0338556332195978</v>
      </c>
      <c r="F7" s="25" t="n">
        <f aca="false">IF(SUMIFS('All Emails'!$M$5:$M$1067,'All Emails'!$J$5:$J$1067,A7)=0,0,SUMIFS('All Emails'!$P$5:$P$1067,'All Emails'!$J$5:$J$1067,A7)/SUMIFS('All Emails'!$M$5:$M$1067,'All Emails'!$J$5:$J$1067,A7))</f>
        <v>0.00452181402590519</v>
      </c>
      <c r="G7" s="26" t="n">
        <v>46287.8125925926</v>
      </c>
      <c r="H7" s="21" t="str">
        <f aca="false">IF(COUNTIFS('All Emails'!$J$5:$J$1067,A7,'All Emails'!$B$5:$B$1067,"&gt;="&amp;DATE(2026,7,1))&gt;0,"Yes","No")</f>
        <v>Yes</v>
      </c>
      <c r="I7" s="20" t="s">
        <v>320</v>
      </c>
      <c r="J7" s="20" t="s">
        <v>321</v>
      </c>
      <c r="K7" s="20" t="s">
        <v>322</v>
      </c>
      <c r="L7" s="20" t="s">
        <v>323</v>
      </c>
      <c r="M7" s="20" t="s">
        <v>324</v>
      </c>
    </row>
    <row r="8" customFormat="false" ht="23.85" hidden="false" customHeight="false" outlineLevel="0" collapsed="false">
      <c r="A8" s="5" t="s">
        <v>151</v>
      </c>
      <c r="B8" s="22" t="n">
        <f aca="false">COUNTIFS('All Emails'!$J$5:$J$1067,A8)</f>
        <v>62</v>
      </c>
      <c r="C8" s="16" t="n">
        <f aca="false">SUMIFS('All Emails'!$M$5:$M$1067,'All Emails'!$J$5:$J$1067,A8)</f>
        <v>157875</v>
      </c>
      <c r="D8" s="24" t="n">
        <f aca="false">IF(SUMIFS('All Emails'!$M$5:$M$1067,'All Emails'!$J$5:$J$1067,A8)=0,0,SUMIFS('All Emails'!$N$5:$N$1067,'All Emails'!$J$5:$J$1067,A8)/SUMIFS('All Emails'!$M$5:$M$1067,'All Emails'!$J$5:$J$1067,A8))</f>
        <v>0.275148060174188</v>
      </c>
      <c r="E8" s="24" t="n">
        <f aca="false">IF(SUMIFS('All Emails'!$M$5:$M$1067,'All Emails'!$J$5:$J$1067,A8)=0,0,SUMIFS('All Emails'!$O$5:$O$1067,'All Emails'!$J$5:$J$1067,A8)/SUMIFS('All Emails'!$M$5:$M$1067,'All Emails'!$J$5:$J$1067,A8))</f>
        <v>0.0284465558194774</v>
      </c>
      <c r="F8" s="25" t="n">
        <f aca="false">IF(SUMIFS('All Emails'!$M$5:$M$1067,'All Emails'!$J$5:$J$1067,A8)=0,0,SUMIFS('All Emails'!$P$5:$P$1067,'All Emails'!$J$5:$J$1067,A8)/SUMIFS('All Emails'!$M$5:$M$1067,'All Emails'!$J$5:$J$1067,A8))</f>
        <v>0.00796199524940618</v>
      </c>
      <c r="G8" s="26" t="n">
        <v>46295.876712963</v>
      </c>
      <c r="H8" s="21" t="str">
        <f aca="false">IF(COUNTIFS('All Emails'!$J$5:$J$1067,A8,'All Emails'!$B$5:$B$1067,"&gt;="&amp;DATE(2026,7,1))&gt;0,"Yes","No")</f>
        <v>Yes</v>
      </c>
      <c r="I8" s="20" t="s">
        <v>150</v>
      </c>
      <c r="J8" s="20" t="s">
        <v>325</v>
      </c>
      <c r="K8" s="20" t="s">
        <v>326</v>
      </c>
      <c r="L8" s="20" t="s">
        <v>327</v>
      </c>
      <c r="M8" s="20" t="s">
        <v>328</v>
      </c>
    </row>
    <row r="9" customFormat="false" ht="35.05" hidden="false" customHeight="false" outlineLevel="0" collapsed="false">
      <c r="A9" s="5" t="s">
        <v>109</v>
      </c>
      <c r="B9" s="22" t="n">
        <f aca="false">COUNTIFS('All Emails'!$J$5:$J$1067,A9)</f>
        <v>35</v>
      </c>
      <c r="C9" s="16" t="n">
        <f aca="false">SUMIFS('All Emails'!$M$5:$M$1067,'All Emails'!$J$5:$J$1067,A9)</f>
        <v>64276</v>
      </c>
      <c r="D9" s="24" t="n">
        <f aca="false">IF(SUMIFS('All Emails'!$M$5:$M$1067,'All Emails'!$J$5:$J$1067,A9)=0,0,SUMIFS('All Emails'!$N$5:$N$1067,'All Emails'!$J$5:$J$1067,A9)/SUMIFS('All Emails'!$M$5:$M$1067,'All Emails'!$J$5:$J$1067,A9))</f>
        <v>0.250031115813056</v>
      </c>
      <c r="E9" s="24" t="n">
        <f aca="false">IF(SUMIFS('All Emails'!$M$5:$M$1067,'All Emails'!$J$5:$J$1067,A9)=0,0,SUMIFS('All Emails'!$O$5:$O$1067,'All Emails'!$J$5:$J$1067,A9)/SUMIFS('All Emails'!$M$5:$M$1067,'All Emails'!$J$5:$J$1067,A9))</f>
        <v>0.0122129566245566</v>
      </c>
      <c r="F9" s="25" t="n">
        <f aca="false">IF(SUMIFS('All Emails'!$M$5:$M$1067,'All Emails'!$J$5:$J$1067,A9)=0,0,SUMIFS('All Emails'!$P$5:$P$1067,'All Emails'!$J$5:$J$1067,A9)/SUMIFS('All Emails'!$M$5:$M$1067,'All Emails'!$J$5:$J$1067,A9))</f>
        <v>0.00933474391685855</v>
      </c>
      <c r="G9" s="26" t="n">
        <v>46295.1250810185</v>
      </c>
      <c r="H9" s="21" t="str">
        <f aca="false">IF(COUNTIFS('All Emails'!$J$5:$J$1067,A9,'All Emails'!$B$5:$B$1067,"&gt;="&amp;DATE(2026,7,1))&gt;0,"Yes","No")</f>
        <v>Yes</v>
      </c>
      <c r="I9" s="20" t="s">
        <v>329</v>
      </c>
      <c r="J9" s="20" t="s">
        <v>330</v>
      </c>
      <c r="K9" s="20" t="s">
        <v>331</v>
      </c>
      <c r="L9" s="20" t="s">
        <v>332</v>
      </c>
      <c r="M9" s="20" t="s">
        <v>333</v>
      </c>
    </row>
    <row r="10" customFormat="false" ht="35.05" hidden="false" customHeight="false" outlineLevel="0" collapsed="false">
      <c r="A10" s="5" t="s">
        <v>144</v>
      </c>
      <c r="B10" s="22" t="n">
        <f aca="false">COUNTIFS('All Emails'!$J$5:$J$1067,A10)</f>
        <v>34</v>
      </c>
      <c r="C10" s="16" t="n">
        <f aca="false">SUMIFS('All Emails'!$M$5:$M$1067,'All Emails'!$J$5:$J$1067,A10)</f>
        <v>42201</v>
      </c>
      <c r="D10" s="24" t="n">
        <f aca="false">IF(SUMIFS('All Emails'!$M$5:$M$1067,'All Emails'!$J$5:$J$1067,A10)=0,0,SUMIFS('All Emails'!$N$5:$N$1067,'All Emails'!$J$5:$J$1067,A10)/SUMIFS('All Emails'!$M$5:$M$1067,'All Emails'!$J$5:$J$1067,A10))</f>
        <v>0.305537783464847</v>
      </c>
      <c r="E10" s="24" t="n">
        <f aca="false">IF(SUMIFS('All Emails'!$M$5:$M$1067,'All Emails'!$J$5:$J$1067,A10)=0,0,SUMIFS('All Emails'!$O$5:$O$1067,'All Emails'!$J$5:$J$1067,A10)/SUMIFS('All Emails'!$M$5:$M$1067,'All Emails'!$J$5:$J$1067,A10))</f>
        <v>0.0329850003554418</v>
      </c>
      <c r="F10" s="25" t="n">
        <f aca="false">IF(SUMIFS('All Emails'!$M$5:$M$1067,'All Emails'!$J$5:$J$1067,A10)=0,0,SUMIFS('All Emails'!$P$5:$P$1067,'All Emails'!$J$5:$J$1067,A10)/SUMIFS('All Emails'!$M$5:$M$1067,'All Emails'!$J$5:$J$1067,A10))</f>
        <v>0.0129380820359707</v>
      </c>
      <c r="G10" s="26" t="n">
        <v>46269.0834490741</v>
      </c>
      <c r="H10" s="21" t="str">
        <f aca="false">IF(COUNTIFS('All Emails'!$J$5:$J$1067,A10,'All Emails'!$B$5:$B$1067,"&gt;="&amp;DATE(2026,7,1))&gt;0,"Yes","No")</f>
        <v>Yes</v>
      </c>
      <c r="I10" s="20" t="s">
        <v>143</v>
      </c>
      <c r="J10" s="20" t="s">
        <v>334</v>
      </c>
      <c r="K10" s="20" t="s">
        <v>335</v>
      </c>
      <c r="L10" s="20" t="s">
        <v>336</v>
      </c>
      <c r="M10" s="20" t="s">
        <v>337</v>
      </c>
    </row>
    <row r="11" customFormat="false" ht="23.85" hidden="false" customHeight="false" outlineLevel="0" collapsed="false">
      <c r="A11" s="5" t="s">
        <v>287</v>
      </c>
      <c r="B11" s="22" t="n">
        <f aca="false">COUNTIFS('All Emails'!$J$5:$J$1067,A11)</f>
        <v>31</v>
      </c>
      <c r="C11" s="16" t="n">
        <f aca="false">SUMIFS('All Emails'!$M$5:$M$1067,'All Emails'!$J$5:$J$1067,A11)</f>
        <v>6437</v>
      </c>
      <c r="D11" s="24" t="n">
        <f aca="false">IF(SUMIFS('All Emails'!$M$5:$M$1067,'All Emails'!$J$5:$J$1067,A11)=0,0,SUMIFS('All Emails'!$N$5:$N$1067,'All Emails'!$J$5:$J$1067,A11)/SUMIFS('All Emails'!$M$5:$M$1067,'All Emails'!$J$5:$J$1067,A11))</f>
        <v>0.298741649836881</v>
      </c>
      <c r="E11" s="24" t="n">
        <f aca="false">IF(SUMIFS('All Emails'!$M$5:$M$1067,'All Emails'!$J$5:$J$1067,A11)=0,0,SUMIFS('All Emails'!$O$5:$O$1067,'All Emails'!$J$5:$J$1067,A11)/SUMIFS('All Emails'!$M$5:$M$1067,'All Emails'!$J$5:$J$1067,A11))</f>
        <v>0.0602765263321423</v>
      </c>
      <c r="F11" s="25" t="n">
        <f aca="false">IF(SUMIFS('All Emails'!$M$5:$M$1067,'All Emails'!$J$5:$J$1067,A11)=0,0,SUMIFS('All Emails'!$P$5:$P$1067,'All Emails'!$J$5:$J$1067,A11)/SUMIFS('All Emails'!$M$5:$M$1067,'All Emails'!$J$5:$J$1067,A11))</f>
        <v>0.00528196364766195</v>
      </c>
      <c r="G11" s="26" t="n">
        <v>46279.473587963</v>
      </c>
      <c r="H11" s="21" t="str">
        <f aca="false">IF(COUNTIFS('All Emails'!$J$5:$J$1067,A11,'All Emails'!$B$5:$B$1067,"&gt;="&amp;DATE(2026,7,1))&gt;0,"Yes","No")</f>
        <v>Yes</v>
      </c>
      <c r="I11" s="20" t="s">
        <v>338</v>
      </c>
      <c r="J11" s="20" t="s">
        <v>339</v>
      </c>
      <c r="K11" s="20" t="s">
        <v>340</v>
      </c>
      <c r="L11" s="20" t="s">
        <v>341</v>
      </c>
      <c r="M11" s="20" t="s">
        <v>8</v>
      </c>
    </row>
    <row r="12" customFormat="false" ht="35.05" hidden="false" customHeight="false" outlineLevel="0" collapsed="false">
      <c r="A12" s="5" t="s">
        <v>236</v>
      </c>
      <c r="B12" s="22" t="n">
        <f aca="false">COUNTIFS('All Emails'!$J$5:$J$1067,A12)</f>
        <v>31</v>
      </c>
      <c r="C12" s="16" t="n">
        <f aca="false">SUMIFS('All Emails'!$M$5:$M$1067,'All Emails'!$J$5:$J$1067,A12)</f>
        <v>66663</v>
      </c>
      <c r="D12" s="24" t="n">
        <f aca="false">IF(SUMIFS('All Emails'!$M$5:$M$1067,'All Emails'!$J$5:$J$1067,A12)=0,0,SUMIFS('All Emails'!$N$5:$N$1067,'All Emails'!$J$5:$J$1067,A12)/SUMIFS('All Emails'!$M$5:$M$1067,'All Emails'!$J$5:$J$1067,A12))</f>
        <v>0.21797698873438</v>
      </c>
      <c r="E12" s="24" t="n">
        <f aca="false">IF(SUMIFS('All Emails'!$M$5:$M$1067,'All Emails'!$J$5:$J$1067,A12)=0,0,SUMIFS('All Emails'!$O$5:$O$1067,'All Emails'!$J$5:$J$1067,A12)/SUMIFS('All Emails'!$M$5:$M$1067,'All Emails'!$J$5:$J$1067,A12))</f>
        <v>0.0395871772947512</v>
      </c>
      <c r="F12" s="25" t="n">
        <f aca="false">IF(SUMIFS('All Emails'!$M$5:$M$1067,'All Emails'!$J$5:$J$1067,A12)=0,0,SUMIFS('All Emails'!$P$5:$P$1067,'All Emails'!$J$5:$J$1067,A12)/SUMIFS('All Emails'!$M$5:$M$1067,'All Emails'!$J$5:$J$1067,A12))</f>
        <v>0.00340518728530069</v>
      </c>
      <c r="G12" s="26" t="n">
        <v>46271.9796296296</v>
      </c>
      <c r="H12" s="21" t="str">
        <f aca="false">IF(COUNTIFS('All Emails'!$J$5:$J$1067,A12,'All Emails'!$B$5:$B$1067,"&gt;="&amp;DATE(2026,7,1))&gt;0,"Yes","No")</f>
        <v>Yes</v>
      </c>
      <c r="I12" s="20" t="s">
        <v>342</v>
      </c>
      <c r="J12" s="20" t="s">
        <v>343</v>
      </c>
      <c r="K12" s="20" t="s">
        <v>344</v>
      </c>
      <c r="L12" s="20" t="s">
        <v>345</v>
      </c>
      <c r="M12" s="20" t="s">
        <v>346</v>
      </c>
    </row>
    <row r="13" customFormat="false" ht="23.85" hidden="false" customHeight="false" outlineLevel="0" collapsed="false">
      <c r="A13" s="5" t="s">
        <v>121</v>
      </c>
      <c r="B13" s="22" t="n">
        <f aca="false">COUNTIFS('All Emails'!$J$5:$J$1067,A13)</f>
        <v>26</v>
      </c>
      <c r="C13" s="16" t="n">
        <f aca="false">SUMIFS('All Emails'!$M$5:$M$1067,'All Emails'!$J$5:$J$1067,A13)</f>
        <v>54364</v>
      </c>
      <c r="D13" s="24" t="n">
        <f aca="false">IF(SUMIFS('All Emails'!$M$5:$M$1067,'All Emails'!$J$5:$J$1067,A13)=0,0,SUMIFS('All Emails'!$N$5:$N$1067,'All Emails'!$J$5:$J$1067,A13)/SUMIFS('All Emails'!$M$5:$M$1067,'All Emails'!$J$5:$J$1067,A13))</f>
        <v>0.285814141711427</v>
      </c>
      <c r="E13" s="24" t="n">
        <f aca="false">IF(SUMIFS('All Emails'!$M$5:$M$1067,'All Emails'!$J$5:$J$1067,A13)=0,0,SUMIFS('All Emails'!$O$5:$O$1067,'All Emails'!$J$5:$J$1067,A13)/SUMIFS('All Emails'!$M$5:$M$1067,'All Emails'!$J$5:$J$1067,A13))</f>
        <v>0.0295783974689133</v>
      </c>
      <c r="F13" s="25" t="n">
        <f aca="false">IF(SUMIFS('All Emails'!$M$5:$M$1067,'All Emails'!$J$5:$J$1067,A13)=0,0,SUMIFS('All Emails'!$P$5:$P$1067,'All Emails'!$J$5:$J$1067,A13)/SUMIFS('All Emails'!$M$5:$M$1067,'All Emails'!$J$5:$J$1067,A13))</f>
        <v>0.00785446251195644</v>
      </c>
      <c r="G13" s="26" t="n">
        <v>46282.1130902778</v>
      </c>
      <c r="H13" s="21" t="str">
        <f aca="false">IF(COUNTIFS('All Emails'!$J$5:$J$1067,A13,'All Emails'!$B$5:$B$1067,"&gt;="&amp;DATE(2026,7,1))&gt;0,"Yes","No")</f>
        <v>Yes</v>
      </c>
      <c r="I13" s="20" t="s">
        <v>120</v>
      </c>
      <c r="J13" s="20" t="s">
        <v>347</v>
      </c>
      <c r="K13" s="20" t="s">
        <v>348</v>
      </c>
      <c r="L13" s="20" t="s">
        <v>349</v>
      </c>
      <c r="M13" s="20" t="s">
        <v>350</v>
      </c>
    </row>
    <row r="14" customFormat="false" ht="57.45" hidden="false" customHeight="false" outlineLevel="0" collapsed="false">
      <c r="A14" s="5" t="s">
        <v>191</v>
      </c>
      <c r="B14" s="22" t="n">
        <f aca="false">COUNTIFS('All Emails'!$J$5:$J$1067,A14)</f>
        <v>25</v>
      </c>
      <c r="C14" s="16" t="n">
        <f aca="false">SUMIFS('All Emails'!$M$5:$M$1067,'All Emails'!$J$5:$J$1067,A14)</f>
        <v>97081</v>
      </c>
      <c r="D14" s="24" t="n">
        <f aca="false">IF(SUMIFS('All Emails'!$M$5:$M$1067,'All Emails'!$J$5:$J$1067,A14)=0,0,SUMIFS('All Emails'!$N$5:$N$1067,'All Emails'!$J$5:$J$1067,A14)/SUMIFS('All Emails'!$M$5:$M$1067,'All Emails'!$J$5:$J$1067,A14))</f>
        <v>0.260122990080448</v>
      </c>
      <c r="E14" s="24" t="n">
        <f aca="false">IF(SUMIFS('All Emails'!$M$5:$M$1067,'All Emails'!$J$5:$J$1067,A14)=0,0,SUMIFS('All Emails'!$O$5:$O$1067,'All Emails'!$J$5:$J$1067,A14)/SUMIFS('All Emails'!$M$5:$M$1067,'All Emails'!$J$5:$J$1067,A14))</f>
        <v>0.0154304137781852</v>
      </c>
      <c r="F14" s="25" t="n">
        <f aca="false">IF(SUMIFS('All Emails'!$M$5:$M$1067,'All Emails'!$J$5:$J$1067,A14)=0,0,SUMIFS('All Emails'!$P$5:$P$1067,'All Emails'!$J$5:$J$1067,A14)/SUMIFS('All Emails'!$M$5:$M$1067,'All Emails'!$J$5:$J$1067,A14))</f>
        <v>0.00817873734304344</v>
      </c>
      <c r="G14" s="26" t="n">
        <v>46288.5068518519</v>
      </c>
      <c r="H14" s="21" t="str">
        <f aca="false">IF(COUNTIFS('All Emails'!$J$5:$J$1067,A14,'All Emails'!$B$5:$B$1067,"&gt;="&amp;DATE(2026,7,1))&gt;0,"Yes","No")</f>
        <v>Yes</v>
      </c>
      <c r="I14" s="20" t="s">
        <v>351</v>
      </c>
      <c r="J14" s="20" t="s">
        <v>352</v>
      </c>
      <c r="K14" s="20" t="s">
        <v>353</v>
      </c>
      <c r="L14" s="20" t="s">
        <v>8</v>
      </c>
      <c r="M14" s="20" t="s">
        <v>8</v>
      </c>
    </row>
    <row r="15" customFormat="false" ht="35.05" hidden="false" customHeight="false" outlineLevel="0" collapsed="false">
      <c r="A15" s="5" t="s">
        <v>354</v>
      </c>
      <c r="B15" s="22" t="n">
        <f aca="false">COUNTIFS('All Emails'!$J$5:$J$1067,A15)</f>
        <v>23</v>
      </c>
      <c r="C15" s="16" t="n">
        <f aca="false">SUMIFS('All Emails'!$M$5:$M$1067,'All Emails'!$J$5:$J$1067,A15)</f>
        <v>30441</v>
      </c>
      <c r="D15" s="24" t="n">
        <f aca="false">IF(SUMIFS('All Emails'!$M$5:$M$1067,'All Emails'!$J$5:$J$1067,A15)=0,0,SUMIFS('All Emails'!$N$5:$N$1067,'All Emails'!$J$5:$J$1067,A15)/SUMIFS('All Emails'!$M$5:$M$1067,'All Emails'!$J$5:$J$1067,A15))</f>
        <v>0.191255215006077</v>
      </c>
      <c r="E15" s="24" t="n">
        <f aca="false">IF(SUMIFS('All Emails'!$M$5:$M$1067,'All Emails'!$J$5:$J$1067,A15)=0,0,SUMIFS('All Emails'!$O$5:$O$1067,'All Emails'!$J$5:$J$1067,A15)/SUMIFS('All Emails'!$M$5:$M$1067,'All Emails'!$J$5:$J$1067,A15))</f>
        <v>0.0532834006767189</v>
      </c>
      <c r="F15" s="25" t="n">
        <f aca="false">IF(SUMIFS('All Emails'!$M$5:$M$1067,'All Emails'!$J$5:$J$1067,A15)=0,0,SUMIFS('All Emails'!$P$5:$P$1067,'All Emails'!$J$5:$J$1067,A15)/SUMIFS('All Emails'!$M$5:$M$1067,'All Emails'!$J$5:$J$1067,A15))</f>
        <v>0.0091324200913242</v>
      </c>
      <c r="G15" s="26" t="n">
        <v>46287.401099537</v>
      </c>
      <c r="H15" s="21" t="str">
        <f aca="false">IF(COUNTIFS('All Emails'!$J$5:$J$1067,A15,'All Emails'!$B$5:$B$1067,"&gt;="&amp;DATE(2026,7,1))&gt;0,"Yes","No")</f>
        <v>Yes</v>
      </c>
      <c r="I15" s="20" t="s">
        <v>8</v>
      </c>
      <c r="J15" s="20" t="s">
        <v>355</v>
      </c>
      <c r="K15" s="20" t="s">
        <v>356</v>
      </c>
      <c r="L15" s="20" t="s">
        <v>8</v>
      </c>
      <c r="M15" s="20" t="s">
        <v>8</v>
      </c>
    </row>
    <row r="16" customFormat="false" ht="23.85" hidden="false" customHeight="false" outlineLevel="0" collapsed="false">
      <c r="A16" s="5" t="s">
        <v>357</v>
      </c>
      <c r="B16" s="22" t="n">
        <f aca="false">COUNTIFS('All Emails'!$J$5:$J$1067,A16)</f>
        <v>20</v>
      </c>
      <c r="C16" s="16" t="n">
        <f aca="false">SUMIFS('All Emails'!$M$5:$M$1067,'All Emails'!$J$5:$J$1067,A16)</f>
        <v>2708</v>
      </c>
      <c r="D16" s="24" t="n">
        <f aca="false">IF(SUMIFS('All Emails'!$M$5:$M$1067,'All Emails'!$J$5:$J$1067,A16)=0,0,SUMIFS('All Emails'!$N$5:$N$1067,'All Emails'!$J$5:$J$1067,A16)/SUMIFS('All Emails'!$M$5:$M$1067,'All Emails'!$J$5:$J$1067,A16))</f>
        <v>0.345642540620384</v>
      </c>
      <c r="E16" s="24" t="n">
        <f aca="false">IF(SUMIFS('All Emails'!$M$5:$M$1067,'All Emails'!$J$5:$J$1067,A16)=0,0,SUMIFS('All Emails'!$O$5:$O$1067,'All Emails'!$J$5:$J$1067,A16)/SUMIFS('All Emails'!$M$5:$M$1067,'All Emails'!$J$5:$J$1067,A16))</f>
        <v>0.094903988183161</v>
      </c>
      <c r="F16" s="25" t="n">
        <f aca="false">IF(SUMIFS('All Emails'!$M$5:$M$1067,'All Emails'!$J$5:$J$1067,A16)=0,0,SUMIFS('All Emails'!$P$5:$P$1067,'All Emails'!$J$5:$J$1067,A16)/SUMIFS('All Emails'!$M$5:$M$1067,'All Emails'!$J$5:$J$1067,A16))</f>
        <v>0.00184638109305761</v>
      </c>
      <c r="G16" s="26" t="n">
        <v>46293.277962963</v>
      </c>
      <c r="H16" s="21" t="str">
        <f aca="false">IF(COUNTIFS('All Emails'!$J$5:$J$1067,A16,'All Emails'!$B$5:$B$1067,"&gt;="&amp;DATE(2026,7,1))&gt;0,"Yes","No")</f>
        <v>Yes</v>
      </c>
      <c r="I16" s="20" t="s">
        <v>8</v>
      </c>
      <c r="J16" s="20" t="s">
        <v>358</v>
      </c>
      <c r="K16" s="20" t="s">
        <v>359</v>
      </c>
      <c r="L16" s="20" t="s">
        <v>341</v>
      </c>
      <c r="M16" s="20" t="s">
        <v>360</v>
      </c>
    </row>
    <row r="17" customFormat="false" ht="35.05" hidden="false" customHeight="false" outlineLevel="0" collapsed="false">
      <c r="A17" s="5" t="s">
        <v>229</v>
      </c>
      <c r="B17" s="22" t="n">
        <f aca="false">COUNTIFS('All Emails'!$J$5:$J$1067,A17)</f>
        <v>18</v>
      </c>
      <c r="C17" s="16" t="n">
        <f aca="false">SUMIFS('All Emails'!$M$5:$M$1067,'All Emails'!$J$5:$J$1067,A17)</f>
        <v>6478</v>
      </c>
      <c r="D17" s="24" t="n">
        <f aca="false">IF(SUMIFS('All Emails'!$M$5:$M$1067,'All Emails'!$J$5:$J$1067,A17)=0,0,SUMIFS('All Emails'!$N$5:$N$1067,'All Emails'!$J$5:$J$1067,A17)/SUMIFS('All Emails'!$M$5:$M$1067,'All Emails'!$J$5:$J$1067,A17))</f>
        <v>0.288514973757333</v>
      </c>
      <c r="E17" s="24" t="n">
        <f aca="false">IF(SUMIFS('All Emails'!$M$5:$M$1067,'All Emails'!$J$5:$J$1067,A17)=0,0,SUMIFS('All Emails'!$O$5:$O$1067,'All Emails'!$J$5:$J$1067,A17)/SUMIFS('All Emails'!$M$5:$M$1067,'All Emails'!$J$5:$J$1067,A17))</f>
        <v>0.0481630132757024</v>
      </c>
      <c r="F17" s="25" t="n">
        <f aca="false">IF(SUMIFS('All Emails'!$M$5:$M$1067,'All Emails'!$J$5:$J$1067,A17)=0,0,SUMIFS('All Emails'!$P$5:$P$1067,'All Emails'!$J$5:$J$1067,A17)/SUMIFS('All Emails'!$M$5:$M$1067,'All Emails'!$J$5:$J$1067,A17))</f>
        <v>0.00370484717505403</v>
      </c>
      <c r="G17" s="26" t="n">
        <v>46279.5744444444</v>
      </c>
      <c r="H17" s="21" t="str">
        <f aca="false">IF(COUNTIFS('All Emails'!$J$5:$J$1067,A17,'All Emails'!$B$5:$B$1067,"&gt;="&amp;DATE(2026,7,1))&gt;0,"Yes","No")</f>
        <v>Yes</v>
      </c>
      <c r="I17" s="20" t="s">
        <v>228</v>
      </c>
      <c r="J17" s="20" t="s">
        <v>361</v>
      </c>
      <c r="K17" s="20" t="s">
        <v>362</v>
      </c>
      <c r="L17" s="20" t="s">
        <v>8</v>
      </c>
      <c r="M17" s="20" t="s">
        <v>363</v>
      </c>
    </row>
    <row r="18" customFormat="false" ht="23.85" hidden="false" customHeight="false" outlineLevel="0" collapsed="false">
      <c r="A18" s="5" t="s">
        <v>364</v>
      </c>
      <c r="B18" s="22" t="n">
        <f aca="false">COUNTIFS('All Emails'!$J$5:$J$1067,A18)</f>
        <v>17</v>
      </c>
      <c r="C18" s="16" t="n">
        <f aca="false">SUMIFS('All Emails'!$M$5:$M$1067,'All Emails'!$J$5:$J$1067,A18)</f>
        <v>8814</v>
      </c>
      <c r="D18" s="24" t="n">
        <f aca="false">IF(SUMIFS('All Emails'!$M$5:$M$1067,'All Emails'!$J$5:$J$1067,A18)=0,0,SUMIFS('All Emails'!$N$5:$N$1067,'All Emails'!$J$5:$J$1067,A18)/SUMIFS('All Emails'!$M$5:$M$1067,'All Emails'!$J$5:$J$1067,A18))</f>
        <v>0.456319491717722</v>
      </c>
      <c r="E18" s="24" t="n">
        <f aca="false">IF(SUMIFS('All Emails'!$M$5:$M$1067,'All Emails'!$J$5:$J$1067,A18)=0,0,SUMIFS('All Emails'!$O$5:$O$1067,'All Emails'!$J$5:$J$1067,A18)/SUMIFS('All Emails'!$M$5:$M$1067,'All Emails'!$J$5:$J$1067,A18))</f>
        <v>0.0415248468345813</v>
      </c>
      <c r="F18" s="25" t="n">
        <f aca="false">IF(SUMIFS('All Emails'!$M$5:$M$1067,'All Emails'!$J$5:$J$1067,A18)=0,0,SUMIFS('All Emails'!$P$5:$P$1067,'All Emails'!$J$5:$J$1067,A18)/SUMIFS('All Emails'!$M$5:$M$1067,'All Emails'!$J$5:$J$1067,A18))</f>
        <v>0.00884955752212389</v>
      </c>
      <c r="G18" s="26" t="n">
        <v>46174.1681944444</v>
      </c>
      <c r="H18" s="21" t="str">
        <f aca="false">IF(COUNTIFS('All Emails'!$J$5:$J$1067,A18,'All Emails'!$B$5:$B$1067,"&gt;="&amp;DATE(2026,7,1))&gt;0,"Yes","No")</f>
        <v>No</v>
      </c>
      <c r="I18" s="20" t="s">
        <v>8</v>
      </c>
      <c r="J18" s="20" t="s">
        <v>365</v>
      </c>
      <c r="K18" s="20" t="s">
        <v>366</v>
      </c>
      <c r="L18" s="20" t="s">
        <v>367</v>
      </c>
      <c r="M18" s="20" t="s">
        <v>8</v>
      </c>
    </row>
    <row r="19" customFormat="false" ht="23.85" hidden="false" customHeight="false" outlineLevel="0" collapsed="false">
      <c r="A19" s="5" t="s">
        <v>115</v>
      </c>
      <c r="B19" s="22" t="n">
        <f aca="false">COUNTIFS('All Emails'!$J$5:$J$1067,A19)</f>
        <v>15</v>
      </c>
      <c r="C19" s="16" t="n">
        <f aca="false">SUMIFS('All Emails'!$M$5:$M$1067,'All Emails'!$J$5:$J$1067,A19)</f>
        <v>35896</v>
      </c>
      <c r="D19" s="24" t="n">
        <f aca="false">IF(SUMIFS('All Emails'!$M$5:$M$1067,'All Emails'!$J$5:$J$1067,A19)=0,0,SUMIFS('All Emails'!$N$5:$N$1067,'All Emails'!$J$5:$J$1067,A19)/SUMIFS('All Emails'!$M$5:$M$1067,'All Emails'!$J$5:$J$1067,A19))</f>
        <v>0.256351682638734</v>
      </c>
      <c r="E19" s="24" t="n">
        <f aca="false">IF(SUMIFS('All Emails'!$M$5:$M$1067,'All Emails'!$J$5:$J$1067,A19)=0,0,SUMIFS('All Emails'!$O$5:$O$1067,'All Emails'!$J$5:$J$1067,A19)/SUMIFS('All Emails'!$M$5:$M$1067,'All Emails'!$J$5:$J$1067,A19))</f>
        <v>0.0317026966792957</v>
      </c>
      <c r="F19" s="25" t="n">
        <f aca="false">IF(SUMIFS('All Emails'!$M$5:$M$1067,'All Emails'!$J$5:$J$1067,A19)=0,0,SUMIFS('All Emails'!$P$5:$P$1067,'All Emails'!$J$5:$J$1067,A19)/SUMIFS('All Emails'!$M$5:$M$1067,'All Emails'!$J$5:$J$1067,A19))</f>
        <v>0.0096389569868509</v>
      </c>
      <c r="G19" s="26" t="n">
        <v>46294.3823263889</v>
      </c>
      <c r="H19" s="21" t="str">
        <f aca="false">IF(COUNTIFS('All Emails'!$J$5:$J$1067,A19,'All Emails'!$B$5:$B$1067,"&gt;="&amp;DATE(2026,7,1))&gt;0,"Yes","No")</f>
        <v>Yes</v>
      </c>
      <c r="I19" s="20" t="s">
        <v>114</v>
      </c>
      <c r="J19" s="20" t="s">
        <v>368</v>
      </c>
      <c r="K19" s="20" t="s">
        <v>369</v>
      </c>
      <c r="L19" s="20" t="s">
        <v>370</v>
      </c>
      <c r="M19" s="20" t="s">
        <v>8</v>
      </c>
    </row>
    <row r="20" customFormat="false" ht="23.85" hidden="false" customHeight="false" outlineLevel="0" collapsed="false">
      <c r="A20" s="5" t="s">
        <v>184</v>
      </c>
      <c r="B20" s="22" t="n">
        <f aca="false">COUNTIFS('All Emails'!$J$5:$J$1067,A20)</f>
        <v>14</v>
      </c>
      <c r="C20" s="16" t="n">
        <f aca="false">SUMIFS('All Emails'!$M$5:$M$1067,'All Emails'!$J$5:$J$1067,A20)</f>
        <v>2266</v>
      </c>
      <c r="D20" s="24" t="n">
        <f aca="false">IF(SUMIFS('All Emails'!$M$5:$M$1067,'All Emails'!$J$5:$J$1067,A20)=0,0,SUMIFS('All Emails'!$N$5:$N$1067,'All Emails'!$J$5:$J$1067,A20)/SUMIFS('All Emails'!$M$5:$M$1067,'All Emails'!$J$5:$J$1067,A20))</f>
        <v>0.34333627537511</v>
      </c>
      <c r="E20" s="24" t="n">
        <f aca="false">IF(SUMIFS('All Emails'!$M$5:$M$1067,'All Emails'!$J$5:$J$1067,A20)=0,0,SUMIFS('All Emails'!$O$5:$O$1067,'All Emails'!$J$5:$J$1067,A20)/SUMIFS('All Emails'!$M$5:$M$1067,'All Emails'!$J$5:$J$1067,A20))</f>
        <v>0.0759046778464254</v>
      </c>
      <c r="F20" s="25" t="n">
        <f aca="false">IF(SUMIFS('All Emails'!$M$5:$M$1067,'All Emails'!$J$5:$J$1067,A20)=0,0,SUMIFS('All Emails'!$P$5:$P$1067,'All Emails'!$J$5:$J$1067,A20)/SUMIFS('All Emails'!$M$5:$M$1067,'All Emails'!$J$5:$J$1067,A20))</f>
        <v>0.00529567519858782</v>
      </c>
      <c r="G20" s="26" t="n">
        <v>46210.229525463</v>
      </c>
      <c r="H20" s="21" t="str">
        <f aca="false">IF(COUNTIFS('All Emails'!$J$5:$J$1067,A20,'All Emails'!$B$5:$B$1067,"&gt;="&amp;DATE(2026,7,1))&gt;0,"Yes","No")</f>
        <v>Yes</v>
      </c>
      <c r="I20" s="20" t="s">
        <v>183</v>
      </c>
      <c r="J20" s="20" t="s">
        <v>371</v>
      </c>
      <c r="K20" s="20" t="s">
        <v>372</v>
      </c>
      <c r="L20" s="20" t="s">
        <v>373</v>
      </c>
      <c r="M20" s="20" t="s">
        <v>374</v>
      </c>
    </row>
    <row r="21" customFormat="false" ht="23.85" hidden="false" customHeight="false" outlineLevel="0" collapsed="false">
      <c r="A21" s="5" t="s">
        <v>375</v>
      </c>
      <c r="B21" s="22" t="n">
        <f aca="false">COUNTIFS('All Emails'!$J$5:$J$1067,A21)</f>
        <v>13</v>
      </c>
      <c r="C21" s="16" t="n">
        <f aca="false">SUMIFS('All Emails'!$M$5:$M$1067,'All Emails'!$J$5:$J$1067,A21)</f>
        <v>4587</v>
      </c>
      <c r="D21" s="24" t="n">
        <f aca="false">IF(SUMIFS('All Emails'!$M$5:$M$1067,'All Emails'!$J$5:$J$1067,A21)=0,0,SUMIFS('All Emails'!$N$5:$N$1067,'All Emails'!$J$5:$J$1067,A21)/SUMIFS('All Emails'!$M$5:$M$1067,'All Emails'!$J$5:$J$1067,A21))</f>
        <v>0.4216263352954</v>
      </c>
      <c r="E21" s="24" t="n">
        <f aca="false">IF(SUMIFS('All Emails'!$M$5:$M$1067,'All Emails'!$J$5:$J$1067,A21)=0,0,SUMIFS('All Emails'!$O$5:$O$1067,'All Emails'!$J$5:$J$1067,A21)/SUMIFS('All Emails'!$M$5:$M$1067,'All Emails'!$J$5:$J$1067,A21))</f>
        <v>0.110093743187268</v>
      </c>
      <c r="F21" s="25" t="n">
        <f aca="false">IF(SUMIFS('All Emails'!$M$5:$M$1067,'All Emails'!$J$5:$J$1067,A21)=0,0,SUMIFS('All Emails'!$P$5:$P$1067,'All Emails'!$J$5:$J$1067,A21)/SUMIFS('All Emails'!$M$5:$M$1067,'All Emails'!$J$5:$J$1067,A21))</f>
        <v>0.00763025942882058</v>
      </c>
      <c r="G21" s="26" t="n">
        <v>46295.0129861111</v>
      </c>
      <c r="H21" s="21" t="str">
        <f aca="false">IF(COUNTIFS('All Emails'!$J$5:$J$1067,A21,'All Emails'!$B$5:$B$1067,"&gt;="&amp;DATE(2026,7,1))&gt;0,"Yes","No")</f>
        <v>Yes</v>
      </c>
      <c r="I21" s="20" t="s">
        <v>8</v>
      </c>
      <c r="J21" s="20" t="s">
        <v>376</v>
      </c>
      <c r="K21" s="20" t="s">
        <v>377</v>
      </c>
      <c r="L21" s="20" t="s">
        <v>341</v>
      </c>
      <c r="M21" s="20" t="s">
        <v>8</v>
      </c>
    </row>
    <row r="22" customFormat="false" ht="35.05" hidden="false" customHeight="false" outlineLevel="0" collapsed="false">
      <c r="A22" s="5" t="s">
        <v>170</v>
      </c>
      <c r="B22" s="22" t="n">
        <f aca="false">COUNTIFS('All Emails'!$J$5:$J$1067,A22)</f>
        <v>13</v>
      </c>
      <c r="C22" s="16" t="n">
        <f aca="false">SUMIFS('All Emails'!$M$5:$M$1067,'All Emails'!$J$5:$J$1067,A22)</f>
        <v>11728</v>
      </c>
      <c r="D22" s="24" t="n">
        <f aca="false">IF(SUMIFS('All Emails'!$M$5:$M$1067,'All Emails'!$J$5:$J$1067,A22)=0,0,SUMIFS('All Emails'!$N$5:$N$1067,'All Emails'!$J$5:$J$1067,A22)/SUMIFS('All Emails'!$M$5:$M$1067,'All Emails'!$J$5:$J$1067,A22))</f>
        <v>0.241302864938608</v>
      </c>
      <c r="E22" s="24" t="n">
        <f aca="false">IF(SUMIFS('All Emails'!$M$5:$M$1067,'All Emails'!$J$5:$J$1067,A22)=0,0,SUMIFS('All Emails'!$O$5:$O$1067,'All Emails'!$J$5:$J$1067,A22)/SUMIFS('All Emails'!$M$5:$M$1067,'All Emails'!$J$5:$J$1067,A22))</f>
        <v>0.0186732605729877</v>
      </c>
      <c r="F22" s="25" t="n">
        <f aca="false">IF(SUMIFS('All Emails'!$M$5:$M$1067,'All Emails'!$J$5:$J$1067,A22)=0,0,SUMIFS('All Emails'!$P$5:$P$1067,'All Emails'!$J$5:$J$1067,A22)/SUMIFS('All Emails'!$M$5:$M$1067,'All Emails'!$J$5:$J$1067,A22))</f>
        <v>0.00963506139154161</v>
      </c>
      <c r="G22" s="26" t="n">
        <v>46295.9882986111</v>
      </c>
      <c r="H22" s="21" t="str">
        <f aca="false">IF(COUNTIFS('All Emails'!$J$5:$J$1067,A22,'All Emails'!$B$5:$B$1067,"&gt;="&amp;DATE(2026,7,1))&gt;0,"Yes","No")</f>
        <v>Yes</v>
      </c>
      <c r="I22" s="20" t="s">
        <v>169</v>
      </c>
      <c r="J22" s="20" t="s">
        <v>378</v>
      </c>
      <c r="K22" s="20" t="s">
        <v>379</v>
      </c>
      <c r="L22" s="20" t="s">
        <v>380</v>
      </c>
      <c r="M22" s="20" t="s">
        <v>381</v>
      </c>
    </row>
    <row r="23" customFormat="false" ht="35.05" hidden="false" customHeight="false" outlineLevel="0" collapsed="false">
      <c r="A23" s="5" t="s">
        <v>382</v>
      </c>
      <c r="B23" s="22" t="n">
        <f aca="false">COUNTIFS('All Emails'!$J$5:$J$1067,A23)</f>
        <v>11</v>
      </c>
      <c r="C23" s="16" t="n">
        <f aca="false">SUMIFS('All Emails'!$M$5:$M$1067,'All Emails'!$J$5:$J$1067,A23)</f>
        <v>5454</v>
      </c>
      <c r="D23" s="24" t="n">
        <f aca="false">IF(SUMIFS('All Emails'!$M$5:$M$1067,'All Emails'!$J$5:$J$1067,A23)=0,0,SUMIFS('All Emails'!$N$5:$N$1067,'All Emails'!$J$5:$J$1067,A23)/SUMIFS('All Emails'!$M$5:$M$1067,'All Emails'!$J$5:$J$1067,A23))</f>
        <v>0.326365969930326</v>
      </c>
      <c r="E23" s="24" t="n">
        <f aca="false">IF(SUMIFS('All Emails'!$M$5:$M$1067,'All Emails'!$J$5:$J$1067,A23)=0,0,SUMIFS('All Emails'!$O$5:$O$1067,'All Emails'!$J$5:$J$1067,A23)/SUMIFS('All Emails'!$M$5:$M$1067,'All Emails'!$J$5:$J$1067,A23))</f>
        <v>0.0522552255225523</v>
      </c>
      <c r="F23" s="25" t="n">
        <f aca="false">IF(SUMIFS('All Emails'!$M$5:$M$1067,'All Emails'!$J$5:$J$1067,A23)=0,0,SUMIFS('All Emails'!$P$5:$P$1067,'All Emails'!$J$5:$J$1067,A23)/SUMIFS('All Emails'!$M$5:$M$1067,'All Emails'!$J$5:$J$1067,A23))</f>
        <v>0.0033003300330033</v>
      </c>
      <c r="G23" s="26" t="n">
        <v>46219.4645138889</v>
      </c>
      <c r="H23" s="21" t="str">
        <f aca="false">IF(COUNTIFS('All Emails'!$J$5:$J$1067,A23,'All Emails'!$B$5:$B$1067,"&gt;="&amp;DATE(2026,7,1))&gt;0,"Yes","No")</f>
        <v>Yes</v>
      </c>
      <c r="I23" s="20" t="s">
        <v>8</v>
      </c>
      <c r="J23" s="20" t="s">
        <v>383</v>
      </c>
      <c r="K23" s="20" t="s">
        <v>384</v>
      </c>
      <c r="L23" s="20" t="s">
        <v>385</v>
      </c>
      <c r="M23" s="20" t="s">
        <v>8</v>
      </c>
    </row>
    <row r="24" customFormat="false" ht="23.85" hidden="false" customHeight="false" outlineLevel="0" collapsed="false">
      <c r="A24" s="5" t="s">
        <v>386</v>
      </c>
      <c r="B24" s="22" t="n">
        <f aca="false">COUNTIFS('All Emails'!$J$5:$J$1067,A24)</f>
        <v>11</v>
      </c>
      <c r="C24" s="16" t="n">
        <f aca="false">SUMIFS('All Emails'!$M$5:$M$1067,'All Emails'!$J$5:$J$1067,A24)</f>
        <v>26365</v>
      </c>
      <c r="D24" s="24" t="n">
        <f aca="false">IF(SUMIFS('All Emails'!$M$5:$M$1067,'All Emails'!$J$5:$J$1067,A24)=0,0,SUMIFS('All Emails'!$N$5:$N$1067,'All Emails'!$J$5:$J$1067,A24)/SUMIFS('All Emails'!$M$5:$M$1067,'All Emails'!$J$5:$J$1067,A24))</f>
        <v>0.267286174853025</v>
      </c>
      <c r="E24" s="24" t="n">
        <f aca="false">IF(SUMIFS('All Emails'!$M$5:$M$1067,'All Emails'!$J$5:$J$1067,A24)=0,0,SUMIFS('All Emails'!$O$5:$O$1067,'All Emails'!$J$5:$J$1067,A24)/SUMIFS('All Emails'!$M$5:$M$1067,'All Emails'!$J$5:$J$1067,A24))</f>
        <v>0.0397496681206145</v>
      </c>
      <c r="F24" s="25" t="n">
        <f aca="false">IF(SUMIFS('All Emails'!$M$5:$M$1067,'All Emails'!$J$5:$J$1067,A24)=0,0,SUMIFS('All Emails'!$P$5:$P$1067,'All Emails'!$J$5:$J$1067,A24)/SUMIFS('All Emails'!$M$5:$M$1067,'All Emails'!$J$5:$J$1067,A24))</f>
        <v>0.0205575573677224</v>
      </c>
      <c r="G24" s="26" t="n">
        <v>46273.2266435185</v>
      </c>
      <c r="H24" s="21" t="str">
        <f aca="false">IF(COUNTIFS('All Emails'!$J$5:$J$1067,A24,'All Emails'!$B$5:$B$1067,"&gt;="&amp;DATE(2026,7,1))&gt;0,"Yes","No")</f>
        <v>Yes</v>
      </c>
      <c r="I24" s="20" t="s">
        <v>8</v>
      </c>
      <c r="J24" s="20" t="s">
        <v>387</v>
      </c>
      <c r="K24" s="20" t="s">
        <v>388</v>
      </c>
      <c r="L24" s="20" t="s">
        <v>389</v>
      </c>
      <c r="M24" s="20" t="s">
        <v>390</v>
      </c>
    </row>
    <row r="25" customFormat="false" ht="23.85" hidden="false" customHeight="false" outlineLevel="0" collapsed="false">
      <c r="A25" s="5" t="s">
        <v>158</v>
      </c>
      <c r="B25" s="22" t="n">
        <f aca="false">COUNTIFS('All Emails'!$J$5:$J$1067,A25)</f>
        <v>10</v>
      </c>
      <c r="C25" s="16" t="n">
        <f aca="false">SUMIFS('All Emails'!$M$5:$M$1067,'All Emails'!$J$5:$J$1067,A25)</f>
        <v>16389</v>
      </c>
      <c r="D25" s="24" t="n">
        <f aca="false">IF(SUMIFS('All Emails'!$M$5:$M$1067,'All Emails'!$J$5:$J$1067,A25)=0,0,SUMIFS('All Emails'!$N$5:$N$1067,'All Emails'!$J$5:$J$1067,A25)/SUMIFS('All Emails'!$M$5:$M$1067,'All Emails'!$J$5:$J$1067,A25))</f>
        <v>0.365305997925438</v>
      </c>
      <c r="E25" s="24" t="n">
        <f aca="false">IF(SUMIFS('All Emails'!$M$5:$M$1067,'All Emails'!$J$5:$J$1067,A25)=0,0,SUMIFS('All Emails'!$O$5:$O$1067,'All Emails'!$J$5:$J$1067,A25)/SUMIFS('All Emails'!$M$5:$M$1067,'All Emails'!$J$5:$J$1067,A25))</f>
        <v>0.0406370126304228</v>
      </c>
      <c r="F25" s="25" t="n">
        <f aca="false">IF(SUMIFS('All Emails'!$M$5:$M$1067,'All Emails'!$J$5:$J$1067,A25)=0,0,SUMIFS('All Emails'!$P$5:$P$1067,'All Emails'!$J$5:$J$1067,A25)/SUMIFS('All Emails'!$M$5:$M$1067,'All Emails'!$J$5:$J$1067,A25))</f>
        <v>0.00665080236744158</v>
      </c>
      <c r="G25" s="26" t="n">
        <v>46266.4452662037</v>
      </c>
      <c r="H25" s="21" t="str">
        <f aca="false">IF(COUNTIFS('All Emails'!$J$5:$J$1067,A25,'All Emails'!$B$5:$B$1067,"&gt;="&amp;DATE(2026,7,1))&gt;0,"Yes","No")</f>
        <v>Yes</v>
      </c>
      <c r="I25" s="20" t="s">
        <v>157</v>
      </c>
      <c r="J25" s="20" t="s">
        <v>391</v>
      </c>
      <c r="K25" s="20" t="s">
        <v>392</v>
      </c>
      <c r="L25" s="20" t="s">
        <v>393</v>
      </c>
      <c r="M25" s="20" t="s">
        <v>8</v>
      </c>
    </row>
    <row r="26" customFormat="false" ht="35.05" hidden="false" customHeight="false" outlineLevel="0" collapsed="false">
      <c r="A26" s="5" t="s">
        <v>394</v>
      </c>
      <c r="B26" s="22" t="n">
        <f aca="false">COUNTIFS('All Emails'!$J$5:$J$1067,A26)</f>
        <v>9</v>
      </c>
      <c r="C26" s="16" t="n">
        <f aca="false">SUMIFS('All Emails'!$M$5:$M$1067,'All Emails'!$J$5:$J$1067,A26)</f>
        <v>9511</v>
      </c>
      <c r="D26" s="24" t="n">
        <f aca="false">IF(SUMIFS('All Emails'!$M$5:$M$1067,'All Emails'!$J$5:$J$1067,A26)=0,0,SUMIFS('All Emails'!$N$5:$N$1067,'All Emails'!$J$5:$J$1067,A26)/SUMIFS('All Emails'!$M$5:$M$1067,'All Emails'!$J$5:$J$1067,A26))</f>
        <v>0.278729891704342</v>
      </c>
      <c r="E26" s="24" t="n">
        <f aca="false">IF(SUMIFS('All Emails'!$M$5:$M$1067,'All Emails'!$J$5:$J$1067,A26)=0,0,SUMIFS('All Emails'!$O$5:$O$1067,'All Emails'!$J$5:$J$1067,A26)/SUMIFS('All Emails'!$M$5:$M$1067,'All Emails'!$J$5:$J$1067,A26))</f>
        <v>0.0195563032278414</v>
      </c>
      <c r="F26" s="25" t="n">
        <f aca="false">IF(SUMIFS('All Emails'!$M$5:$M$1067,'All Emails'!$J$5:$J$1067,A26)=0,0,SUMIFS('All Emails'!$P$5:$P$1067,'All Emails'!$J$5:$J$1067,A26)/SUMIFS('All Emails'!$M$5:$M$1067,'All Emails'!$J$5:$J$1067,A26))</f>
        <v>0.00704447481863106</v>
      </c>
      <c r="G26" s="26" t="n">
        <v>46288.4671875</v>
      </c>
      <c r="H26" s="21" t="str">
        <f aca="false">IF(COUNTIFS('All Emails'!$J$5:$J$1067,A26,'All Emails'!$B$5:$B$1067,"&gt;="&amp;DATE(2026,7,1))&gt;0,"Yes","No")</f>
        <v>Yes</v>
      </c>
      <c r="I26" s="20" t="s">
        <v>8</v>
      </c>
      <c r="J26" s="20" t="s">
        <v>395</v>
      </c>
      <c r="K26" s="20" t="s">
        <v>396</v>
      </c>
      <c r="L26" s="20" t="s">
        <v>397</v>
      </c>
      <c r="M26" s="20" t="s">
        <v>398</v>
      </c>
    </row>
    <row r="27" customFormat="false" ht="23.85" hidden="false" customHeight="false" outlineLevel="0" collapsed="false">
      <c r="A27" s="5" t="s">
        <v>399</v>
      </c>
      <c r="B27" s="22" t="n">
        <f aca="false">COUNTIFS('All Emails'!$J$5:$J$1067,A27)</f>
        <v>7</v>
      </c>
      <c r="C27" s="16" t="n">
        <f aca="false">SUMIFS('All Emails'!$M$5:$M$1067,'All Emails'!$J$5:$J$1067,A27)</f>
        <v>1764</v>
      </c>
      <c r="D27" s="24" t="n">
        <f aca="false">IF(SUMIFS('All Emails'!$M$5:$M$1067,'All Emails'!$J$5:$J$1067,A27)=0,0,SUMIFS('All Emails'!$N$5:$N$1067,'All Emails'!$J$5:$J$1067,A27)/SUMIFS('All Emails'!$M$5:$M$1067,'All Emails'!$J$5:$J$1067,A27))</f>
        <v>0.326530612244898</v>
      </c>
      <c r="E27" s="24" t="n">
        <f aca="false">IF(SUMIFS('All Emails'!$M$5:$M$1067,'All Emails'!$J$5:$J$1067,A27)=0,0,SUMIFS('All Emails'!$O$5:$O$1067,'All Emails'!$J$5:$J$1067,A27)/SUMIFS('All Emails'!$M$5:$M$1067,'All Emails'!$J$5:$J$1067,A27))</f>
        <v>0.0481859410430839</v>
      </c>
      <c r="F27" s="25" t="n">
        <f aca="false">IF(SUMIFS('All Emails'!$M$5:$M$1067,'All Emails'!$J$5:$J$1067,A27)=0,0,SUMIFS('All Emails'!$P$5:$P$1067,'All Emails'!$J$5:$J$1067,A27)/SUMIFS('All Emails'!$M$5:$M$1067,'All Emails'!$J$5:$J$1067,A27))</f>
        <v>0.00566893424036281</v>
      </c>
      <c r="G27" s="26" t="n">
        <v>46044.3244560185</v>
      </c>
      <c r="H27" s="21" t="str">
        <f aca="false">IF(COUNTIFS('All Emails'!$J$5:$J$1067,A27,'All Emails'!$B$5:$B$1067,"&gt;="&amp;DATE(2026,7,1))&gt;0,"Yes","No")</f>
        <v>No</v>
      </c>
      <c r="I27" s="20" t="s">
        <v>8</v>
      </c>
      <c r="J27" s="20" t="s">
        <v>400</v>
      </c>
      <c r="K27" s="20" t="s">
        <v>401</v>
      </c>
      <c r="L27" s="20" t="s">
        <v>402</v>
      </c>
      <c r="M27" s="20" t="s">
        <v>403</v>
      </c>
    </row>
    <row r="28" customFormat="false" ht="15" hidden="false" customHeight="false" outlineLevel="0" collapsed="false">
      <c r="A28" s="5" t="s">
        <v>132</v>
      </c>
      <c r="B28" s="22" t="n">
        <f aca="false">COUNTIFS('All Emails'!$J$5:$J$1067,A28)</f>
        <v>5</v>
      </c>
      <c r="C28" s="16" t="n">
        <f aca="false">SUMIFS('All Emails'!$M$5:$M$1067,'All Emails'!$J$5:$J$1067,A28)</f>
        <v>14229</v>
      </c>
      <c r="D28" s="24" t="n">
        <f aca="false">IF(SUMIFS('All Emails'!$M$5:$M$1067,'All Emails'!$J$5:$J$1067,A28)=0,0,SUMIFS('All Emails'!$N$5:$N$1067,'All Emails'!$J$5:$J$1067,A28)/SUMIFS('All Emails'!$M$5:$M$1067,'All Emails'!$J$5:$J$1067,A28))</f>
        <v>0.135146531730972</v>
      </c>
      <c r="E28" s="24" t="n">
        <f aca="false">IF(SUMIFS('All Emails'!$M$5:$M$1067,'All Emails'!$J$5:$J$1067,A28)=0,0,SUMIFS('All Emails'!$O$5:$O$1067,'All Emails'!$J$5:$J$1067,A28)/SUMIFS('All Emails'!$M$5:$M$1067,'All Emails'!$J$5:$J$1067,A28))</f>
        <v>0.0193267271066133</v>
      </c>
      <c r="F28" s="25" t="n">
        <f aca="false">IF(SUMIFS('All Emails'!$M$5:$M$1067,'All Emails'!$J$5:$J$1067,A28)=0,0,SUMIFS('All Emails'!$P$5:$P$1067,'All Emails'!$J$5:$J$1067,A28)/SUMIFS('All Emails'!$M$5:$M$1067,'All Emails'!$J$5:$J$1067,A28))</f>
        <v>0.00520064656687048</v>
      </c>
      <c r="G28" s="26" t="n">
        <v>46111.5420949074</v>
      </c>
      <c r="H28" s="21" t="str">
        <f aca="false">IF(COUNTIFS('All Emails'!$J$5:$J$1067,A28,'All Emails'!$B$5:$B$1067,"&gt;="&amp;DATE(2026,7,1))&gt;0,"Yes","No")</f>
        <v>No</v>
      </c>
      <c r="I28" s="20" t="s">
        <v>131</v>
      </c>
      <c r="J28" s="20" t="s">
        <v>404</v>
      </c>
      <c r="K28" s="20" t="s">
        <v>135</v>
      </c>
      <c r="L28" s="20" t="s">
        <v>405</v>
      </c>
      <c r="M28" s="20" t="s">
        <v>406</v>
      </c>
    </row>
    <row r="29" customFormat="false" ht="35.05" hidden="false" customHeight="false" outlineLevel="0" collapsed="false">
      <c r="A29" s="5" t="s">
        <v>223</v>
      </c>
      <c r="B29" s="22" t="n">
        <f aca="false">COUNTIFS('All Emails'!$J$5:$J$1067,A29)</f>
        <v>5</v>
      </c>
      <c r="C29" s="16" t="n">
        <f aca="false">SUMIFS('All Emails'!$M$5:$M$1067,'All Emails'!$J$5:$J$1067,A29)</f>
        <v>456</v>
      </c>
      <c r="D29" s="24" t="n">
        <f aca="false">IF(SUMIFS('All Emails'!$M$5:$M$1067,'All Emails'!$J$5:$J$1067,A29)=0,0,SUMIFS('All Emails'!$N$5:$N$1067,'All Emails'!$J$5:$J$1067,A29)/SUMIFS('All Emails'!$M$5:$M$1067,'All Emails'!$J$5:$J$1067,A29))</f>
        <v>0.31359649122807</v>
      </c>
      <c r="E29" s="24" t="n">
        <f aca="false">IF(SUMIFS('All Emails'!$M$5:$M$1067,'All Emails'!$J$5:$J$1067,A29)=0,0,SUMIFS('All Emails'!$O$5:$O$1067,'All Emails'!$J$5:$J$1067,A29)/SUMIFS('All Emails'!$M$5:$M$1067,'All Emails'!$J$5:$J$1067,A29))</f>
        <v>0.0504385964912281</v>
      </c>
      <c r="F29" s="25" t="n">
        <f aca="false">IF(SUMIFS('All Emails'!$M$5:$M$1067,'All Emails'!$J$5:$J$1067,A29)=0,0,SUMIFS('All Emails'!$P$5:$P$1067,'All Emails'!$J$5:$J$1067,A29)/SUMIFS('All Emails'!$M$5:$M$1067,'All Emails'!$J$5:$J$1067,A29))</f>
        <v>0.0043859649122807</v>
      </c>
      <c r="G29" s="26" t="n">
        <v>46294.2713425926</v>
      </c>
      <c r="H29" s="21" t="str">
        <f aca="false">IF(COUNTIFS('All Emails'!$J$5:$J$1067,A29,'All Emails'!$B$5:$B$1067,"&gt;="&amp;DATE(2026,7,1))&gt;0,"Yes","No")</f>
        <v>Yes</v>
      </c>
      <c r="I29" s="20" t="s">
        <v>407</v>
      </c>
      <c r="J29" s="20" t="s">
        <v>408</v>
      </c>
      <c r="K29" s="20" t="s">
        <v>409</v>
      </c>
      <c r="L29" s="20" t="s">
        <v>8</v>
      </c>
      <c r="M29" s="20" t="s">
        <v>410</v>
      </c>
    </row>
    <row r="30" customFormat="false" ht="15" hidden="false" customHeight="false" outlineLevel="0" collapsed="false">
      <c r="A30" s="5" t="s">
        <v>242</v>
      </c>
      <c r="B30" s="22" t="n">
        <f aca="false">COUNTIFS('All Emails'!$J$5:$J$1067,A30)</f>
        <v>5</v>
      </c>
      <c r="C30" s="16" t="n">
        <f aca="false">SUMIFS('All Emails'!$M$5:$M$1067,'All Emails'!$J$5:$J$1067,A30)</f>
        <v>3046</v>
      </c>
      <c r="D30" s="24" t="n">
        <f aca="false">IF(SUMIFS('All Emails'!$M$5:$M$1067,'All Emails'!$J$5:$J$1067,A30)=0,0,SUMIFS('All Emails'!$N$5:$N$1067,'All Emails'!$J$5:$J$1067,A30)/SUMIFS('All Emails'!$M$5:$M$1067,'All Emails'!$J$5:$J$1067,A30))</f>
        <v>0.337491792514773</v>
      </c>
      <c r="E30" s="24" t="n">
        <f aca="false">IF(SUMIFS('All Emails'!$M$5:$M$1067,'All Emails'!$J$5:$J$1067,A30)=0,0,SUMIFS('All Emails'!$O$5:$O$1067,'All Emails'!$J$5:$J$1067,A30)/SUMIFS('All Emails'!$M$5:$M$1067,'All Emails'!$J$5:$J$1067,A30))</f>
        <v>0.0242941562705187</v>
      </c>
      <c r="F30" s="25" t="n">
        <f aca="false">IF(SUMIFS('All Emails'!$M$5:$M$1067,'All Emails'!$J$5:$J$1067,A30)=0,0,SUMIFS('All Emails'!$P$5:$P$1067,'All Emails'!$J$5:$J$1067,A30)/SUMIFS('All Emails'!$M$5:$M$1067,'All Emails'!$J$5:$J$1067,A30))</f>
        <v>0.0111621799080762</v>
      </c>
      <c r="G30" s="26" t="n">
        <v>46252.4183101852</v>
      </c>
      <c r="H30" s="21" t="str">
        <f aca="false">IF(COUNTIFS('All Emails'!$J$5:$J$1067,A30,'All Emails'!$B$5:$B$1067,"&gt;="&amp;DATE(2026,7,1))&gt;0,"Yes","No")</f>
        <v>Yes</v>
      </c>
      <c r="I30" s="20" t="s">
        <v>241</v>
      </c>
      <c r="J30" s="20" t="s">
        <v>411</v>
      </c>
      <c r="K30" s="20" t="s">
        <v>412</v>
      </c>
      <c r="L30" s="20" t="s">
        <v>413</v>
      </c>
      <c r="M30" s="20" t="s">
        <v>8</v>
      </c>
    </row>
    <row r="31" customFormat="false" ht="23.85" hidden="false" customHeight="false" outlineLevel="0" collapsed="false">
      <c r="A31" s="5" t="s">
        <v>266</v>
      </c>
      <c r="B31" s="22" t="n">
        <f aca="false">COUNTIFS('All Emails'!$J$5:$J$1067,A31)</f>
        <v>4</v>
      </c>
      <c r="C31" s="16" t="n">
        <f aca="false">SUMIFS('All Emails'!$M$5:$M$1067,'All Emails'!$J$5:$J$1067,A31)</f>
        <v>984</v>
      </c>
      <c r="D31" s="24" t="n">
        <f aca="false">IF(SUMIFS('All Emails'!$M$5:$M$1067,'All Emails'!$J$5:$J$1067,A31)=0,0,SUMIFS('All Emails'!$N$5:$N$1067,'All Emails'!$J$5:$J$1067,A31)/SUMIFS('All Emails'!$M$5:$M$1067,'All Emails'!$J$5:$J$1067,A31))</f>
        <v>0.384146341463415</v>
      </c>
      <c r="E31" s="24" t="n">
        <f aca="false">IF(SUMIFS('All Emails'!$M$5:$M$1067,'All Emails'!$J$5:$J$1067,A31)=0,0,SUMIFS('All Emails'!$O$5:$O$1067,'All Emails'!$J$5:$J$1067,A31)/SUMIFS('All Emails'!$M$5:$M$1067,'All Emails'!$J$5:$J$1067,A31))</f>
        <v>0.0264227642276423</v>
      </c>
      <c r="F31" s="25" t="n">
        <f aca="false">IF(SUMIFS('All Emails'!$M$5:$M$1067,'All Emails'!$J$5:$J$1067,A31)=0,0,SUMIFS('All Emails'!$P$5:$P$1067,'All Emails'!$J$5:$J$1067,A31)/SUMIFS('All Emails'!$M$5:$M$1067,'All Emails'!$J$5:$J$1067,A31))</f>
        <v>0.00101626016260163</v>
      </c>
      <c r="G31" s="26" t="n">
        <v>46260.5539351852</v>
      </c>
      <c r="H31" s="21" t="str">
        <f aca="false">IF(COUNTIFS('All Emails'!$J$5:$J$1067,A31,'All Emails'!$B$5:$B$1067,"&gt;="&amp;DATE(2026,7,1))&gt;0,"Yes","No")</f>
        <v>Yes</v>
      </c>
      <c r="I31" s="20" t="s">
        <v>264</v>
      </c>
      <c r="J31" s="20" t="s">
        <v>414</v>
      </c>
      <c r="K31" s="20" t="s">
        <v>415</v>
      </c>
      <c r="L31" s="20" t="s">
        <v>8</v>
      </c>
      <c r="M31" s="20" t="s">
        <v>416</v>
      </c>
    </row>
    <row r="32" customFormat="false" ht="23.85" hidden="false" customHeight="false" outlineLevel="0" collapsed="false">
      <c r="A32" s="5" t="s">
        <v>417</v>
      </c>
      <c r="B32" s="22" t="n">
        <f aca="false">COUNTIFS('All Emails'!$J$5:$J$1067,A32)</f>
        <v>4</v>
      </c>
      <c r="C32" s="16" t="n">
        <f aca="false">SUMIFS('All Emails'!$M$5:$M$1067,'All Emails'!$J$5:$J$1067,A32)</f>
        <v>4100</v>
      </c>
      <c r="D32" s="24" t="n">
        <f aca="false">IF(SUMIFS('All Emails'!$M$5:$M$1067,'All Emails'!$J$5:$J$1067,A32)=0,0,SUMIFS('All Emails'!$N$5:$N$1067,'All Emails'!$J$5:$J$1067,A32)/SUMIFS('All Emails'!$M$5:$M$1067,'All Emails'!$J$5:$J$1067,A32))</f>
        <v>0.304634146341463</v>
      </c>
      <c r="E32" s="24" t="n">
        <f aca="false">IF(SUMIFS('All Emails'!$M$5:$M$1067,'All Emails'!$J$5:$J$1067,A32)=0,0,SUMIFS('All Emails'!$O$5:$O$1067,'All Emails'!$J$5:$J$1067,A32)/SUMIFS('All Emails'!$M$5:$M$1067,'All Emails'!$J$5:$J$1067,A32))</f>
        <v>0.0224390243902439</v>
      </c>
      <c r="F32" s="25" t="n">
        <f aca="false">IF(SUMIFS('All Emails'!$M$5:$M$1067,'All Emails'!$J$5:$J$1067,A32)=0,0,SUMIFS('All Emails'!$P$5:$P$1067,'All Emails'!$J$5:$J$1067,A32)/SUMIFS('All Emails'!$M$5:$M$1067,'All Emails'!$J$5:$J$1067,A32))</f>
        <v>0.00975609756097561</v>
      </c>
      <c r="G32" s="26" t="n">
        <v>46293.9797685185</v>
      </c>
      <c r="H32" s="21" t="str">
        <f aca="false">IF(COUNTIFS('All Emails'!$J$5:$J$1067,A32,'All Emails'!$B$5:$B$1067,"&gt;="&amp;DATE(2026,7,1))&gt;0,"Yes","No")</f>
        <v>Yes</v>
      </c>
      <c r="I32" s="20" t="s">
        <v>8</v>
      </c>
      <c r="J32" s="20" t="s">
        <v>418</v>
      </c>
      <c r="K32" s="20" t="s">
        <v>419</v>
      </c>
      <c r="L32" s="20" t="s">
        <v>341</v>
      </c>
      <c r="M32" s="20" t="s">
        <v>8</v>
      </c>
    </row>
    <row r="33" customFormat="false" ht="23.85" hidden="false" customHeight="false" outlineLevel="0" collapsed="false">
      <c r="A33" s="5" t="s">
        <v>276</v>
      </c>
      <c r="B33" s="22" t="n">
        <f aca="false">COUNTIFS('All Emails'!$J$5:$J$1067,A33)</f>
        <v>2</v>
      </c>
      <c r="C33" s="16" t="n">
        <f aca="false">SUMIFS('All Emails'!$M$5:$M$1067,'All Emails'!$J$5:$J$1067,A33)</f>
        <v>110</v>
      </c>
      <c r="D33" s="24" t="n">
        <f aca="false">IF(SUMIFS('All Emails'!$M$5:$M$1067,'All Emails'!$J$5:$J$1067,A33)=0,0,SUMIFS('All Emails'!$N$5:$N$1067,'All Emails'!$J$5:$J$1067,A33)/SUMIFS('All Emails'!$M$5:$M$1067,'All Emails'!$J$5:$J$1067,A33))</f>
        <v>0.454545454545455</v>
      </c>
      <c r="E33" s="24" t="n">
        <f aca="false">IF(SUMIFS('All Emails'!$M$5:$M$1067,'All Emails'!$J$5:$J$1067,A33)=0,0,SUMIFS('All Emails'!$O$5:$O$1067,'All Emails'!$J$5:$J$1067,A33)/SUMIFS('All Emails'!$M$5:$M$1067,'All Emails'!$J$5:$J$1067,A33))</f>
        <v>0.0909090909090909</v>
      </c>
      <c r="F33" s="25" t="n">
        <f aca="false">IF(SUMIFS('All Emails'!$M$5:$M$1067,'All Emails'!$J$5:$J$1067,A33)=0,0,SUMIFS('All Emails'!$P$5:$P$1067,'All Emails'!$J$5:$J$1067,A33)/SUMIFS('All Emails'!$M$5:$M$1067,'All Emails'!$J$5:$J$1067,A33))</f>
        <v>0</v>
      </c>
      <c r="G33" s="26" t="n">
        <v>46108.4275347222</v>
      </c>
      <c r="H33" s="21" t="str">
        <f aca="false">IF(COUNTIFS('All Emails'!$J$5:$J$1067,A33,'All Emails'!$B$5:$B$1067,"&gt;="&amp;DATE(2026,7,1))&gt;0,"Yes","No")</f>
        <v>No</v>
      </c>
      <c r="I33" s="20" t="s">
        <v>275</v>
      </c>
      <c r="J33" s="20" t="s">
        <v>420</v>
      </c>
      <c r="K33" s="20" t="s">
        <v>421</v>
      </c>
      <c r="L33" s="20" t="s">
        <v>8</v>
      </c>
      <c r="M33" s="20" t="s">
        <v>422</v>
      </c>
    </row>
    <row r="34" customFormat="false" ht="23.85" hidden="false" customHeight="false" outlineLevel="0" collapsed="false">
      <c r="A34" s="5" t="s">
        <v>423</v>
      </c>
      <c r="B34" s="22" t="n">
        <f aca="false">COUNTIFS('All Emails'!$J$5:$J$1067,A34)</f>
        <v>1</v>
      </c>
      <c r="C34" s="16" t="n">
        <f aca="false">SUMIFS('All Emails'!$M$5:$M$1067,'All Emails'!$J$5:$J$1067,A34)</f>
        <v>718</v>
      </c>
      <c r="D34" s="24" t="n">
        <f aca="false">IF(SUMIFS('All Emails'!$M$5:$M$1067,'All Emails'!$J$5:$J$1067,A34)=0,0,SUMIFS('All Emails'!$N$5:$N$1067,'All Emails'!$J$5:$J$1067,A34)/SUMIFS('All Emails'!$M$5:$M$1067,'All Emails'!$J$5:$J$1067,A34))</f>
        <v>0.335654596100279</v>
      </c>
      <c r="E34" s="24" t="n">
        <f aca="false">IF(SUMIFS('All Emails'!$M$5:$M$1067,'All Emails'!$J$5:$J$1067,A34)=0,0,SUMIFS('All Emails'!$O$5:$O$1067,'All Emails'!$J$5:$J$1067,A34)/SUMIFS('All Emails'!$M$5:$M$1067,'All Emails'!$J$5:$J$1067,A34))</f>
        <v>0.0181058495821727</v>
      </c>
      <c r="F34" s="25" t="n">
        <f aca="false">IF(SUMIFS('All Emails'!$M$5:$M$1067,'All Emails'!$J$5:$J$1067,A34)=0,0,SUMIFS('All Emails'!$P$5:$P$1067,'All Emails'!$J$5:$J$1067,A34)/SUMIFS('All Emails'!$M$5:$M$1067,'All Emails'!$J$5:$J$1067,A34))</f>
        <v>0.0153203342618384</v>
      </c>
      <c r="G34" s="26" t="n">
        <v>46029.3797222222</v>
      </c>
      <c r="H34" s="21" t="str">
        <f aca="false">IF(COUNTIFS('All Emails'!$J$5:$J$1067,A34,'All Emails'!$B$5:$B$1067,"&gt;="&amp;DATE(2026,7,1))&gt;0,"Yes","No")</f>
        <v>No</v>
      </c>
      <c r="I34" s="20" t="s">
        <v>8</v>
      </c>
      <c r="J34" s="20" t="s">
        <v>424</v>
      </c>
      <c r="K34" s="20" t="s">
        <v>425</v>
      </c>
      <c r="L34" s="20" t="s">
        <v>426</v>
      </c>
      <c r="M34" s="20" t="s">
        <v>427</v>
      </c>
    </row>
    <row r="35" customFormat="false" ht="23.85" hidden="false" customHeight="false" outlineLevel="0" collapsed="false">
      <c r="A35" s="5" t="s">
        <v>296</v>
      </c>
      <c r="B35" s="22" t="n">
        <f aca="false">COUNTIFS('All Emails'!$J$5:$J$1067,A35)</f>
        <v>248</v>
      </c>
      <c r="C35" s="16" t="n">
        <f aca="false">SUMIFS('All Emails'!$M$5:$M$1067,'All Emails'!$J$5:$J$1067,A35)</f>
        <v>9245</v>
      </c>
      <c r="D35" s="24" t="n">
        <f aca="false">IF(SUMIFS('All Emails'!$M$5:$M$1067,'All Emails'!$J$5:$J$1067,A35)=0,0,SUMIFS('All Emails'!$N$5:$N$1067,'All Emails'!$J$5:$J$1067,A35)/SUMIFS('All Emails'!$M$5:$M$1067,'All Emails'!$J$5:$J$1067,A35))</f>
        <v>0.581179015684154</v>
      </c>
      <c r="E35" s="24" t="n">
        <f aca="false">IF(SUMIFS('All Emails'!$M$5:$M$1067,'All Emails'!$J$5:$J$1067,A35)=0,0,SUMIFS('All Emails'!$O$5:$O$1067,'All Emails'!$J$5:$J$1067,A35)/SUMIFS('All Emails'!$M$5:$M$1067,'All Emails'!$J$5:$J$1067,A35))</f>
        <v>0.0750676041103299</v>
      </c>
      <c r="F35" s="25" t="n">
        <f aca="false">IF(SUMIFS('All Emails'!$M$5:$M$1067,'All Emails'!$J$5:$J$1067,A35)=0,0,SUMIFS('All Emails'!$P$5:$P$1067,'All Emails'!$J$5:$J$1067,A35)/SUMIFS('All Emails'!$M$5:$M$1067,'All Emails'!$J$5:$J$1067,A35))</f>
        <v>0.000108166576527853</v>
      </c>
      <c r="G35" s="26" t="n">
        <v>46295.3337384259</v>
      </c>
      <c r="H35" s="21" t="str">
        <f aca="false">IF(COUNTIFS('All Emails'!$J$5:$J$1067,A35,'All Emails'!$B$5:$B$1067,"&gt;="&amp;DATE(2026,7,1))&gt;0,"Yes","No")</f>
        <v>Yes</v>
      </c>
      <c r="I35" s="20" t="s">
        <v>294</v>
      </c>
      <c r="J35" s="20" t="s">
        <v>428</v>
      </c>
      <c r="K35" s="20" t="s">
        <v>429</v>
      </c>
      <c r="L35" s="20" t="s">
        <v>8</v>
      </c>
      <c r="M35" s="20" t="s">
        <v>8</v>
      </c>
    </row>
    <row r="36" customFormat="false" ht="35.05" hidden="false" customHeight="false" outlineLevel="0" collapsed="false">
      <c r="A36" s="5" t="s">
        <v>430</v>
      </c>
      <c r="B36" s="22" t="n">
        <f aca="false">COUNTIFS('All Emails'!$J$5:$J$1067,A36)</f>
        <v>50</v>
      </c>
      <c r="C36" s="16" t="n">
        <f aca="false">SUMIFS('All Emails'!$M$5:$M$1067,'All Emails'!$J$5:$J$1067,A36)</f>
        <v>83140</v>
      </c>
      <c r="D36" s="24" t="n">
        <f aca="false">IF(SUMIFS('All Emails'!$M$5:$M$1067,'All Emails'!$J$5:$J$1067,A36)=0,0,SUMIFS('All Emails'!$N$5:$N$1067,'All Emails'!$J$5:$J$1067,A36)/SUMIFS('All Emails'!$M$5:$M$1067,'All Emails'!$J$5:$J$1067,A36))</f>
        <v>0.336396439740197</v>
      </c>
      <c r="E36" s="24" t="n">
        <f aca="false">IF(SUMIFS('All Emails'!$M$5:$M$1067,'All Emails'!$J$5:$J$1067,A36)=0,0,SUMIFS('All Emails'!$O$5:$O$1067,'All Emails'!$J$5:$J$1067,A36)/SUMIFS('All Emails'!$M$5:$M$1067,'All Emails'!$J$5:$J$1067,A36))</f>
        <v>0.0366610536444551</v>
      </c>
      <c r="F36" s="25" t="n">
        <f aca="false">IF(SUMIFS('All Emails'!$M$5:$M$1067,'All Emails'!$J$5:$J$1067,A36)=0,0,SUMIFS('All Emails'!$P$5:$P$1067,'All Emails'!$J$5:$J$1067,A36)/SUMIFS('All Emails'!$M$5:$M$1067,'All Emails'!$J$5:$J$1067,A36))</f>
        <v>0.0126774115949002</v>
      </c>
      <c r="G36" s="26" t="n">
        <v>46295.4807291667</v>
      </c>
      <c r="H36" s="21" t="str">
        <f aca="false">IF(COUNTIFS('All Emails'!$J$5:$J$1067,A36,'All Emails'!$B$5:$B$1067,"&gt;="&amp;DATE(2026,7,1))&gt;0,"Yes","No")</f>
        <v>Yes</v>
      </c>
      <c r="I36" s="20" t="s">
        <v>8</v>
      </c>
      <c r="J36" s="20" t="s">
        <v>431</v>
      </c>
      <c r="K36" s="20" t="s">
        <v>432</v>
      </c>
      <c r="L36" s="20" t="s">
        <v>8</v>
      </c>
      <c r="M36" s="20" t="s">
        <v>8</v>
      </c>
    </row>
    <row r="38" customFormat="false" ht="15" hidden="false" customHeight="false" outlineLevel="0" collapsed="false">
      <c r="A38" s="3" t="s">
        <v>433</v>
      </c>
    </row>
    <row r="39" customFormat="false" ht="30" hidden="false" customHeight="true" outlineLevel="0" collapsed="false">
      <c r="A39" s="4" t="s">
        <v>434</v>
      </c>
      <c r="B39" s="4" t="s">
        <v>435</v>
      </c>
    </row>
    <row r="40" customFormat="false" ht="15" hidden="false" customHeight="false" outlineLevel="0" collapsed="false">
      <c r="A40" s="5" t="s">
        <v>436</v>
      </c>
      <c r="B40" s="13" t="s">
        <v>437</v>
      </c>
    </row>
    <row r="41" customFormat="false" ht="15" hidden="false" customHeight="false" outlineLevel="0" collapsed="false">
      <c r="A41" s="5" t="s">
        <v>438</v>
      </c>
      <c r="B41" s="13" t="s">
        <v>439</v>
      </c>
    </row>
    <row r="42" customFormat="false" ht="15" hidden="false" customHeight="false" outlineLevel="0" collapsed="false">
      <c r="A42" s="5" t="s">
        <v>440</v>
      </c>
      <c r="B42" s="13" t="s">
        <v>439</v>
      </c>
    </row>
    <row r="43" customFormat="false" ht="15" hidden="false" customHeight="false" outlineLevel="0" collapsed="false">
      <c r="A43" s="5" t="s">
        <v>441</v>
      </c>
      <c r="B43" s="13" t="s">
        <v>439</v>
      </c>
    </row>
    <row r="44" customFormat="false" ht="15" hidden="false" customHeight="false" outlineLevel="0" collapsed="false">
      <c r="A44" s="5" t="s">
        <v>442</v>
      </c>
      <c r="B44" s="13" t="s">
        <v>443</v>
      </c>
    </row>
    <row r="45" customFormat="false" ht="15" hidden="false" customHeight="false" outlineLevel="0" collapsed="false">
      <c r="A45" s="5" t="s">
        <v>444</v>
      </c>
      <c r="B45" s="13" t="s">
        <v>439</v>
      </c>
    </row>
    <row r="46" customFormat="false" ht="15" hidden="false" customHeight="false" outlineLevel="0" collapsed="false">
      <c r="A46" s="5" t="s">
        <v>445</v>
      </c>
      <c r="B46" s="13" t="s">
        <v>437</v>
      </c>
    </row>
    <row r="47" customFormat="false" ht="15" hidden="false" customHeight="false" outlineLevel="0" collapsed="false">
      <c r="A47" s="5" t="s">
        <v>446</v>
      </c>
      <c r="B47" s="13" t="s">
        <v>437</v>
      </c>
    </row>
    <row r="49" customFormat="false" ht="15" hidden="false" customHeight="false" outlineLevel="0" collapsed="false">
      <c r="A49" s="2" t="s">
        <v>447</v>
      </c>
    </row>
    <row r="51" customFormat="false" ht="15" hidden="false" customHeight="false" outlineLevel="0" collapsed="false">
      <c r="A51" s="3" t="s">
        <v>448</v>
      </c>
    </row>
    <row r="52" customFormat="false" ht="30" hidden="false" customHeight="true" outlineLevel="0" collapsed="false">
      <c r="A52" s="4" t="s">
        <v>449</v>
      </c>
      <c r="B52" s="4" t="s">
        <v>450</v>
      </c>
    </row>
    <row r="53" customFormat="false" ht="15" hidden="false" customHeight="false" outlineLevel="0" collapsed="false">
      <c r="A53" s="5" t="s">
        <v>451</v>
      </c>
      <c r="B53" s="6" t="n">
        <v>406241</v>
      </c>
    </row>
    <row r="54" customFormat="false" ht="15" hidden="false" customHeight="false" outlineLevel="0" collapsed="false">
      <c r="A54" s="5" t="s">
        <v>452</v>
      </c>
      <c r="B54" s="6" t="n">
        <v>161614</v>
      </c>
    </row>
    <row r="55" customFormat="false" ht="15" hidden="false" customHeight="false" outlineLevel="0" collapsed="false">
      <c r="A55" s="13" t="s">
        <v>453</v>
      </c>
      <c r="B55" s="6" t="n">
        <v>7256</v>
      </c>
    </row>
    <row r="56" customFormat="false" ht="15" hidden="false" customHeight="false" outlineLevel="0" collapsed="false">
      <c r="A56" s="13" t="s">
        <v>454</v>
      </c>
      <c r="B56" s="6" t="n">
        <v>2248</v>
      </c>
    </row>
    <row r="57" customFormat="false" ht="15" hidden="false" customHeight="false" outlineLevel="0" collapsed="false">
      <c r="A57" s="13" t="s">
        <v>455</v>
      </c>
      <c r="B57" s="6" t="n">
        <v>2009</v>
      </c>
    </row>
    <row r="58" customFormat="false" ht="15" hidden="false" customHeight="false" outlineLevel="0" collapsed="false">
      <c r="A58" s="13" t="s">
        <v>456</v>
      </c>
      <c r="B58" s="6" t="n">
        <v>1036</v>
      </c>
    </row>
    <row r="59" customFormat="false" ht="15" hidden="false" customHeight="false" outlineLevel="0" collapsed="false">
      <c r="A59" s="13" t="s">
        <v>457</v>
      </c>
      <c r="B59" s="6" t="n">
        <v>847</v>
      </c>
    </row>
    <row r="60" customFormat="false" ht="15" hidden="false" customHeight="false" outlineLevel="0" collapsed="false">
      <c r="A60" s="13" t="s">
        <v>458</v>
      </c>
      <c r="B60" s="6" t="n">
        <v>721</v>
      </c>
    </row>
    <row r="61" customFormat="false" ht="15" hidden="false" customHeight="false" outlineLevel="0" collapsed="false">
      <c r="A61" s="13" t="s">
        <v>459</v>
      </c>
      <c r="B61" s="6" t="n">
        <v>620</v>
      </c>
    </row>
    <row r="62" customFormat="false" ht="15" hidden="false" customHeight="false" outlineLevel="0" collapsed="false">
      <c r="A62" s="13" t="s">
        <v>460</v>
      </c>
      <c r="B62" s="6" t="n">
        <v>591</v>
      </c>
    </row>
    <row r="63" customFormat="false" ht="15" hidden="false" customHeight="false" outlineLevel="0" collapsed="false">
      <c r="A63" s="13" t="s">
        <v>461</v>
      </c>
      <c r="B63" s="6" t="n">
        <v>589</v>
      </c>
    </row>
    <row r="64" customFormat="false" ht="15" hidden="false" customHeight="false" outlineLevel="0" collapsed="false">
      <c r="A64" s="13" t="s">
        <v>462</v>
      </c>
      <c r="B64" s="6" t="n">
        <v>467</v>
      </c>
    </row>
    <row r="65" customFormat="false" ht="15" hidden="false" customHeight="false" outlineLevel="0" collapsed="false">
      <c r="A65" s="13" t="s">
        <v>463</v>
      </c>
      <c r="B65" s="6" t="n">
        <v>452</v>
      </c>
    </row>
    <row r="66" customFormat="false" ht="15" hidden="false" customHeight="false" outlineLevel="0" collapsed="false">
      <c r="A66" s="13" t="s">
        <v>464</v>
      </c>
      <c r="B66" s="6" t="n">
        <v>347</v>
      </c>
    </row>
    <row r="67" customFormat="false" ht="15" hidden="false" customHeight="false" outlineLevel="0" collapsed="false">
      <c r="A67" s="13" t="s">
        <v>465</v>
      </c>
      <c r="B67" s="6" t="n">
        <v>331</v>
      </c>
    </row>
    <row r="68" customFormat="false" ht="15" hidden="false" customHeight="false" outlineLevel="0" collapsed="false">
      <c r="A68" s="13" t="s">
        <v>436</v>
      </c>
      <c r="B68" s="6" t="n">
        <v>322</v>
      </c>
    </row>
    <row r="69" customFormat="false" ht="15" hidden="false" customHeight="false" outlineLevel="0" collapsed="false">
      <c r="A69" s="13" t="s">
        <v>466</v>
      </c>
      <c r="B69" s="6" t="n">
        <v>302</v>
      </c>
    </row>
    <row r="70" customFormat="false" ht="15" hidden="false" customHeight="false" outlineLevel="0" collapsed="false">
      <c r="A70" s="13" t="s">
        <v>467</v>
      </c>
      <c r="B70" s="6" t="n">
        <v>282</v>
      </c>
    </row>
    <row r="71" customFormat="false" ht="15" hidden="false" customHeight="false" outlineLevel="0" collapsed="false">
      <c r="A71" s="13" t="s">
        <v>468</v>
      </c>
      <c r="B71" s="6" t="n">
        <v>277</v>
      </c>
    </row>
    <row r="72" customFormat="false" ht="15" hidden="false" customHeight="false" outlineLevel="0" collapsed="false">
      <c r="A72" s="13" t="s">
        <v>469</v>
      </c>
      <c r="B72" s="6" t="n">
        <v>272</v>
      </c>
    </row>
    <row r="73" customFormat="false" ht="15" hidden="false" customHeight="false" outlineLevel="0" collapsed="false">
      <c r="A73" s="13" t="s">
        <v>470</v>
      </c>
      <c r="B73" s="6" t="n">
        <v>267</v>
      </c>
    </row>
    <row r="74" customFormat="false" ht="15" hidden="false" customHeight="false" outlineLevel="0" collapsed="false">
      <c r="A74" s="13" t="s">
        <v>471</v>
      </c>
      <c r="B74" s="6" t="n">
        <v>252</v>
      </c>
    </row>
    <row r="75" customFormat="false" ht="15" hidden="false" customHeight="false" outlineLevel="0" collapsed="false">
      <c r="A75" s="13" t="s">
        <v>472</v>
      </c>
      <c r="B75" s="6" t="n">
        <v>233</v>
      </c>
    </row>
    <row r="76" customFormat="false" ht="15" hidden="false" customHeight="false" outlineLevel="0" collapsed="false">
      <c r="A76" s="13" t="s">
        <v>473</v>
      </c>
      <c r="B76" s="6" t="n">
        <v>227</v>
      </c>
    </row>
    <row r="77" customFormat="false" ht="15" hidden="false" customHeight="false" outlineLevel="0" collapsed="false">
      <c r="A77" s="13" t="s">
        <v>474</v>
      </c>
      <c r="B77" s="6" t="n">
        <v>218</v>
      </c>
    </row>
    <row r="78" customFormat="false" ht="15" hidden="false" customHeight="false" outlineLevel="0" collapsed="false">
      <c r="A78" s="13" t="s">
        <v>475</v>
      </c>
      <c r="B78" s="6" t="n">
        <v>194</v>
      </c>
    </row>
    <row r="79" customFormat="false" ht="15" hidden="false" customHeight="false" outlineLevel="0" collapsed="false">
      <c r="A79" s="13" t="s">
        <v>476</v>
      </c>
      <c r="B79" s="6" t="n">
        <v>190</v>
      </c>
    </row>
    <row r="80" customFormat="false" ht="15" hidden="false" customHeight="false" outlineLevel="0" collapsed="false">
      <c r="A80" s="13" t="s">
        <v>477</v>
      </c>
      <c r="B80" s="6" t="n">
        <v>187</v>
      </c>
    </row>
    <row r="81" customFormat="false" ht="15" hidden="false" customHeight="false" outlineLevel="0" collapsed="false">
      <c r="A81" s="13" t="s">
        <v>478</v>
      </c>
      <c r="B81" s="6" t="n">
        <v>183</v>
      </c>
    </row>
    <row r="82" customFormat="false" ht="15" hidden="false" customHeight="false" outlineLevel="0" collapsed="false">
      <c r="A82" s="13" t="s">
        <v>479</v>
      </c>
      <c r="B82" s="6" t="n">
        <v>166</v>
      </c>
    </row>
    <row r="83" customFormat="false" ht="15" hidden="false" customHeight="false" outlineLevel="0" collapsed="false">
      <c r="A83" s="13" t="s">
        <v>480</v>
      </c>
      <c r="B83" s="6" t="n">
        <v>162</v>
      </c>
    </row>
    <row r="84" customFormat="false" ht="15" hidden="false" customHeight="false" outlineLevel="0" collapsed="false">
      <c r="A84" s="17" t="s">
        <v>481</v>
      </c>
      <c r="B84" s="18" t="n">
        <v>590464</v>
      </c>
    </row>
    <row r="85" customFormat="false" ht="15" hidden="false" customHeight="false" outlineLevel="0" collapsed="false">
      <c r="A85" s="17" t="s">
        <v>482</v>
      </c>
      <c r="B85" s="19" t="n">
        <f aca="false">(B53+B54)/B84</f>
        <v>0.961709774008238</v>
      </c>
    </row>
    <row r="86" customFormat="false" ht="15" hidden="false" customHeight="false" outlineLevel="0" collapsed="false">
      <c r="A86" s="2" t="s">
        <v>483</v>
      </c>
    </row>
  </sheetData>
  <conditionalFormatting sqref="F5:F36">
    <cfRule type="cellIs" priority="2" operator="greaterThan" aboveAverage="0" equalAverage="0" bottom="0" percent="0" rank="0" text="" dxfId="0">
      <formula>0.0035</formula>
    </cfRule>
  </conditionalFormatting>
  <conditionalFormatting sqref="H5:H36">
    <cfRule type="cellIs" priority="3" operator="equal" aboveAverage="0" equalAverage="0" bottom="0" percent="0" rank="0" text="" dxfId="0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10" min="8" style="0" width="9"/>
    <col collapsed="false" customWidth="true" hidden="false" outlineLevel="0" max="11" min="11" style="0" width="50"/>
  </cols>
  <sheetData>
    <row r="1" customFormat="false" ht="17.35" hidden="false" customHeight="false" outlineLevel="0" collapsed="false">
      <c r="A1" s="1" t="s">
        <v>484</v>
      </c>
    </row>
    <row r="2" customFormat="false" ht="15" hidden="false" customHeight="false" outlineLevel="0" collapsed="false">
      <c r="A2" s="2" t="s">
        <v>485</v>
      </c>
    </row>
    <row r="4" customFormat="false" ht="30" hidden="false" customHeight="true" outlineLevel="0" collapsed="false">
      <c r="A4" s="4" t="s">
        <v>61</v>
      </c>
      <c r="B4" s="4" t="s">
        <v>486</v>
      </c>
      <c r="C4" s="4" t="s">
        <v>87</v>
      </c>
      <c r="D4" s="4" t="s">
        <v>89</v>
      </c>
      <c r="E4" s="4" t="s">
        <v>90</v>
      </c>
      <c r="F4" s="4" t="s">
        <v>91</v>
      </c>
      <c r="G4" s="4" t="s">
        <v>95</v>
      </c>
      <c r="H4" s="4" t="s">
        <v>11</v>
      </c>
      <c r="I4" s="4" t="s">
        <v>12</v>
      </c>
      <c r="J4" s="4" t="s">
        <v>96</v>
      </c>
      <c r="K4" s="4" t="s">
        <v>487</v>
      </c>
    </row>
    <row r="5" customFormat="false" ht="15" hidden="false" customHeight="false" outlineLevel="0" collapsed="false">
      <c r="A5" s="27" t="str">
        <f aca="false">'Newsletter Map'!A21</f>
        <v>Enterprise &amp; AI Newsletter</v>
      </c>
      <c r="B5" s="28" t="str">
        <f aca="false">'Newsletter Map'!D21</f>
        <v>Amit from Plug and Play</v>
      </c>
      <c r="C5" s="29" t="str">
        <f aca="false">'Newsletter Map'!G21</f>
        <v>Once</v>
      </c>
      <c r="D5" s="30" t="n">
        <f aca="false">'Newsletter Map'!I21</f>
        <v>1</v>
      </c>
      <c r="E5" s="31" t="n">
        <f aca="false">'Newsletter Map'!J21</f>
        <v>46140</v>
      </c>
      <c r="F5" s="31" t="n">
        <f aca="false">'Newsletter Map'!K21</f>
        <v>46140</v>
      </c>
      <c r="G5" s="30" t="n">
        <f aca="false">'Newsletter Map'!O21</f>
        <v>6533</v>
      </c>
      <c r="H5" s="32" t="n">
        <f aca="false">'Newsletter Map'!P21</f>
        <v>0.299249961732742</v>
      </c>
      <c r="I5" s="32" t="n">
        <f aca="false">'Newsletter Map'!Q21</f>
        <v>0.0151538343793051</v>
      </c>
      <c r="J5" s="33" t="n">
        <f aca="false">'Newsletter Map'!R21</f>
        <v>0.0125516607990204</v>
      </c>
      <c r="K5" s="28" t="str">
        <f aca="false">'Newsletter Map'!F21</f>
        <v>Plug and Play Marketing Communications (1)</v>
      </c>
    </row>
    <row r="6" customFormat="false" ht="15" hidden="false" customHeight="false" outlineLevel="0" collapsed="false">
      <c r="A6" s="27" t="str">
        <f aca="false">'Newsletter Map'!A22</f>
        <v>Sustainable Future Newsletter</v>
      </c>
      <c r="B6" s="28" t="str">
        <f aca="false">'Newsletter Map'!D22</f>
        <v>Robert Grey</v>
      </c>
      <c r="C6" s="29" t="str">
        <f aca="false">'Newsletter Map'!G22</f>
        <v>Quarterly</v>
      </c>
      <c r="D6" s="30" t="n">
        <f aca="false">'Newsletter Map'!I22</f>
        <v>4</v>
      </c>
      <c r="E6" s="31" t="n">
        <f aca="false">'Newsletter Map'!J22</f>
        <v>45945</v>
      </c>
      <c r="F6" s="31" t="n">
        <f aca="false">'Newsletter Map'!K22</f>
        <v>46226</v>
      </c>
      <c r="G6" s="30" t="n">
        <f aca="false">'Newsletter Map'!O22</f>
        <v>5874.5</v>
      </c>
      <c r="H6" s="32" t="n">
        <f aca="false">'Newsletter Map'!P22</f>
        <v>0.287769171844412</v>
      </c>
      <c r="I6" s="32" t="n">
        <f aca="false">'Newsletter Map'!Q22</f>
        <v>0.0117031236700996</v>
      </c>
      <c r="J6" s="33" t="n">
        <f aca="false">'Newsletter Map'!R22</f>
        <v>0.007660226402247</v>
      </c>
      <c r="K6" s="28" t="str">
        <f aca="false">'Newsletter Map'!F22</f>
        <v>Plug and Play Marketing Communications (4)</v>
      </c>
    </row>
    <row r="7" customFormat="false" ht="15" hidden="false" customHeight="false" outlineLevel="0" collapsed="false">
      <c r="A7" s="27" t="str">
        <f aca="false">'Newsletter Map'!A23</f>
        <v>Fintech &amp; AI Fund Insights</v>
      </c>
      <c r="B7" s="28" t="str">
        <f aca="false">'Newsletter Map'!D23</f>
        <v>Brooke Ballinger</v>
      </c>
      <c r="C7" s="29" t="str">
        <f aca="false">'Newsletter Map'!G23</f>
        <v>New (started Aug–Sep 2026)</v>
      </c>
      <c r="D7" s="30" t="n">
        <f aca="false">'Newsletter Map'!I23</f>
        <v>2</v>
      </c>
      <c r="E7" s="31" t="n">
        <f aca="false">'Newsletter Map'!J23</f>
        <v>46238</v>
      </c>
      <c r="F7" s="31" t="n">
        <f aca="false">'Newsletter Map'!K23</f>
        <v>46288</v>
      </c>
      <c r="G7" s="30" t="n">
        <f aca="false">'Newsletter Map'!O23</f>
        <v>4858.5</v>
      </c>
      <c r="H7" s="32" t="n">
        <f aca="false">'Newsletter Map'!P23</f>
        <v>0.35237213131625</v>
      </c>
      <c r="I7" s="32" t="n">
        <f aca="false">'Newsletter Map'!Q23</f>
        <v>0.0072038695070495</v>
      </c>
      <c r="J7" s="33" t="n">
        <f aca="false">'Newsletter Map'!R23</f>
        <v>0.0138931769064526</v>
      </c>
      <c r="K7" s="28" t="str">
        <f aca="false">'Newsletter Map'!F23</f>
        <v>Fintech &amp; AI Fund Insights (2)</v>
      </c>
    </row>
    <row r="8" customFormat="false" ht="23.85" hidden="false" customHeight="false" outlineLevel="0" collapsed="false">
      <c r="A8" s="27" t="str">
        <f aca="false">'Newsletter Map'!A24</f>
        <v>Smart Cities Newsletter</v>
      </c>
      <c r="B8" s="28" t="str">
        <f aca="false">'Newsletter Map'!D24</f>
        <v>Angie from Plug and Play, Sobhan Khani</v>
      </c>
      <c r="C8" s="29" t="str">
        <f aca="false">'Newsletter Map'!G24</f>
        <v>Twice a year</v>
      </c>
      <c r="D8" s="30" t="n">
        <f aca="false">'Newsletter Map'!I24</f>
        <v>2</v>
      </c>
      <c r="E8" s="31" t="n">
        <f aca="false">'Newsletter Map'!J24</f>
        <v>45931</v>
      </c>
      <c r="F8" s="31" t="n">
        <f aca="false">'Newsletter Map'!K24</f>
        <v>46197</v>
      </c>
      <c r="G8" s="30" t="n">
        <f aca="false">'Newsletter Map'!O24</f>
        <v>3163.5</v>
      </c>
      <c r="H8" s="32" t="n">
        <f aca="false">'Newsletter Map'!P24</f>
        <v>0.306464359095938</v>
      </c>
      <c r="I8" s="32" t="n">
        <f aca="false">'Newsletter Map'!Q24</f>
        <v>0.0161213845424372</v>
      </c>
      <c r="J8" s="33" t="n">
        <f aca="false">'Newsletter Map'!R24</f>
        <v>0.0085348506401138</v>
      </c>
      <c r="K8" s="28" t="str">
        <f aca="false">'Newsletter Map'!F24</f>
        <v>Plug and Play Marketing Communications (2)</v>
      </c>
    </row>
    <row r="9" customFormat="false" ht="23.85" hidden="false" customHeight="false" outlineLevel="0" collapsed="false">
      <c r="A9" s="27" t="str">
        <f aca="false">'Newsletter Map'!A25</f>
        <v>Global Travel &amp; Hospitality Newsletter</v>
      </c>
      <c r="B9" s="28" t="str">
        <f aca="false">'Newsletter Map'!D25</f>
        <v>Christina from Plug and Play, Plug and Play Vienna</v>
      </c>
      <c r="C9" s="29" t="str">
        <f aca="false">'Newsletter Map'!G25</f>
        <v>Quarterly</v>
      </c>
      <c r="D9" s="30" t="n">
        <f aca="false">'Newsletter Map'!I25</f>
        <v>3</v>
      </c>
      <c r="E9" s="31" t="n">
        <f aca="false">'Newsletter Map'!J25</f>
        <v>46052</v>
      </c>
      <c r="F9" s="31" t="n">
        <f aca="false">'Newsletter Map'!K25</f>
        <v>46209</v>
      </c>
      <c r="G9" s="30" t="n">
        <f aca="false">'Newsletter Map'!O25</f>
        <v>2993</v>
      </c>
      <c r="H9" s="32" t="n">
        <f aca="false">'Newsletter Map'!P25</f>
        <v>0.13175186546386</v>
      </c>
      <c r="I9" s="32" t="n">
        <f aca="false">'Newsletter Map'!Q25</f>
        <v>0.012919033299922</v>
      </c>
      <c r="J9" s="33" t="n">
        <f aca="false">'Newsletter Map'!R25</f>
        <v>0.00612540371979062</v>
      </c>
      <c r="K9" s="28" t="str">
        <f aca="false">'Newsletter Map'!F25</f>
        <v>Plug and Play Global Newsletter (2); Plug and Play Marketing Communications (1)</v>
      </c>
    </row>
    <row r="10" customFormat="false" ht="15" hidden="false" customHeight="false" outlineLevel="0" collapsed="false">
      <c r="A10" s="27" t="str">
        <f aca="false">'Newsletter Map'!A26</f>
        <v>Health Newsletter</v>
      </c>
      <c r="B10" s="28" t="str">
        <f aca="false">'Newsletter Map'!D26</f>
        <v>Ayah from Plug and Play</v>
      </c>
      <c r="C10" s="29" t="str">
        <f aca="false">'Newsletter Map'!G26</f>
        <v>Quarterly</v>
      </c>
      <c r="D10" s="30" t="n">
        <f aca="false">'Newsletter Map'!I26</f>
        <v>3</v>
      </c>
      <c r="E10" s="31" t="n">
        <f aca="false">'Newsletter Map'!J26</f>
        <v>45988</v>
      </c>
      <c r="F10" s="31" t="n">
        <f aca="false">'Newsletter Map'!K26</f>
        <v>46204</v>
      </c>
      <c r="G10" s="30" t="n">
        <f aca="false">'Newsletter Map'!O26</f>
        <v>2750.66666666667</v>
      </c>
      <c r="H10" s="32" t="n">
        <f aca="false">'Newsletter Map'!P26</f>
        <v>0.181652932622395</v>
      </c>
      <c r="I10" s="32" t="n">
        <f aca="false">'Newsletter Map'!Q26</f>
        <v>0.0106640814348037</v>
      </c>
      <c r="J10" s="33" t="n">
        <f aca="false">'Newsletter Map'!R26</f>
        <v>0.00484730974309258</v>
      </c>
      <c r="K10" s="28" t="str">
        <f aca="false">'Newsletter Map'!F26</f>
        <v>Plug and Play Marketing Communications (3)</v>
      </c>
    </row>
    <row r="11" customFormat="false" ht="15" hidden="false" customHeight="false" outlineLevel="0" collapsed="false">
      <c r="A11" s="27" t="str">
        <f aca="false">'Newsletter Map'!A27</f>
        <v>Financial Services Newsletter</v>
      </c>
      <c r="B11" s="28" t="str">
        <f aca="false">'Newsletter Map'!D27</f>
        <v>Davis Auksmuksts</v>
      </c>
      <c r="C11" s="29" t="str">
        <f aca="false">'Newsletter Map'!G27</f>
        <v>Quarterly</v>
      </c>
      <c r="D11" s="30" t="n">
        <f aca="false">'Newsletter Map'!I27</f>
        <v>2</v>
      </c>
      <c r="E11" s="31" t="n">
        <f aca="false">'Newsletter Map'!J27</f>
        <v>46120</v>
      </c>
      <c r="F11" s="31" t="n">
        <f aca="false">'Newsletter Map'!K27</f>
        <v>46216</v>
      </c>
      <c r="G11" s="30" t="n">
        <f aca="false">'Newsletter Map'!O27</f>
        <v>2559.5</v>
      </c>
      <c r="H11" s="32" t="n">
        <f aca="false">'Newsletter Map'!P27</f>
        <v>0.300840007814026</v>
      </c>
      <c r="I11" s="32" t="n">
        <f aca="false">'Newsletter Map'!Q27</f>
        <v>0.00859542879468646</v>
      </c>
      <c r="J11" s="33" t="n">
        <f aca="false">'Newsletter Map'!R27</f>
        <v>0.00918148075796054</v>
      </c>
      <c r="K11" s="28" t="str">
        <f aca="false">'Newsletter Map'!F27</f>
        <v>Plug and Play Marketing Communications (2)</v>
      </c>
    </row>
    <row r="12" customFormat="false" ht="23.85" hidden="false" customHeight="false" outlineLevel="0" collapsed="false">
      <c r="A12" s="27" t="str">
        <f aca="false">'Newsletter Map'!A28</f>
        <v>Brand &amp; Retail (BRAM) Newsletter</v>
      </c>
      <c r="B12" s="28" t="str">
        <f aca="false">'Newsletter Map'!D28</f>
        <v>Plug and Play Brand and Retail</v>
      </c>
      <c r="C12" s="29" t="str">
        <f aca="false">'Newsletter Map'!G28</f>
        <v>New (started Aug–Sep 2026)</v>
      </c>
      <c r="D12" s="30" t="n">
        <f aca="false">'Newsletter Map'!I28</f>
        <v>2</v>
      </c>
      <c r="E12" s="31" t="n">
        <f aca="false">'Newsletter Map'!J28</f>
        <v>46275</v>
      </c>
      <c r="F12" s="31" t="n">
        <f aca="false">'Newsletter Map'!K28</f>
        <v>46294</v>
      </c>
      <c r="G12" s="30" t="n">
        <f aca="false">'Newsletter Map'!O28</f>
        <v>189.5</v>
      </c>
      <c r="H12" s="32" t="n">
        <f aca="false">'Newsletter Map'!P28</f>
        <v>0.269129287598945</v>
      </c>
      <c r="I12" s="32" t="n">
        <f aca="false">'Newsletter Map'!Q28</f>
        <v>0.0316622691292876</v>
      </c>
      <c r="J12" s="33" t="n">
        <f aca="false">'Newsletter Map'!R28</f>
        <v>0.00527704485488127</v>
      </c>
      <c r="K12" s="28" t="str">
        <f aca="false">'Newsletter Map'!F28</f>
        <v>Plug and Play Brand and Retail team (2); Plug and Play Information &amp; Services (1)</v>
      </c>
    </row>
    <row r="13" customFormat="false" ht="15" hidden="false" customHeight="false" outlineLevel="0" collapsed="false">
      <c r="A13" s="27" t="str">
        <f aca="false">'Newsletter Map'!A29</f>
        <v>Supply Chain – SLAM Innovation Brief</v>
      </c>
      <c r="B13" s="28" t="str">
        <f aca="false">'Newsletter Map'!D29</f>
        <v>Plug and Play Supply Chain</v>
      </c>
      <c r="C13" s="29" t="str">
        <f aca="false">'Newsletter Map'!G29</f>
        <v>Monthly</v>
      </c>
      <c r="D13" s="30" t="n">
        <f aca="false">'Newsletter Map'!I29</f>
        <v>3</v>
      </c>
      <c r="E13" s="31" t="n">
        <f aca="false">'Newsletter Map'!J29</f>
        <v>46212</v>
      </c>
      <c r="F13" s="31" t="n">
        <f aca="false">'Newsletter Map'!K29</f>
        <v>46273</v>
      </c>
      <c r="G13" s="30" t="n">
        <f aca="false">'Newsletter Map'!O29</f>
        <v>48.6666666666667</v>
      </c>
      <c r="H13" s="32" t="n">
        <f aca="false">'Newsletter Map'!P29</f>
        <v>0.308219178082192</v>
      </c>
      <c r="I13" s="32" t="n">
        <f aca="false">'Newsletter Map'!Q29</f>
        <v>0.0958904109589041</v>
      </c>
      <c r="J13" s="33" t="n">
        <f aca="false">'Newsletter Map'!R29</f>
        <v>0</v>
      </c>
      <c r="K13" s="28" t="str">
        <f aca="false">'Newsletter Map'!F29</f>
        <v>Plug and Play Information &amp; Services (3)</v>
      </c>
    </row>
    <row r="15" customFormat="false" ht="15" hidden="false" customHeight="false" outlineLevel="0" collapsed="false">
      <c r="A15" s="3" t="s">
        <v>488</v>
      </c>
    </row>
    <row r="16" customFormat="false" ht="30" hidden="false" customHeight="true" outlineLevel="0" collapsed="false">
      <c r="A16" s="4" t="s">
        <v>489</v>
      </c>
      <c r="B16" s="4" t="s">
        <v>490</v>
      </c>
      <c r="C16" s="4" t="s">
        <v>491</v>
      </c>
    </row>
    <row r="17" customFormat="false" ht="15" hidden="false" customHeight="false" outlineLevel="0" collapsed="false">
      <c r="A17" s="5" t="s">
        <v>492</v>
      </c>
      <c r="B17" s="6" t="n">
        <v>340718</v>
      </c>
      <c r="C17" s="24" t="n">
        <f aca="false">B17/590464</f>
        <v>0.5770343323217</v>
      </c>
    </row>
    <row r="18" customFormat="false" ht="15" hidden="false" customHeight="false" outlineLevel="0" collapsed="false">
      <c r="A18" s="5" t="s">
        <v>493</v>
      </c>
      <c r="B18" s="6" t="n">
        <v>60146</v>
      </c>
      <c r="C18" s="24" t="n">
        <f aca="false">B18/590464</f>
        <v>0.101862264253197</v>
      </c>
    </row>
    <row r="19" customFormat="false" ht="15" hidden="false" customHeight="false" outlineLevel="0" collapsed="false">
      <c r="A19" s="5" t="s">
        <v>494</v>
      </c>
      <c r="B19" s="6" t="n">
        <v>3181</v>
      </c>
      <c r="C19" s="24" t="n">
        <f aca="false">B19/590464</f>
        <v>0.00538728864079775</v>
      </c>
    </row>
    <row r="20" customFormat="false" ht="15" hidden="false" customHeight="false" outlineLevel="0" collapsed="false">
      <c r="A20" s="5" t="s">
        <v>495</v>
      </c>
      <c r="B20" s="6" t="n">
        <v>919</v>
      </c>
      <c r="C20" s="24" t="n">
        <f aca="false">B20/590464</f>
        <v>0.00155640309993497</v>
      </c>
    </row>
    <row r="22" customFormat="false" ht="15" hidden="false" customHeight="false" outlineLevel="0" collapsed="false">
      <c r="A22" s="3" t="s">
        <v>496</v>
      </c>
    </row>
    <row r="23" customFormat="false" ht="15" hidden="false" customHeight="false" outlineLevel="0" collapsed="false">
      <c r="A23" s="13" t="s">
        <v>497</v>
      </c>
    </row>
    <row r="24" customFormat="false" ht="15" hidden="false" customHeight="false" outlineLevel="0" collapsed="false">
      <c r="A24" s="13" t="s">
        <v>498</v>
      </c>
    </row>
    <row r="25" customFormat="false" ht="15" hidden="false" customHeight="false" outlineLevel="0" collapsed="false">
      <c r="A25" s="13" t="s">
        <v>499</v>
      </c>
    </row>
    <row r="26" customFormat="false" ht="15" hidden="false" customHeight="false" outlineLevel="0" collapsed="false">
      <c r="A26" s="13" t="s">
        <v>189</v>
      </c>
    </row>
    <row r="27" customFormat="false" ht="15" hidden="false" customHeight="false" outlineLevel="0" collapsed="false">
      <c r="A27" s="13" t="s">
        <v>220</v>
      </c>
    </row>
    <row r="28" customFormat="false" ht="15" hidden="false" customHeight="false" outlineLevel="0" collapsed="false">
      <c r="A28" s="13" t="s">
        <v>216</v>
      </c>
    </row>
    <row r="29" customFormat="false" ht="15" hidden="false" customHeight="false" outlineLevel="0" collapsed="false">
      <c r="A29" s="13" t="s">
        <v>500</v>
      </c>
    </row>
    <row r="30" customFormat="false" ht="15" hidden="false" customHeight="false" outlineLevel="0" collapsed="false">
      <c r="A30" s="13" t="s">
        <v>501</v>
      </c>
    </row>
    <row r="31" customFormat="false" ht="15" hidden="false" customHeight="false" outlineLevel="0" collapsed="false">
      <c r="A31" s="13" t="s">
        <v>502</v>
      </c>
    </row>
    <row r="32" customFormat="false" ht="15" hidden="false" customHeight="false" outlineLevel="0" collapsed="false">
      <c r="A32" s="13" t="s">
        <v>207</v>
      </c>
    </row>
    <row r="33" customFormat="false" ht="15" hidden="false" customHeight="false" outlineLevel="0" collapsed="false">
      <c r="A33" s="13" t="s">
        <v>503</v>
      </c>
    </row>
    <row r="34" customFormat="false" ht="15" hidden="false" customHeight="false" outlineLevel="0" collapsed="false">
      <c r="A34" s="13" t="s">
        <v>504</v>
      </c>
    </row>
    <row r="35" customFormat="false" ht="15" hidden="false" customHeight="false" outlineLevel="0" collapsed="false">
      <c r="A35" s="13" t="s">
        <v>505</v>
      </c>
    </row>
    <row r="36" customFormat="false" ht="15" hidden="false" customHeight="false" outlineLevel="0" collapsed="false">
      <c r="A36" s="13" t="s">
        <v>506</v>
      </c>
    </row>
  </sheetData>
  <conditionalFormatting sqref="J5:J13">
    <cfRule type="cellIs" priority="2" operator="greaterThan" aboveAverage="0" equalAverage="0" bottom="0" percent="0" rank="0" text="" dxfId="0">
      <formula>0.0035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507</v>
      </c>
    </row>
    <row r="2" customFormat="false" ht="15" hidden="false" customHeight="false" outlineLevel="0" collapsed="false">
      <c r="A2" s="2" t="s">
        <v>508</v>
      </c>
    </row>
    <row r="4" customFormat="false" ht="30" hidden="false" customHeight="true" outlineLevel="0" collapsed="false">
      <c r="A4" s="4" t="s">
        <v>509</v>
      </c>
      <c r="B4" s="4" t="s">
        <v>507</v>
      </c>
      <c r="C4" s="4" t="s">
        <v>491</v>
      </c>
    </row>
    <row r="5" customFormat="false" ht="25.5" hidden="false" customHeight="true" outlineLevel="0" collapsed="false">
      <c r="A5" s="20" t="s">
        <v>510</v>
      </c>
      <c r="B5" s="6" t="n">
        <v>1198117</v>
      </c>
      <c r="C5" s="34" t="s">
        <v>8</v>
      </c>
    </row>
    <row r="6" customFormat="false" ht="25.5" hidden="false" customHeight="true" outlineLevel="0" collapsed="false">
      <c r="A6" s="35" t="s">
        <v>511</v>
      </c>
      <c r="B6" s="6" t="n">
        <v>590458</v>
      </c>
      <c r="C6" s="34" t="n">
        <v>1</v>
      </c>
    </row>
    <row r="7" customFormat="false" ht="25.5" hidden="false" customHeight="true" outlineLevel="0" collapsed="false">
      <c r="A7" s="20" t="s">
        <v>512</v>
      </c>
      <c r="B7" s="6" t="n">
        <v>630000</v>
      </c>
      <c r="C7" s="34" t="s">
        <v>8</v>
      </c>
    </row>
    <row r="8" customFormat="false" ht="25.5" hidden="false" customHeight="true" outlineLevel="0" collapsed="false">
      <c r="A8" s="35" t="s">
        <v>513</v>
      </c>
      <c r="B8" s="6" t="n">
        <v>508812</v>
      </c>
      <c r="C8" s="34" t="n">
        <f aca="false">B8/$B$6</f>
        <v>0.861724288603084</v>
      </c>
    </row>
    <row r="9" customFormat="false" ht="25.5" hidden="false" customHeight="true" outlineLevel="0" collapsed="false">
      <c r="A9" s="35" t="s">
        <v>514</v>
      </c>
      <c r="B9" s="6" t="n">
        <v>433657</v>
      </c>
      <c r="C9" s="34" t="n">
        <f aca="false">B9/$B$6</f>
        <v>0.734441738447104</v>
      </c>
    </row>
    <row r="10" customFormat="false" ht="25.5" hidden="false" customHeight="true" outlineLevel="0" collapsed="false">
      <c r="A10" s="35" t="s">
        <v>515</v>
      </c>
      <c r="B10" s="6" t="n">
        <v>29115</v>
      </c>
      <c r="C10" s="34" t="n">
        <f aca="false">B10/$B$6</f>
        <v>0.0493091803312005</v>
      </c>
    </row>
    <row r="11" customFormat="false" ht="25.5" hidden="false" customHeight="true" outlineLevel="0" collapsed="false">
      <c r="A11" s="20" t="s">
        <v>516</v>
      </c>
      <c r="B11" s="6" t="n">
        <v>20539</v>
      </c>
      <c r="C11" s="34" t="s">
        <v>8</v>
      </c>
    </row>
    <row r="12" customFormat="false" ht="25.5" hidden="false" customHeight="true" outlineLevel="0" collapsed="false">
      <c r="A12" s="20" t="s">
        <v>517</v>
      </c>
      <c r="B12" s="6" t="n">
        <v>12055</v>
      </c>
      <c r="C12" s="34" t="s">
        <v>8</v>
      </c>
    </row>
    <row r="13" customFormat="false" ht="25.5" hidden="false" customHeight="true" outlineLevel="0" collapsed="false">
      <c r="A13" s="20" t="s">
        <v>518</v>
      </c>
      <c r="B13" s="6" t="n">
        <v>76830</v>
      </c>
      <c r="C13" s="34" t="s">
        <v>8</v>
      </c>
    </row>
    <row r="14" customFormat="false" ht="25.5" hidden="false" customHeight="true" outlineLevel="0" collapsed="false">
      <c r="A14" s="20" t="s">
        <v>519</v>
      </c>
      <c r="B14" s="6" t="n">
        <v>10148</v>
      </c>
      <c r="C14" s="34" t="s">
        <v>8</v>
      </c>
    </row>
    <row r="15" customFormat="false" ht="25.5" hidden="false" customHeight="true" outlineLevel="0" collapsed="false">
      <c r="A15" s="20" t="s">
        <v>520</v>
      </c>
      <c r="B15" s="6" t="n">
        <v>454</v>
      </c>
      <c r="C15" s="34" t="s">
        <v>8</v>
      </c>
    </row>
    <row r="16" customFormat="false" ht="25.5" hidden="false" customHeight="true" outlineLevel="0" collapsed="false">
      <c r="A16" s="17" t="s">
        <v>521</v>
      </c>
      <c r="B16" s="18" t="n">
        <f aca="false">B6-B8</f>
        <v>81646</v>
      </c>
      <c r="C16" s="19" t="n">
        <f aca="false">B16/B6</f>
        <v>0.138275711396916</v>
      </c>
    </row>
    <row r="17" customFormat="false" ht="25.5" hidden="false" customHeight="true" outlineLevel="0" collapsed="false">
      <c r="A17" s="17" t="s">
        <v>522</v>
      </c>
      <c r="B17" s="18" t="n">
        <f aca="false">B7-B6</f>
        <v>39542</v>
      </c>
      <c r="C17" s="19" t="n">
        <f aca="false">B6/B7</f>
        <v>0.937234920634921</v>
      </c>
    </row>
    <row r="19" customFormat="false" ht="15" hidden="false" customHeight="false" outlineLevel="0" collapsed="false">
      <c r="A19" s="2" t="s">
        <v>523</v>
      </c>
    </row>
    <row r="22" customFormat="false" ht="15" hidden="false" customHeight="false" outlineLevel="0" collapsed="false">
      <c r="A22" s="3" t="s">
        <v>524</v>
      </c>
    </row>
    <row r="23" customFormat="false" ht="30" hidden="false" customHeight="true" outlineLevel="0" collapsed="false">
      <c r="A23" s="4" t="s">
        <v>489</v>
      </c>
      <c r="B23" s="4" t="s">
        <v>525</v>
      </c>
      <c r="C23" s="4" t="s">
        <v>491</v>
      </c>
    </row>
    <row r="24" customFormat="false" ht="15" hidden="false" customHeight="false" outlineLevel="0" collapsed="false">
      <c r="A24" s="5" t="s">
        <v>526</v>
      </c>
      <c r="B24" s="6" t="n">
        <v>22609</v>
      </c>
      <c r="C24" s="24" t="n">
        <f aca="false">B24/590464</f>
        <v>0.0382902259917624</v>
      </c>
    </row>
    <row r="25" customFormat="false" ht="15" hidden="false" customHeight="false" outlineLevel="0" collapsed="false">
      <c r="A25" s="5" t="s">
        <v>527</v>
      </c>
      <c r="B25" s="6" t="n">
        <v>2374</v>
      </c>
      <c r="C25" s="24" t="n">
        <f aca="false">B25/590464</f>
        <v>0.00402056687621938</v>
      </c>
    </row>
    <row r="26" customFormat="false" ht="15" hidden="false" customHeight="false" outlineLevel="0" collapsed="false">
      <c r="A26" s="5" t="s">
        <v>190</v>
      </c>
      <c r="B26" s="6" t="n">
        <v>340718</v>
      </c>
      <c r="C26" s="24" t="n">
        <f aca="false">B26/590464</f>
        <v>0.5770343323217</v>
      </c>
    </row>
    <row r="27" customFormat="false" ht="15" hidden="false" customHeight="false" outlineLevel="0" collapsed="false">
      <c r="A27" s="5" t="s">
        <v>528</v>
      </c>
      <c r="B27" s="6" t="n">
        <v>60146</v>
      </c>
      <c r="C27" s="24" t="n">
        <f aca="false">B27/590464</f>
        <v>0.101862264253197</v>
      </c>
    </row>
    <row r="28" customFormat="false" ht="15" hidden="false" customHeight="false" outlineLevel="0" collapsed="false">
      <c r="A28" s="5" t="s">
        <v>494</v>
      </c>
      <c r="B28" s="6" t="n">
        <v>3181</v>
      </c>
      <c r="C28" s="24" t="n">
        <f aca="false">B28/590464</f>
        <v>0.00538728864079775</v>
      </c>
    </row>
    <row r="29" customFormat="false" ht="15" hidden="false" customHeight="false" outlineLevel="0" collapsed="false">
      <c r="A29" s="5" t="s">
        <v>495</v>
      </c>
      <c r="B29" s="6" t="n">
        <v>919</v>
      </c>
      <c r="C29" s="24" t="n">
        <f aca="false">B29/590464</f>
        <v>0.00155640309993497</v>
      </c>
    </row>
    <row r="30" customFormat="false" ht="15" hidden="false" customHeight="false" outlineLevel="0" collapsed="false">
      <c r="A30" s="2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10"/>
    <col collapsed="false" customWidth="true" hidden="false" outlineLevel="0" max="3" min="3" style="0" width="11"/>
  </cols>
  <sheetData>
    <row r="1" customFormat="false" ht="17.35" hidden="false" customHeight="false" outlineLevel="0" collapsed="false">
      <c r="A1" s="1" t="s">
        <v>530</v>
      </c>
    </row>
    <row r="2" customFormat="false" ht="15" hidden="false" customHeight="false" outlineLevel="0" collapsed="false">
      <c r="A2" s="2" t="s">
        <v>531</v>
      </c>
    </row>
    <row r="4" customFormat="false" ht="30" hidden="false" customHeight="true" outlineLevel="0" collapsed="false">
      <c r="A4" s="4" t="s">
        <v>532</v>
      </c>
      <c r="B4" s="4" t="s">
        <v>533</v>
      </c>
      <c r="C4" s="4" t="s">
        <v>534</v>
      </c>
    </row>
    <row r="5" customFormat="false" ht="15" hidden="false" customHeight="false" outlineLevel="0" collapsed="false">
      <c r="A5" s="5" t="s">
        <v>202</v>
      </c>
      <c r="B5" s="13" t="s">
        <v>535</v>
      </c>
      <c r="C5" s="21" t="s">
        <v>536</v>
      </c>
    </row>
    <row r="6" customFormat="false" ht="15" hidden="false" customHeight="false" outlineLevel="0" collapsed="false">
      <c r="A6" s="5" t="s">
        <v>537</v>
      </c>
      <c r="B6" s="13" t="s">
        <v>538</v>
      </c>
      <c r="C6" s="21" t="s">
        <v>536</v>
      </c>
    </row>
    <row r="7" customFormat="false" ht="15" hidden="false" customHeight="false" outlineLevel="0" collapsed="false">
      <c r="A7" s="5" t="s">
        <v>539</v>
      </c>
      <c r="B7" s="13" t="s">
        <v>540</v>
      </c>
      <c r="C7" s="21" t="s">
        <v>536</v>
      </c>
    </row>
    <row r="8" customFormat="false" ht="15" hidden="false" customHeight="false" outlineLevel="0" collapsed="false">
      <c r="A8" s="5" t="s">
        <v>127</v>
      </c>
      <c r="B8" s="13" t="s">
        <v>541</v>
      </c>
      <c r="C8" s="21" t="s">
        <v>536</v>
      </c>
    </row>
    <row r="9" customFormat="false" ht="15" hidden="false" customHeight="false" outlineLevel="0" collapsed="false">
      <c r="A9" s="5" t="s">
        <v>542</v>
      </c>
      <c r="B9" s="13" t="s">
        <v>543</v>
      </c>
      <c r="C9" s="21" t="s">
        <v>536</v>
      </c>
    </row>
    <row r="10" customFormat="false" ht="15" hidden="false" customHeight="false" outlineLevel="0" collapsed="false">
      <c r="A10" s="5" t="s">
        <v>544</v>
      </c>
      <c r="B10" s="13" t="s">
        <v>545</v>
      </c>
      <c r="C10" s="21" t="s">
        <v>536</v>
      </c>
    </row>
    <row r="11" customFormat="false" ht="15" hidden="false" customHeight="false" outlineLevel="0" collapsed="false">
      <c r="A11" s="5" t="s">
        <v>546</v>
      </c>
      <c r="B11" s="13" t="s">
        <v>547</v>
      </c>
      <c r="C11" s="21" t="s">
        <v>536</v>
      </c>
    </row>
    <row r="12" customFormat="false" ht="15" hidden="false" customHeight="false" outlineLevel="0" collapsed="false">
      <c r="A12" s="5" t="s">
        <v>548</v>
      </c>
      <c r="B12" s="13" t="s">
        <v>549</v>
      </c>
      <c r="C12" s="21" t="s">
        <v>536</v>
      </c>
    </row>
    <row r="13" customFormat="false" ht="15" hidden="false" customHeight="false" outlineLevel="0" collapsed="false">
      <c r="A13" s="5" t="s">
        <v>550</v>
      </c>
      <c r="B13" s="13" t="s">
        <v>551</v>
      </c>
      <c r="C13" s="21" t="s">
        <v>536</v>
      </c>
    </row>
    <row r="14" customFormat="false" ht="15" hidden="false" customHeight="false" outlineLevel="0" collapsed="false">
      <c r="A14" s="5" t="s">
        <v>152</v>
      </c>
      <c r="B14" s="13" t="s">
        <v>552</v>
      </c>
      <c r="C14" s="21" t="s">
        <v>536</v>
      </c>
    </row>
    <row r="15" customFormat="false" ht="15" hidden="false" customHeight="false" outlineLevel="0" collapsed="false">
      <c r="A15" s="5" t="s">
        <v>553</v>
      </c>
      <c r="B15" s="13" t="s">
        <v>554</v>
      </c>
      <c r="C15" s="21" t="s">
        <v>536</v>
      </c>
    </row>
    <row r="16" customFormat="false" ht="15" hidden="false" customHeight="false" outlineLevel="0" collapsed="false">
      <c r="A16" s="5" t="s">
        <v>555</v>
      </c>
      <c r="B16" s="13" t="s">
        <v>556</v>
      </c>
      <c r="C16" s="21" t="s">
        <v>536</v>
      </c>
    </row>
    <row r="17" customFormat="false" ht="15" hidden="false" customHeight="false" outlineLevel="0" collapsed="false">
      <c r="A17" s="5" t="s">
        <v>557</v>
      </c>
      <c r="B17" s="13" t="s">
        <v>558</v>
      </c>
      <c r="C17" s="21" t="s">
        <v>536</v>
      </c>
    </row>
    <row r="18" customFormat="false" ht="15" hidden="false" customHeight="false" outlineLevel="0" collapsed="false">
      <c r="A18" s="5" t="s">
        <v>559</v>
      </c>
      <c r="B18" s="13" t="s">
        <v>560</v>
      </c>
      <c r="C18" s="21" t="s">
        <v>536</v>
      </c>
    </row>
    <row r="19" customFormat="false" ht="15" hidden="false" customHeight="false" outlineLevel="0" collapsed="false">
      <c r="A19" s="13" t="s">
        <v>497</v>
      </c>
      <c r="B19" s="13" t="s">
        <v>561</v>
      </c>
      <c r="C19" s="21" t="s">
        <v>562</v>
      </c>
    </row>
    <row r="20" customFormat="false" ht="15" hidden="false" customHeight="false" outlineLevel="0" collapsed="false">
      <c r="A20" s="13" t="s">
        <v>498</v>
      </c>
      <c r="B20" s="13" t="s">
        <v>563</v>
      </c>
      <c r="C20" s="21" t="s">
        <v>562</v>
      </c>
    </row>
    <row r="21" customFormat="false" ht="15" hidden="false" customHeight="false" outlineLevel="0" collapsed="false">
      <c r="A21" s="13" t="s">
        <v>564</v>
      </c>
      <c r="B21" s="13" t="s">
        <v>564</v>
      </c>
      <c r="C21" s="21" t="s">
        <v>562</v>
      </c>
    </row>
    <row r="22" customFormat="false" ht="15" hidden="false" customHeight="false" outlineLevel="0" collapsed="false">
      <c r="A22" s="13" t="s">
        <v>565</v>
      </c>
      <c r="B22" s="13" t="s">
        <v>566</v>
      </c>
      <c r="C22" s="21" t="s">
        <v>562</v>
      </c>
    </row>
    <row r="23" customFormat="false" ht="15" hidden="false" customHeight="false" outlineLevel="0" collapsed="false">
      <c r="A23" s="13" t="s">
        <v>280</v>
      </c>
      <c r="B23" s="13" t="s">
        <v>561</v>
      </c>
      <c r="C23" s="21" t="s">
        <v>562</v>
      </c>
    </row>
    <row r="24" customFormat="false" ht="15" hidden="false" customHeight="false" outlineLevel="0" collapsed="false">
      <c r="A24" s="13" t="s">
        <v>567</v>
      </c>
      <c r="B24" s="13" t="s">
        <v>568</v>
      </c>
      <c r="C24" s="21" t="s">
        <v>562</v>
      </c>
    </row>
    <row r="25" customFormat="false" ht="15" hidden="false" customHeight="false" outlineLevel="0" collapsed="false">
      <c r="A25" s="13" t="s">
        <v>569</v>
      </c>
      <c r="B25" s="13" t="s">
        <v>570</v>
      </c>
      <c r="C25" s="21" t="s">
        <v>562</v>
      </c>
    </row>
    <row r="26" customFormat="false" ht="15" hidden="false" customHeight="false" outlineLevel="0" collapsed="false">
      <c r="A26" s="13" t="s">
        <v>499</v>
      </c>
      <c r="B26" s="13" t="s">
        <v>561</v>
      </c>
      <c r="C26" s="21" t="s">
        <v>562</v>
      </c>
    </row>
    <row r="27" customFormat="false" ht="15" hidden="false" customHeight="false" outlineLevel="0" collapsed="false">
      <c r="A27" s="13" t="s">
        <v>571</v>
      </c>
      <c r="B27" s="13" t="s">
        <v>572</v>
      </c>
      <c r="C27" s="21" t="s">
        <v>562</v>
      </c>
    </row>
    <row r="28" customFormat="false" ht="15" hidden="false" customHeight="false" outlineLevel="0" collapsed="false">
      <c r="A28" s="13" t="s">
        <v>189</v>
      </c>
      <c r="B28" s="13" t="s">
        <v>561</v>
      </c>
      <c r="C28" s="21" t="s">
        <v>562</v>
      </c>
    </row>
    <row r="29" customFormat="false" ht="15" hidden="false" customHeight="false" outlineLevel="0" collapsed="false">
      <c r="A29" s="13" t="s">
        <v>573</v>
      </c>
      <c r="B29" s="13" t="s">
        <v>574</v>
      </c>
      <c r="C29" s="21" t="s">
        <v>562</v>
      </c>
    </row>
    <row r="30" customFormat="false" ht="15" hidden="false" customHeight="false" outlineLevel="0" collapsed="false">
      <c r="A30" s="13" t="s">
        <v>220</v>
      </c>
      <c r="B30" s="13" t="s">
        <v>561</v>
      </c>
      <c r="C30" s="21" t="s">
        <v>562</v>
      </c>
    </row>
    <row r="31" customFormat="false" ht="15" hidden="false" customHeight="false" outlineLevel="0" collapsed="false">
      <c r="A31" s="13" t="s">
        <v>575</v>
      </c>
      <c r="B31" s="13" t="s">
        <v>576</v>
      </c>
      <c r="C31" s="21" t="s">
        <v>562</v>
      </c>
    </row>
    <row r="32" customFormat="false" ht="15" hidden="false" customHeight="false" outlineLevel="0" collapsed="false">
      <c r="A32" s="13" t="s">
        <v>216</v>
      </c>
      <c r="B32" s="13" t="s">
        <v>561</v>
      </c>
      <c r="C32" s="21" t="s">
        <v>562</v>
      </c>
    </row>
    <row r="33" customFormat="false" ht="15" hidden="false" customHeight="false" outlineLevel="0" collapsed="false">
      <c r="A33" s="13" t="s">
        <v>500</v>
      </c>
      <c r="B33" s="13" t="s">
        <v>577</v>
      </c>
      <c r="C33" s="21" t="s">
        <v>562</v>
      </c>
    </row>
    <row r="34" customFormat="false" ht="15" hidden="false" customHeight="false" outlineLevel="0" collapsed="false">
      <c r="A34" s="13" t="s">
        <v>578</v>
      </c>
      <c r="B34" s="13" t="s">
        <v>579</v>
      </c>
      <c r="C34" s="21" t="s">
        <v>562</v>
      </c>
    </row>
    <row r="35" customFormat="false" ht="15" hidden="false" customHeight="false" outlineLevel="0" collapsed="false">
      <c r="A35" s="13" t="s">
        <v>580</v>
      </c>
      <c r="B35" s="13" t="s">
        <v>580</v>
      </c>
      <c r="C35" s="21" t="s">
        <v>562</v>
      </c>
    </row>
    <row r="36" customFormat="false" ht="15" hidden="false" customHeight="false" outlineLevel="0" collapsed="false">
      <c r="A36" s="13" t="s">
        <v>581</v>
      </c>
      <c r="B36" s="13" t="s">
        <v>581</v>
      </c>
      <c r="C36" s="21" t="s">
        <v>562</v>
      </c>
    </row>
    <row r="37" customFormat="false" ht="15" hidden="false" customHeight="false" outlineLevel="0" collapsed="false">
      <c r="A37" s="13" t="s">
        <v>582</v>
      </c>
      <c r="B37" s="13" t="s">
        <v>583</v>
      </c>
      <c r="C37" s="21" t="s">
        <v>562</v>
      </c>
    </row>
    <row r="38" customFormat="false" ht="15" hidden="false" customHeight="false" outlineLevel="0" collapsed="false">
      <c r="A38" s="13" t="s">
        <v>584</v>
      </c>
      <c r="B38" s="13" t="s">
        <v>585</v>
      </c>
      <c r="C38" s="21" t="s">
        <v>562</v>
      </c>
    </row>
    <row r="39" customFormat="false" ht="15" hidden="false" customHeight="false" outlineLevel="0" collapsed="false">
      <c r="A39" s="13" t="s">
        <v>586</v>
      </c>
      <c r="B39" s="13" t="s">
        <v>587</v>
      </c>
      <c r="C39" s="21" t="s">
        <v>562</v>
      </c>
    </row>
    <row r="40" customFormat="false" ht="15" hidden="false" customHeight="false" outlineLevel="0" collapsed="false">
      <c r="A40" s="13" t="s">
        <v>588</v>
      </c>
      <c r="B40" s="13" t="s">
        <v>589</v>
      </c>
      <c r="C40" s="21" t="s">
        <v>562</v>
      </c>
    </row>
    <row r="41" customFormat="false" ht="15" hidden="false" customHeight="false" outlineLevel="0" collapsed="false">
      <c r="A41" s="13" t="s">
        <v>590</v>
      </c>
      <c r="B41" s="13" t="s">
        <v>591</v>
      </c>
      <c r="C41" s="21" t="s">
        <v>562</v>
      </c>
    </row>
    <row r="42" customFormat="false" ht="15" hidden="false" customHeight="false" outlineLevel="0" collapsed="false">
      <c r="A42" s="13" t="s">
        <v>592</v>
      </c>
      <c r="B42" s="13" t="s">
        <v>593</v>
      </c>
      <c r="C42" s="21" t="s">
        <v>562</v>
      </c>
    </row>
    <row r="43" customFormat="false" ht="15" hidden="false" customHeight="false" outlineLevel="0" collapsed="false">
      <c r="A43" s="13" t="s">
        <v>594</v>
      </c>
      <c r="B43" s="13" t="s">
        <v>595</v>
      </c>
      <c r="C43" s="21" t="s">
        <v>562</v>
      </c>
    </row>
    <row r="44" customFormat="false" ht="15" hidden="false" customHeight="false" outlineLevel="0" collapsed="false">
      <c r="A44" s="13" t="s">
        <v>133</v>
      </c>
      <c r="B44" s="13" t="s">
        <v>596</v>
      </c>
      <c r="C44" s="21" t="s">
        <v>562</v>
      </c>
    </row>
    <row r="45" customFormat="false" ht="15" hidden="false" customHeight="false" outlineLevel="0" collapsed="false">
      <c r="A45" s="13" t="s">
        <v>597</v>
      </c>
      <c r="B45" s="13" t="s">
        <v>598</v>
      </c>
      <c r="C45" s="21" t="s">
        <v>562</v>
      </c>
    </row>
    <row r="46" customFormat="false" ht="15" hidden="false" customHeight="false" outlineLevel="0" collapsed="false">
      <c r="A46" s="13" t="s">
        <v>599</v>
      </c>
      <c r="B46" s="13" t="s">
        <v>600</v>
      </c>
      <c r="C46" s="21" t="s">
        <v>562</v>
      </c>
    </row>
    <row r="47" customFormat="false" ht="15" hidden="false" customHeight="false" outlineLevel="0" collapsed="false">
      <c r="A47" s="13" t="s">
        <v>601</v>
      </c>
      <c r="B47" s="13" t="s">
        <v>602</v>
      </c>
      <c r="C47" s="21" t="s">
        <v>562</v>
      </c>
    </row>
    <row r="48" customFormat="false" ht="15" hidden="false" customHeight="false" outlineLevel="0" collapsed="false">
      <c r="A48" s="13" t="s">
        <v>603</v>
      </c>
      <c r="B48" s="13" t="s">
        <v>604</v>
      </c>
      <c r="C48" s="21" t="s">
        <v>562</v>
      </c>
    </row>
    <row r="49" customFormat="false" ht="15" hidden="false" customHeight="false" outlineLevel="0" collapsed="false">
      <c r="A49" s="13" t="s">
        <v>605</v>
      </c>
      <c r="B49" s="13" t="s">
        <v>606</v>
      </c>
      <c r="C49" s="21" t="s">
        <v>562</v>
      </c>
    </row>
    <row r="50" customFormat="false" ht="15" hidden="false" customHeight="false" outlineLevel="0" collapsed="false">
      <c r="A50" s="13" t="s">
        <v>607</v>
      </c>
      <c r="B50" s="13" t="s">
        <v>608</v>
      </c>
      <c r="C50" s="21" t="s">
        <v>562</v>
      </c>
    </row>
    <row r="51" customFormat="false" ht="15" hidden="false" customHeight="false" outlineLevel="0" collapsed="false">
      <c r="A51" s="13" t="s">
        <v>609</v>
      </c>
      <c r="B51" s="13" t="s">
        <v>610</v>
      </c>
      <c r="C51" s="21" t="s">
        <v>562</v>
      </c>
    </row>
    <row r="52" customFormat="false" ht="15" hidden="false" customHeight="false" outlineLevel="0" collapsed="false">
      <c r="A52" s="13" t="s">
        <v>611</v>
      </c>
      <c r="B52" s="13" t="s">
        <v>611</v>
      </c>
      <c r="C52" s="21" t="s">
        <v>562</v>
      </c>
    </row>
    <row r="53" customFormat="false" ht="15" hidden="false" customHeight="false" outlineLevel="0" collapsed="false">
      <c r="A53" s="13" t="s">
        <v>612</v>
      </c>
      <c r="B53" s="13" t="s">
        <v>613</v>
      </c>
      <c r="C53" s="21" t="s">
        <v>562</v>
      </c>
    </row>
    <row r="54" customFormat="false" ht="15" hidden="false" customHeight="false" outlineLevel="0" collapsed="false">
      <c r="A54" s="13" t="s">
        <v>614</v>
      </c>
      <c r="B54" s="13" t="s">
        <v>615</v>
      </c>
      <c r="C54" s="21" t="s">
        <v>562</v>
      </c>
    </row>
    <row r="55" customFormat="false" ht="15" hidden="false" customHeight="false" outlineLevel="0" collapsed="false">
      <c r="A55" s="13" t="s">
        <v>616</v>
      </c>
      <c r="B55" s="13" t="s">
        <v>616</v>
      </c>
      <c r="C55" s="21" t="s">
        <v>562</v>
      </c>
    </row>
    <row r="56" customFormat="false" ht="15" hidden="false" customHeight="false" outlineLevel="0" collapsed="false">
      <c r="A56" s="13" t="s">
        <v>617</v>
      </c>
      <c r="B56" s="13" t="s">
        <v>618</v>
      </c>
      <c r="C56" s="21" t="s">
        <v>562</v>
      </c>
    </row>
    <row r="57" customFormat="false" ht="15" hidden="false" customHeight="false" outlineLevel="0" collapsed="false">
      <c r="A57" s="13" t="s">
        <v>619</v>
      </c>
      <c r="B57" s="13" t="s">
        <v>620</v>
      </c>
      <c r="C57" s="21" t="s">
        <v>562</v>
      </c>
    </row>
    <row r="58" customFormat="false" ht="15" hidden="false" customHeight="false" outlineLevel="0" collapsed="false">
      <c r="A58" s="13" t="s">
        <v>621</v>
      </c>
      <c r="B58" s="13" t="s">
        <v>622</v>
      </c>
      <c r="C58" s="21" t="s">
        <v>562</v>
      </c>
    </row>
    <row r="59" customFormat="false" ht="15" hidden="false" customHeight="false" outlineLevel="0" collapsed="false">
      <c r="A59" s="13" t="s">
        <v>623</v>
      </c>
      <c r="B59" s="13" t="s">
        <v>624</v>
      </c>
      <c r="C59" s="21" t="s">
        <v>562</v>
      </c>
    </row>
    <row r="60" customFormat="false" ht="15" hidden="false" customHeight="false" outlineLevel="0" collapsed="false">
      <c r="A60" s="13" t="s">
        <v>625</v>
      </c>
      <c r="B60" s="13" t="s">
        <v>626</v>
      </c>
      <c r="C60" s="21" t="s">
        <v>562</v>
      </c>
    </row>
    <row r="61" customFormat="false" ht="15" hidden="false" customHeight="false" outlineLevel="0" collapsed="false">
      <c r="A61" s="13" t="s">
        <v>627</v>
      </c>
      <c r="B61" s="13" t="s">
        <v>628</v>
      </c>
      <c r="C61" s="21" t="s">
        <v>562</v>
      </c>
    </row>
    <row r="62" customFormat="false" ht="15" hidden="false" customHeight="false" outlineLevel="0" collapsed="false">
      <c r="A62" s="13" t="s">
        <v>629</v>
      </c>
      <c r="B62" s="13" t="s">
        <v>630</v>
      </c>
      <c r="C62" s="21" t="s">
        <v>562</v>
      </c>
    </row>
    <row r="63" customFormat="false" ht="15" hidden="false" customHeight="false" outlineLevel="0" collapsed="false">
      <c r="A63" s="13" t="s">
        <v>631</v>
      </c>
      <c r="B63" s="13" t="s">
        <v>632</v>
      </c>
      <c r="C63" s="21" t="s">
        <v>562</v>
      </c>
    </row>
    <row r="64" customFormat="false" ht="15" hidden="false" customHeight="false" outlineLevel="0" collapsed="false">
      <c r="A64" s="13" t="s">
        <v>633</v>
      </c>
      <c r="B64" s="13" t="s">
        <v>634</v>
      </c>
      <c r="C64" s="21" t="s">
        <v>562</v>
      </c>
    </row>
    <row r="65" customFormat="false" ht="15" hidden="false" customHeight="false" outlineLevel="0" collapsed="false">
      <c r="A65" s="13" t="s">
        <v>635</v>
      </c>
      <c r="B65" s="13" t="s">
        <v>636</v>
      </c>
      <c r="C65" s="21" t="s">
        <v>562</v>
      </c>
    </row>
    <row r="66" customFormat="false" ht="15" hidden="false" customHeight="false" outlineLevel="0" collapsed="false">
      <c r="A66" s="13" t="s">
        <v>637</v>
      </c>
      <c r="B66" s="13" t="s">
        <v>638</v>
      </c>
      <c r="C66" s="21" t="s">
        <v>562</v>
      </c>
    </row>
    <row r="67" customFormat="false" ht="15" hidden="false" customHeight="false" outlineLevel="0" collapsed="false">
      <c r="A67" s="13" t="s">
        <v>639</v>
      </c>
      <c r="B67" s="13" t="s">
        <v>640</v>
      </c>
      <c r="C67" s="21" t="s">
        <v>562</v>
      </c>
    </row>
    <row r="68" customFormat="false" ht="15" hidden="false" customHeight="false" outlineLevel="0" collapsed="false">
      <c r="A68" s="13" t="s">
        <v>641</v>
      </c>
      <c r="B68" s="13" t="s">
        <v>642</v>
      </c>
      <c r="C68" s="21" t="s">
        <v>562</v>
      </c>
    </row>
    <row r="69" customFormat="false" ht="15" hidden="false" customHeight="false" outlineLevel="0" collapsed="false">
      <c r="A69" s="13" t="s">
        <v>643</v>
      </c>
      <c r="B69" s="13" t="s">
        <v>644</v>
      </c>
      <c r="C69" s="21" t="s">
        <v>562</v>
      </c>
    </row>
    <row r="70" customFormat="false" ht="15" hidden="false" customHeight="false" outlineLevel="0" collapsed="false">
      <c r="A70" s="13" t="s">
        <v>645</v>
      </c>
      <c r="B70" s="13" t="s">
        <v>646</v>
      </c>
      <c r="C70" s="21" t="s">
        <v>562</v>
      </c>
    </row>
    <row r="71" customFormat="false" ht="15" hidden="false" customHeight="false" outlineLevel="0" collapsed="false">
      <c r="A71" s="13" t="s">
        <v>647</v>
      </c>
      <c r="B71" s="13" t="s">
        <v>648</v>
      </c>
      <c r="C71" s="21" t="s">
        <v>562</v>
      </c>
    </row>
    <row r="72" customFormat="false" ht="15" hidden="false" customHeight="false" outlineLevel="0" collapsed="false">
      <c r="A72" s="13" t="s">
        <v>649</v>
      </c>
      <c r="B72" s="13" t="s">
        <v>648</v>
      </c>
      <c r="C72" s="21" t="s">
        <v>562</v>
      </c>
    </row>
    <row r="73" customFormat="false" ht="15" hidden="false" customHeight="false" outlineLevel="0" collapsed="false">
      <c r="A73" s="13" t="s">
        <v>650</v>
      </c>
      <c r="B73" s="13" t="s">
        <v>651</v>
      </c>
      <c r="C73" s="21" t="s">
        <v>562</v>
      </c>
    </row>
    <row r="74" customFormat="false" ht="15" hidden="false" customHeight="false" outlineLevel="0" collapsed="false">
      <c r="A74" s="13" t="s">
        <v>652</v>
      </c>
      <c r="B74" s="13" t="s">
        <v>653</v>
      </c>
      <c r="C74" s="21" t="s">
        <v>562</v>
      </c>
    </row>
    <row r="75" customFormat="false" ht="15" hidden="false" customHeight="false" outlineLevel="0" collapsed="false">
      <c r="A75" s="13" t="s">
        <v>654</v>
      </c>
      <c r="B75" s="13" t="s">
        <v>655</v>
      </c>
      <c r="C75" s="21" t="s">
        <v>562</v>
      </c>
    </row>
    <row r="76" customFormat="false" ht="15" hidden="false" customHeight="false" outlineLevel="0" collapsed="false">
      <c r="A76" s="13" t="s">
        <v>656</v>
      </c>
      <c r="B76" s="13" t="s">
        <v>657</v>
      </c>
      <c r="C76" s="21" t="s">
        <v>562</v>
      </c>
    </row>
    <row r="77" customFormat="false" ht="15" hidden="false" customHeight="false" outlineLevel="0" collapsed="false">
      <c r="A77" s="13" t="s">
        <v>230</v>
      </c>
      <c r="B77" s="13" t="s">
        <v>658</v>
      </c>
      <c r="C77" s="21" t="s">
        <v>562</v>
      </c>
    </row>
    <row r="78" customFormat="false" ht="15" hidden="false" customHeight="false" outlineLevel="0" collapsed="false">
      <c r="A78" s="13" t="s">
        <v>659</v>
      </c>
      <c r="B78" s="13" t="s">
        <v>660</v>
      </c>
      <c r="C78" s="21" t="s">
        <v>562</v>
      </c>
    </row>
    <row r="79" customFormat="false" ht="15" hidden="false" customHeight="false" outlineLevel="0" collapsed="false">
      <c r="A79" s="13" t="s">
        <v>661</v>
      </c>
      <c r="B79" s="13" t="s">
        <v>662</v>
      </c>
      <c r="C79" s="21" t="s">
        <v>562</v>
      </c>
    </row>
    <row r="80" customFormat="false" ht="15" hidden="false" customHeight="false" outlineLevel="0" collapsed="false">
      <c r="A80" s="13" t="s">
        <v>663</v>
      </c>
      <c r="B80" s="13" t="s">
        <v>664</v>
      </c>
      <c r="C80" s="21" t="s">
        <v>562</v>
      </c>
    </row>
    <row r="81" customFormat="false" ht="15" hidden="false" customHeight="false" outlineLevel="0" collapsed="false">
      <c r="A81" s="13" t="s">
        <v>665</v>
      </c>
      <c r="B81" s="13" t="s">
        <v>666</v>
      </c>
      <c r="C81" s="21" t="s">
        <v>562</v>
      </c>
    </row>
    <row r="82" customFormat="false" ht="15" hidden="false" customHeight="false" outlineLevel="0" collapsed="false">
      <c r="A82" s="13" t="s">
        <v>667</v>
      </c>
      <c r="B82" s="13" t="s">
        <v>668</v>
      </c>
      <c r="C82" s="21" t="s">
        <v>562</v>
      </c>
    </row>
    <row r="83" customFormat="false" ht="15" hidden="false" customHeight="false" outlineLevel="0" collapsed="false">
      <c r="A83" s="13" t="s">
        <v>669</v>
      </c>
      <c r="B83" s="13" t="s">
        <v>670</v>
      </c>
      <c r="C83" s="21" t="s">
        <v>562</v>
      </c>
    </row>
    <row r="84" customFormat="false" ht="15" hidden="false" customHeight="false" outlineLevel="0" collapsed="false">
      <c r="A84" s="13" t="s">
        <v>671</v>
      </c>
      <c r="B84" s="13" t="s">
        <v>672</v>
      </c>
      <c r="C84" s="21" t="s">
        <v>562</v>
      </c>
    </row>
    <row r="85" customFormat="false" ht="15" hidden="false" customHeight="false" outlineLevel="0" collapsed="false">
      <c r="A85" s="13" t="s">
        <v>673</v>
      </c>
      <c r="B85" s="13" t="s">
        <v>674</v>
      </c>
      <c r="C85" s="21" t="s">
        <v>562</v>
      </c>
    </row>
    <row r="86" customFormat="false" ht="15" hidden="false" customHeight="false" outlineLevel="0" collapsed="false">
      <c r="A86" s="13" t="s">
        <v>501</v>
      </c>
      <c r="B86" s="13" t="s">
        <v>675</v>
      </c>
      <c r="C86" s="21" t="s">
        <v>562</v>
      </c>
    </row>
    <row r="87" customFormat="false" ht="15" hidden="false" customHeight="false" outlineLevel="0" collapsed="false">
      <c r="A87" s="13" t="s">
        <v>502</v>
      </c>
      <c r="B87" s="13" t="s">
        <v>561</v>
      </c>
      <c r="C87" s="21" t="s">
        <v>562</v>
      </c>
    </row>
    <row r="88" customFormat="false" ht="15" hidden="false" customHeight="false" outlineLevel="0" collapsed="false">
      <c r="A88" s="13" t="s">
        <v>676</v>
      </c>
      <c r="B88" s="13" t="s">
        <v>677</v>
      </c>
      <c r="C88" s="21" t="s">
        <v>562</v>
      </c>
    </row>
    <row r="89" customFormat="false" ht="15" hidden="false" customHeight="false" outlineLevel="0" collapsed="false">
      <c r="A89" s="13" t="s">
        <v>207</v>
      </c>
      <c r="B89" s="13" t="s">
        <v>561</v>
      </c>
      <c r="C89" s="21" t="s">
        <v>562</v>
      </c>
    </row>
    <row r="90" customFormat="false" ht="15" hidden="false" customHeight="false" outlineLevel="0" collapsed="false">
      <c r="A90" s="13" t="s">
        <v>503</v>
      </c>
      <c r="B90" s="13" t="s">
        <v>561</v>
      </c>
      <c r="C90" s="21" t="s">
        <v>562</v>
      </c>
    </row>
    <row r="91" customFormat="false" ht="15" hidden="false" customHeight="false" outlineLevel="0" collapsed="false">
      <c r="A91" s="13" t="s">
        <v>678</v>
      </c>
      <c r="B91" s="13" t="s">
        <v>679</v>
      </c>
      <c r="C91" s="21" t="s">
        <v>562</v>
      </c>
    </row>
    <row r="92" customFormat="false" ht="15" hidden="false" customHeight="false" outlineLevel="0" collapsed="false">
      <c r="A92" s="13" t="s">
        <v>504</v>
      </c>
      <c r="B92" s="13" t="s">
        <v>561</v>
      </c>
      <c r="C92" s="21" t="s">
        <v>562</v>
      </c>
    </row>
    <row r="93" customFormat="false" ht="15" hidden="false" customHeight="false" outlineLevel="0" collapsed="false">
      <c r="A93" s="13" t="s">
        <v>505</v>
      </c>
      <c r="B93" s="13" t="s">
        <v>561</v>
      </c>
      <c r="C93" s="21" t="s">
        <v>562</v>
      </c>
    </row>
    <row r="94" customFormat="false" ht="15" hidden="false" customHeight="false" outlineLevel="0" collapsed="false">
      <c r="A94" s="13" t="s">
        <v>680</v>
      </c>
      <c r="B94" s="13" t="s">
        <v>681</v>
      </c>
      <c r="C94" s="21" t="s">
        <v>562</v>
      </c>
    </row>
    <row r="95" customFormat="false" ht="15" hidden="false" customHeight="false" outlineLevel="0" collapsed="false">
      <c r="A95" s="13" t="s">
        <v>682</v>
      </c>
      <c r="B95" s="13" t="s">
        <v>683</v>
      </c>
      <c r="C95" s="21" t="s">
        <v>562</v>
      </c>
    </row>
    <row r="96" customFormat="false" ht="15" hidden="false" customHeight="false" outlineLevel="0" collapsed="false">
      <c r="A96" s="13" t="s">
        <v>684</v>
      </c>
      <c r="B96" s="13" t="s">
        <v>685</v>
      </c>
      <c r="C96" s="21" t="s">
        <v>562</v>
      </c>
    </row>
    <row r="97" customFormat="false" ht="15" hidden="false" customHeight="false" outlineLevel="0" collapsed="false">
      <c r="A97" s="13" t="s">
        <v>686</v>
      </c>
      <c r="B97" s="13" t="s">
        <v>687</v>
      </c>
      <c r="C97" s="21" t="s">
        <v>562</v>
      </c>
    </row>
    <row r="98" customFormat="false" ht="15" hidden="false" customHeight="false" outlineLevel="0" collapsed="false">
      <c r="A98" s="13" t="s">
        <v>506</v>
      </c>
      <c r="B98" s="13" t="s">
        <v>561</v>
      </c>
      <c r="C98" s="21" t="s">
        <v>562</v>
      </c>
    </row>
    <row r="99" customFormat="false" ht="15" hidden="false" customHeight="false" outlineLevel="0" collapsed="false">
      <c r="A99" s="13" t="s">
        <v>688</v>
      </c>
      <c r="B99" s="13" t="s">
        <v>689</v>
      </c>
      <c r="C99" s="21" t="s">
        <v>562</v>
      </c>
    </row>
    <row r="101" customFormat="false" ht="15" hidden="false" customHeight="false" outlineLevel="0" collapsed="false">
      <c r="A101" s="3" t="s">
        <v>690</v>
      </c>
    </row>
    <row r="102" customFormat="false" ht="15" hidden="false" customHeight="false" outlineLevel="0" collapsed="false">
      <c r="A102" s="5" t="s">
        <v>691</v>
      </c>
      <c r="B102" s="13" t="s">
        <v>692</v>
      </c>
    </row>
    <row r="103" customFormat="false" ht="15" hidden="false" customHeight="false" outlineLevel="0" collapsed="false">
      <c r="A103" s="5" t="s">
        <v>693</v>
      </c>
      <c r="B103" s="13" t="s">
        <v>692</v>
      </c>
    </row>
    <row r="104" customFormat="false" ht="15" hidden="false" customHeight="false" outlineLevel="0" collapsed="false">
      <c r="A104" s="5" t="s">
        <v>694</v>
      </c>
      <c r="B104" s="13" t="s">
        <v>695</v>
      </c>
    </row>
    <row r="105" customFormat="false" ht="15" hidden="false" customHeight="false" outlineLevel="0" collapsed="false">
      <c r="A105" s="5" t="s">
        <v>696</v>
      </c>
      <c r="B105" s="13" t="s">
        <v>692</v>
      </c>
    </row>
    <row r="106" customFormat="false" ht="15" hidden="false" customHeight="false" outlineLevel="0" collapsed="false">
      <c r="A106" s="5" t="s">
        <v>697</v>
      </c>
      <c r="B106" s="16" t="n">
        <f aca="false">COUNTIF(C5:C99,"Active")</f>
        <v>14</v>
      </c>
    </row>
    <row r="107" customFormat="false" ht="15" hidden="false" customHeight="false" outlineLevel="0" collapsed="false">
      <c r="A107" s="5" t="s">
        <v>698</v>
      </c>
      <c r="B107" s="16" t="n">
        <f aca="false">COUNTIF(C5:C99,"Archived")</f>
        <v>81</v>
      </c>
    </row>
  </sheetData>
  <conditionalFormatting sqref="C5:C99">
    <cfRule type="cellIs" priority="2" operator="equal" aboveAverage="0" equalAverage="0" bottom="0" percent="0" rank="0" text="" dxfId="6">
      <formula>"Active"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" t="s">
        <v>699</v>
      </c>
    </row>
    <row r="2" customFormat="false" ht="15" hidden="false" customHeight="false" outlineLevel="0" collapsed="false">
      <c r="A2" s="2" t="s">
        <v>700</v>
      </c>
    </row>
    <row r="4" customFormat="false" ht="30" hidden="false" customHeight="true" outlineLevel="0" collapsed="false">
      <c r="A4" s="4" t="s">
        <v>701</v>
      </c>
      <c r="B4" s="4" t="s">
        <v>534</v>
      </c>
      <c r="C4" s="4" t="s">
        <v>702</v>
      </c>
      <c r="D4" s="4" t="s">
        <v>703</v>
      </c>
      <c r="E4" s="4" t="s">
        <v>704</v>
      </c>
    </row>
    <row r="5" customFormat="false" ht="15" hidden="false" customHeight="false" outlineLevel="0" collapsed="false">
      <c r="A5" s="13" t="s">
        <v>705</v>
      </c>
      <c r="B5" s="21" t="s">
        <v>706</v>
      </c>
      <c r="C5" s="16" t="n">
        <v>4742</v>
      </c>
      <c r="D5" s="21" t="s">
        <v>707</v>
      </c>
      <c r="E5" s="21" t="str">
        <f aca="false">IF(AND(B5="On",D5&lt;"2024-01-01"),"Yes","No")</f>
        <v>No</v>
      </c>
    </row>
    <row r="6" customFormat="false" ht="15" hidden="false" customHeight="false" outlineLevel="0" collapsed="false">
      <c r="A6" s="13" t="s">
        <v>708</v>
      </c>
      <c r="B6" s="21" t="s">
        <v>706</v>
      </c>
      <c r="C6" s="16" t="n">
        <v>12</v>
      </c>
      <c r="D6" s="21" t="s">
        <v>709</v>
      </c>
      <c r="E6" s="21" t="str">
        <f aca="false">IF(AND(B6="On",D6&lt;"2024-01-01"),"Yes","No")</f>
        <v>No</v>
      </c>
    </row>
    <row r="7" customFormat="false" ht="15" hidden="false" customHeight="false" outlineLevel="0" collapsed="false">
      <c r="A7" s="13" t="s">
        <v>710</v>
      </c>
      <c r="B7" s="21" t="s">
        <v>706</v>
      </c>
      <c r="C7" s="16" t="n">
        <v>7</v>
      </c>
      <c r="D7" s="21" t="s">
        <v>711</v>
      </c>
      <c r="E7" s="21" t="str">
        <f aca="false">IF(AND(B7="On",D7&lt;"2024-01-01"),"Yes","No")</f>
        <v>No</v>
      </c>
    </row>
    <row r="8" customFormat="false" ht="15" hidden="false" customHeight="false" outlineLevel="0" collapsed="false">
      <c r="A8" s="13" t="s">
        <v>712</v>
      </c>
      <c r="B8" s="21" t="s">
        <v>706</v>
      </c>
      <c r="C8" s="16" t="n">
        <v>0</v>
      </c>
      <c r="D8" s="21" t="s">
        <v>713</v>
      </c>
      <c r="E8" s="21" t="str">
        <f aca="false">IF(AND(B8="On",D8&lt;"2024-01-01"),"Yes","No")</f>
        <v>No</v>
      </c>
    </row>
    <row r="9" customFormat="false" ht="15" hidden="false" customHeight="false" outlineLevel="0" collapsed="false">
      <c r="A9" s="13" t="s">
        <v>714</v>
      </c>
      <c r="B9" s="21" t="s">
        <v>706</v>
      </c>
      <c r="C9" s="16" t="n">
        <v>0</v>
      </c>
      <c r="D9" s="21" t="s">
        <v>715</v>
      </c>
      <c r="E9" s="21" t="str">
        <f aca="false">IF(AND(B9="On",D9&lt;"2024-01-01"),"Yes","No")</f>
        <v>No</v>
      </c>
    </row>
    <row r="10" customFormat="false" ht="15" hidden="false" customHeight="false" outlineLevel="0" collapsed="false">
      <c r="A10" s="13" t="s">
        <v>716</v>
      </c>
      <c r="B10" s="21" t="s">
        <v>706</v>
      </c>
      <c r="C10" s="16" t="n">
        <v>0</v>
      </c>
      <c r="D10" s="21" t="s">
        <v>717</v>
      </c>
      <c r="E10" s="21" t="str">
        <f aca="false">IF(AND(B10="On",D10&lt;"2024-01-01"),"Yes","No")</f>
        <v>No</v>
      </c>
    </row>
    <row r="11" customFormat="false" ht="15" hidden="false" customHeight="false" outlineLevel="0" collapsed="false">
      <c r="A11" s="13" t="s">
        <v>718</v>
      </c>
      <c r="B11" s="21" t="s">
        <v>706</v>
      </c>
      <c r="C11" s="16" t="n">
        <v>0</v>
      </c>
      <c r="D11" s="21" t="s">
        <v>719</v>
      </c>
      <c r="E11" s="21" t="str">
        <f aca="false">IF(AND(B11="On",D11&lt;"2024-01-01"),"Yes","No")</f>
        <v>No</v>
      </c>
    </row>
    <row r="12" customFormat="false" ht="15" hidden="false" customHeight="false" outlineLevel="0" collapsed="false">
      <c r="A12" s="13" t="s">
        <v>720</v>
      </c>
      <c r="B12" s="21" t="s">
        <v>706</v>
      </c>
      <c r="C12" s="16" t="n">
        <v>0</v>
      </c>
      <c r="D12" s="21" t="s">
        <v>721</v>
      </c>
      <c r="E12" s="21" t="str">
        <f aca="false">IF(AND(B12="On",D12&lt;"2024-01-01"),"Yes","No")</f>
        <v>No</v>
      </c>
    </row>
    <row r="13" customFormat="false" ht="15" hidden="false" customHeight="false" outlineLevel="0" collapsed="false">
      <c r="A13" s="13" t="s">
        <v>722</v>
      </c>
      <c r="B13" s="21" t="s">
        <v>706</v>
      </c>
      <c r="C13" s="16" t="n">
        <v>0</v>
      </c>
      <c r="D13" s="21" t="s">
        <v>723</v>
      </c>
      <c r="E13" s="21" t="str">
        <f aca="false">IF(AND(B13="On",D13&lt;"2024-01-01"),"Yes","No")</f>
        <v>No</v>
      </c>
    </row>
    <row r="14" customFormat="false" ht="15" hidden="false" customHeight="false" outlineLevel="0" collapsed="false">
      <c r="A14" s="13" t="s">
        <v>724</v>
      </c>
      <c r="B14" s="21" t="s">
        <v>706</v>
      </c>
      <c r="C14" s="16" t="n">
        <v>0</v>
      </c>
      <c r="D14" s="21" t="s">
        <v>725</v>
      </c>
      <c r="E14" s="21" t="str">
        <f aca="false">IF(AND(B14="On",D14&lt;"2024-01-01"),"Yes","No")</f>
        <v>No</v>
      </c>
    </row>
    <row r="15" customFormat="false" ht="15" hidden="false" customHeight="false" outlineLevel="0" collapsed="false">
      <c r="A15" s="13" t="s">
        <v>726</v>
      </c>
      <c r="B15" s="21" t="s">
        <v>706</v>
      </c>
      <c r="C15" s="16" t="n">
        <v>0</v>
      </c>
      <c r="D15" s="21" t="s">
        <v>727</v>
      </c>
      <c r="E15" s="21" t="str">
        <f aca="false">IF(AND(B15="On",D15&lt;"2024-01-01"),"Yes","No")</f>
        <v>No</v>
      </c>
    </row>
    <row r="16" customFormat="false" ht="15" hidden="false" customHeight="false" outlineLevel="0" collapsed="false">
      <c r="A16" s="13" t="s">
        <v>728</v>
      </c>
      <c r="B16" s="21" t="s">
        <v>706</v>
      </c>
      <c r="C16" s="16" t="n">
        <v>0</v>
      </c>
      <c r="D16" s="21" t="s">
        <v>727</v>
      </c>
      <c r="E16" s="21" t="str">
        <f aca="false">IF(AND(B16="On",D16&lt;"2024-01-01"),"Yes","No")</f>
        <v>No</v>
      </c>
    </row>
    <row r="17" customFormat="false" ht="15" hidden="false" customHeight="false" outlineLevel="0" collapsed="false">
      <c r="A17" s="13" t="s">
        <v>729</v>
      </c>
      <c r="B17" s="21" t="s">
        <v>706</v>
      </c>
      <c r="C17" s="16" t="n">
        <v>0</v>
      </c>
      <c r="D17" s="21" t="s">
        <v>727</v>
      </c>
      <c r="E17" s="21" t="str">
        <f aca="false">IF(AND(B17="On",D17&lt;"2024-01-01"),"Yes","No")</f>
        <v>No</v>
      </c>
    </row>
    <row r="18" customFormat="false" ht="15" hidden="false" customHeight="false" outlineLevel="0" collapsed="false">
      <c r="A18" s="13" t="s">
        <v>730</v>
      </c>
      <c r="B18" s="21" t="s">
        <v>706</v>
      </c>
      <c r="C18" s="16" t="n">
        <v>0</v>
      </c>
      <c r="D18" s="21" t="s">
        <v>727</v>
      </c>
      <c r="E18" s="21" t="str">
        <f aca="false">IF(AND(B18="On",D18&lt;"2024-01-01"),"Yes","No")</f>
        <v>No</v>
      </c>
    </row>
    <row r="19" customFormat="false" ht="15" hidden="false" customHeight="false" outlineLevel="0" collapsed="false">
      <c r="A19" s="13" t="s">
        <v>731</v>
      </c>
      <c r="B19" s="21" t="s">
        <v>706</v>
      </c>
      <c r="C19" s="16" t="n">
        <v>0</v>
      </c>
      <c r="D19" s="21" t="s">
        <v>732</v>
      </c>
      <c r="E19" s="21" t="str">
        <f aca="false">IF(AND(B19="On",D19&lt;"2024-01-01"),"Yes","No")</f>
        <v>No</v>
      </c>
    </row>
    <row r="20" customFormat="false" ht="15" hidden="false" customHeight="false" outlineLevel="0" collapsed="false">
      <c r="A20" s="13" t="s">
        <v>733</v>
      </c>
      <c r="B20" s="21" t="s">
        <v>706</v>
      </c>
      <c r="C20" s="16" t="n">
        <v>0</v>
      </c>
      <c r="D20" s="21" t="s">
        <v>734</v>
      </c>
      <c r="E20" s="21" t="str">
        <f aca="false">IF(AND(B20="On",D20&lt;"2024-01-01"),"Yes","No")</f>
        <v>No</v>
      </c>
    </row>
    <row r="21" customFormat="false" ht="15" hidden="false" customHeight="false" outlineLevel="0" collapsed="false">
      <c r="A21" s="13" t="s">
        <v>735</v>
      </c>
      <c r="B21" s="21" t="s">
        <v>706</v>
      </c>
      <c r="C21" s="16" t="n">
        <v>0</v>
      </c>
      <c r="D21" s="21" t="s">
        <v>734</v>
      </c>
      <c r="E21" s="21" t="str">
        <f aca="false">IF(AND(B21="On",D21&lt;"2024-01-01"),"Yes","No")</f>
        <v>No</v>
      </c>
    </row>
    <row r="22" customFormat="false" ht="15" hidden="false" customHeight="false" outlineLevel="0" collapsed="false">
      <c r="A22" s="13" t="s">
        <v>736</v>
      </c>
      <c r="B22" s="21" t="s">
        <v>706</v>
      </c>
      <c r="C22" s="16" t="n">
        <v>0</v>
      </c>
      <c r="D22" s="21" t="s">
        <v>737</v>
      </c>
      <c r="E22" s="21" t="str">
        <f aca="false">IF(AND(B22="On",D22&lt;"2024-01-01"),"Yes","No")</f>
        <v>No</v>
      </c>
    </row>
    <row r="23" customFormat="false" ht="15" hidden="false" customHeight="false" outlineLevel="0" collapsed="false">
      <c r="A23" s="13" t="s">
        <v>738</v>
      </c>
      <c r="B23" s="21" t="s">
        <v>706</v>
      </c>
      <c r="C23" s="16" t="n">
        <v>0</v>
      </c>
      <c r="D23" s="21" t="s">
        <v>739</v>
      </c>
      <c r="E23" s="21" t="str">
        <f aca="false">IF(AND(B23="On",D23&lt;"2024-01-01"),"Yes","No")</f>
        <v>No</v>
      </c>
    </row>
    <row r="24" customFormat="false" ht="15" hidden="false" customHeight="false" outlineLevel="0" collapsed="false">
      <c r="A24" s="13" t="s">
        <v>740</v>
      </c>
      <c r="B24" s="21" t="s">
        <v>706</v>
      </c>
      <c r="C24" s="16" t="n">
        <v>0</v>
      </c>
      <c r="D24" s="21" t="s">
        <v>741</v>
      </c>
      <c r="E24" s="21" t="str">
        <f aca="false">IF(AND(B24="On",D24&lt;"2024-01-01"),"Yes","No")</f>
        <v>No</v>
      </c>
    </row>
    <row r="25" customFormat="false" ht="15" hidden="false" customHeight="false" outlineLevel="0" collapsed="false">
      <c r="A25" s="13" t="s">
        <v>742</v>
      </c>
      <c r="B25" s="21" t="s">
        <v>706</v>
      </c>
      <c r="C25" s="16" t="n">
        <v>0</v>
      </c>
      <c r="D25" s="21" t="s">
        <v>741</v>
      </c>
      <c r="E25" s="21" t="str">
        <f aca="false">IF(AND(B25="On",D25&lt;"2024-01-01"),"Yes","No")</f>
        <v>No</v>
      </c>
    </row>
    <row r="26" customFormat="false" ht="15" hidden="false" customHeight="false" outlineLevel="0" collapsed="false">
      <c r="A26" s="13" t="s">
        <v>743</v>
      </c>
      <c r="B26" s="21" t="s">
        <v>706</v>
      </c>
      <c r="C26" s="16" t="n">
        <v>0</v>
      </c>
      <c r="D26" s="21" t="s">
        <v>741</v>
      </c>
      <c r="E26" s="21" t="str">
        <f aca="false">IF(AND(B26="On",D26&lt;"2024-01-01"),"Yes","No")</f>
        <v>No</v>
      </c>
    </row>
    <row r="27" customFormat="false" ht="15" hidden="false" customHeight="false" outlineLevel="0" collapsed="false">
      <c r="A27" s="13" t="s">
        <v>744</v>
      </c>
      <c r="B27" s="21" t="s">
        <v>706</v>
      </c>
      <c r="C27" s="16" t="n">
        <v>0</v>
      </c>
      <c r="D27" s="21" t="s">
        <v>741</v>
      </c>
      <c r="E27" s="21" t="str">
        <f aca="false">IF(AND(B27="On",D27&lt;"2024-01-01"),"Yes","No")</f>
        <v>No</v>
      </c>
    </row>
    <row r="28" customFormat="false" ht="15" hidden="false" customHeight="false" outlineLevel="0" collapsed="false">
      <c r="A28" s="13" t="s">
        <v>745</v>
      </c>
      <c r="B28" s="21" t="s">
        <v>706</v>
      </c>
      <c r="C28" s="16" t="n">
        <v>0</v>
      </c>
      <c r="D28" s="21" t="s">
        <v>741</v>
      </c>
      <c r="E28" s="21" t="str">
        <f aca="false">IF(AND(B28="On",D28&lt;"2024-01-01"),"Yes","No")</f>
        <v>No</v>
      </c>
    </row>
    <row r="29" customFormat="false" ht="15" hidden="false" customHeight="false" outlineLevel="0" collapsed="false">
      <c r="A29" s="13" t="s">
        <v>746</v>
      </c>
      <c r="B29" s="21" t="s">
        <v>706</v>
      </c>
      <c r="C29" s="16" t="n">
        <v>0</v>
      </c>
      <c r="D29" s="21" t="s">
        <v>741</v>
      </c>
      <c r="E29" s="21" t="str">
        <f aca="false">IF(AND(B29="On",D29&lt;"2024-01-01"),"Yes","No")</f>
        <v>No</v>
      </c>
    </row>
    <row r="30" customFormat="false" ht="15" hidden="false" customHeight="false" outlineLevel="0" collapsed="false">
      <c r="A30" s="13" t="s">
        <v>747</v>
      </c>
      <c r="B30" s="21" t="s">
        <v>706</v>
      </c>
      <c r="C30" s="16" t="n">
        <v>0</v>
      </c>
      <c r="D30" s="21" t="s">
        <v>741</v>
      </c>
      <c r="E30" s="21" t="str">
        <f aca="false">IF(AND(B30="On",D30&lt;"2024-01-01"),"Yes","No")</f>
        <v>No</v>
      </c>
    </row>
    <row r="31" customFormat="false" ht="15" hidden="false" customHeight="false" outlineLevel="0" collapsed="false">
      <c r="A31" s="13" t="s">
        <v>748</v>
      </c>
      <c r="B31" s="21" t="s">
        <v>706</v>
      </c>
      <c r="C31" s="16" t="n">
        <v>0</v>
      </c>
      <c r="D31" s="21" t="s">
        <v>741</v>
      </c>
      <c r="E31" s="21" t="str">
        <f aca="false">IF(AND(B31="On",D31&lt;"2024-01-01"),"Yes","No")</f>
        <v>No</v>
      </c>
    </row>
    <row r="32" customFormat="false" ht="15" hidden="false" customHeight="false" outlineLevel="0" collapsed="false">
      <c r="A32" s="13" t="s">
        <v>749</v>
      </c>
      <c r="B32" s="21" t="s">
        <v>706</v>
      </c>
      <c r="C32" s="16" t="n">
        <v>0</v>
      </c>
      <c r="D32" s="21" t="s">
        <v>741</v>
      </c>
      <c r="E32" s="21" t="str">
        <f aca="false">IF(AND(B32="On",D32&lt;"2024-01-01"),"Yes","No")</f>
        <v>No</v>
      </c>
    </row>
    <row r="33" customFormat="false" ht="15" hidden="false" customHeight="false" outlineLevel="0" collapsed="false">
      <c r="A33" s="13" t="s">
        <v>750</v>
      </c>
      <c r="B33" s="21" t="s">
        <v>706</v>
      </c>
      <c r="C33" s="16" t="n">
        <v>0</v>
      </c>
      <c r="D33" s="21" t="s">
        <v>741</v>
      </c>
      <c r="E33" s="21" t="str">
        <f aca="false">IF(AND(B33="On",D33&lt;"2024-01-01"),"Yes","No")</f>
        <v>No</v>
      </c>
    </row>
    <row r="34" customFormat="false" ht="15" hidden="false" customHeight="false" outlineLevel="0" collapsed="false">
      <c r="A34" s="13" t="s">
        <v>751</v>
      </c>
      <c r="B34" s="21" t="s">
        <v>706</v>
      </c>
      <c r="C34" s="16" t="n">
        <v>0</v>
      </c>
      <c r="D34" s="21" t="s">
        <v>741</v>
      </c>
      <c r="E34" s="21" t="str">
        <f aca="false">IF(AND(B34="On",D34&lt;"2024-01-01"),"Yes","No")</f>
        <v>No</v>
      </c>
    </row>
    <row r="35" customFormat="false" ht="15" hidden="false" customHeight="false" outlineLevel="0" collapsed="false">
      <c r="A35" s="13" t="s">
        <v>752</v>
      </c>
      <c r="B35" s="21" t="s">
        <v>706</v>
      </c>
      <c r="C35" s="16" t="n">
        <v>0</v>
      </c>
      <c r="D35" s="21" t="s">
        <v>741</v>
      </c>
      <c r="E35" s="21" t="str">
        <f aca="false">IF(AND(B35="On",D35&lt;"2024-01-01"),"Yes","No")</f>
        <v>No</v>
      </c>
    </row>
    <row r="36" customFormat="false" ht="15" hidden="false" customHeight="false" outlineLevel="0" collapsed="false">
      <c r="A36" s="13" t="s">
        <v>753</v>
      </c>
      <c r="B36" s="21" t="s">
        <v>706</v>
      </c>
      <c r="C36" s="16" t="n">
        <v>0</v>
      </c>
      <c r="D36" s="21" t="s">
        <v>741</v>
      </c>
      <c r="E36" s="21" t="str">
        <f aca="false">IF(AND(B36="On",D36&lt;"2024-01-01"),"Yes","No")</f>
        <v>No</v>
      </c>
    </row>
    <row r="37" customFormat="false" ht="15" hidden="false" customHeight="false" outlineLevel="0" collapsed="false">
      <c r="A37" s="13" t="s">
        <v>754</v>
      </c>
      <c r="B37" s="21" t="s">
        <v>706</v>
      </c>
      <c r="C37" s="16" t="n">
        <v>0</v>
      </c>
      <c r="D37" s="21" t="s">
        <v>741</v>
      </c>
      <c r="E37" s="21" t="str">
        <f aca="false">IF(AND(B37="On",D37&lt;"2024-01-01"),"Yes","No")</f>
        <v>No</v>
      </c>
    </row>
    <row r="38" customFormat="false" ht="15" hidden="false" customHeight="false" outlineLevel="0" collapsed="false">
      <c r="A38" s="13" t="s">
        <v>755</v>
      </c>
      <c r="B38" s="21" t="s">
        <v>706</v>
      </c>
      <c r="C38" s="16" t="n">
        <v>0</v>
      </c>
      <c r="D38" s="21" t="s">
        <v>741</v>
      </c>
      <c r="E38" s="21" t="str">
        <f aca="false">IF(AND(B38="On",D38&lt;"2024-01-01"),"Yes","No")</f>
        <v>No</v>
      </c>
    </row>
    <row r="39" customFormat="false" ht="15" hidden="false" customHeight="false" outlineLevel="0" collapsed="false">
      <c r="A39" s="13" t="s">
        <v>756</v>
      </c>
      <c r="B39" s="21" t="s">
        <v>706</v>
      </c>
      <c r="C39" s="16" t="n">
        <v>0</v>
      </c>
      <c r="D39" s="21" t="s">
        <v>741</v>
      </c>
      <c r="E39" s="21" t="str">
        <f aca="false">IF(AND(B39="On",D39&lt;"2024-01-01"),"Yes","No")</f>
        <v>No</v>
      </c>
    </row>
    <row r="40" customFormat="false" ht="15" hidden="false" customHeight="false" outlineLevel="0" collapsed="false">
      <c r="A40" s="13" t="s">
        <v>757</v>
      </c>
      <c r="B40" s="21" t="s">
        <v>706</v>
      </c>
      <c r="C40" s="16" t="n">
        <v>0</v>
      </c>
      <c r="D40" s="21" t="s">
        <v>741</v>
      </c>
      <c r="E40" s="21" t="str">
        <f aca="false">IF(AND(B40="On",D40&lt;"2024-01-01"),"Yes","No")</f>
        <v>No</v>
      </c>
    </row>
    <row r="41" customFormat="false" ht="15" hidden="false" customHeight="false" outlineLevel="0" collapsed="false">
      <c r="A41" s="13" t="s">
        <v>758</v>
      </c>
      <c r="B41" s="21" t="s">
        <v>706</v>
      </c>
      <c r="C41" s="16" t="n">
        <v>0</v>
      </c>
      <c r="D41" s="21" t="s">
        <v>741</v>
      </c>
      <c r="E41" s="21" t="str">
        <f aca="false">IF(AND(B41="On",D41&lt;"2024-01-01"),"Yes","No")</f>
        <v>No</v>
      </c>
    </row>
    <row r="42" customFormat="false" ht="15" hidden="false" customHeight="false" outlineLevel="0" collapsed="false">
      <c r="A42" s="13" t="s">
        <v>759</v>
      </c>
      <c r="B42" s="21" t="s">
        <v>706</v>
      </c>
      <c r="C42" s="16" t="n">
        <v>0</v>
      </c>
      <c r="D42" s="21" t="s">
        <v>741</v>
      </c>
      <c r="E42" s="21" t="str">
        <f aca="false">IF(AND(B42="On",D42&lt;"2024-01-01"),"Yes","No")</f>
        <v>No</v>
      </c>
    </row>
    <row r="43" customFormat="false" ht="15" hidden="false" customHeight="false" outlineLevel="0" collapsed="false">
      <c r="A43" s="13" t="s">
        <v>760</v>
      </c>
      <c r="B43" s="21" t="s">
        <v>706</v>
      </c>
      <c r="C43" s="16" t="n">
        <v>0</v>
      </c>
      <c r="D43" s="21" t="s">
        <v>741</v>
      </c>
      <c r="E43" s="21" t="str">
        <f aca="false">IF(AND(B43="On",D43&lt;"2024-01-01"),"Yes","No")</f>
        <v>No</v>
      </c>
    </row>
    <row r="44" customFormat="false" ht="15" hidden="false" customHeight="false" outlineLevel="0" collapsed="false">
      <c r="A44" s="13" t="s">
        <v>761</v>
      </c>
      <c r="B44" s="21" t="s">
        <v>706</v>
      </c>
      <c r="C44" s="16" t="n">
        <v>0</v>
      </c>
      <c r="D44" s="21" t="s">
        <v>741</v>
      </c>
      <c r="E44" s="21" t="str">
        <f aca="false">IF(AND(B44="On",D44&lt;"2024-01-01"),"Yes","No")</f>
        <v>No</v>
      </c>
    </row>
    <row r="45" customFormat="false" ht="15" hidden="false" customHeight="false" outlineLevel="0" collapsed="false">
      <c r="A45" s="13" t="s">
        <v>762</v>
      </c>
      <c r="B45" s="21" t="s">
        <v>706</v>
      </c>
      <c r="C45" s="16" t="n">
        <v>0</v>
      </c>
      <c r="D45" s="21" t="s">
        <v>741</v>
      </c>
      <c r="E45" s="21" t="str">
        <f aca="false">IF(AND(B45="On",D45&lt;"2024-01-01"),"Yes","No")</f>
        <v>No</v>
      </c>
    </row>
    <row r="46" customFormat="false" ht="15" hidden="false" customHeight="false" outlineLevel="0" collapsed="false">
      <c r="A46" s="13" t="s">
        <v>763</v>
      </c>
      <c r="B46" s="21" t="s">
        <v>706</v>
      </c>
      <c r="C46" s="16" t="n">
        <v>0</v>
      </c>
      <c r="D46" s="21" t="s">
        <v>741</v>
      </c>
      <c r="E46" s="21" t="str">
        <f aca="false">IF(AND(B46="On",D46&lt;"2024-01-01"),"Yes","No")</f>
        <v>No</v>
      </c>
    </row>
    <row r="47" customFormat="false" ht="15" hidden="false" customHeight="false" outlineLevel="0" collapsed="false">
      <c r="A47" s="13" t="s">
        <v>764</v>
      </c>
      <c r="B47" s="21" t="s">
        <v>706</v>
      </c>
      <c r="C47" s="16" t="n">
        <v>0</v>
      </c>
      <c r="D47" s="21" t="s">
        <v>741</v>
      </c>
      <c r="E47" s="21" t="str">
        <f aca="false">IF(AND(B47="On",D47&lt;"2024-01-01"),"Yes","No")</f>
        <v>No</v>
      </c>
    </row>
    <row r="48" customFormat="false" ht="15" hidden="false" customHeight="false" outlineLevel="0" collapsed="false">
      <c r="A48" s="13" t="s">
        <v>765</v>
      </c>
      <c r="B48" s="21" t="s">
        <v>706</v>
      </c>
      <c r="C48" s="16" t="n">
        <v>0</v>
      </c>
      <c r="D48" s="21" t="s">
        <v>741</v>
      </c>
      <c r="E48" s="21" t="str">
        <f aca="false">IF(AND(B48="On",D48&lt;"2024-01-01"),"Yes","No")</f>
        <v>No</v>
      </c>
    </row>
    <row r="49" customFormat="false" ht="15" hidden="false" customHeight="false" outlineLevel="0" collapsed="false">
      <c r="A49" s="13" t="s">
        <v>766</v>
      </c>
      <c r="B49" s="21" t="s">
        <v>706</v>
      </c>
      <c r="C49" s="16" t="n">
        <v>0</v>
      </c>
      <c r="D49" s="21" t="s">
        <v>741</v>
      </c>
      <c r="E49" s="21" t="str">
        <f aca="false">IF(AND(B49="On",D49&lt;"2024-01-01"),"Yes","No")</f>
        <v>No</v>
      </c>
    </row>
    <row r="50" customFormat="false" ht="15" hidden="false" customHeight="false" outlineLevel="0" collapsed="false">
      <c r="A50" s="13" t="s">
        <v>767</v>
      </c>
      <c r="B50" s="21" t="s">
        <v>706</v>
      </c>
      <c r="C50" s="16" t="n">
        <v>0</v>
      </c>
      <c r="D50" s="21" t="s">
        <v>741</v>
      </c>
      <c r="E50" s="21" t="str">
        <f aca="false">IF(AND(B50="On",D50&lt;"2024-01-01"),"Yes","No")</f>
        <v>No</v>
      </c>
    </row>
    <row r="51" customFormat="false" ht="15" hidden="false" customHeight="false" outlineLevel="0" collapsed="false">
      <c r="A51" s="13" t="s">
        <v>768</v>
      </c>
      <c r="B51" s="21" t="s">
        <v>706</v>
      </c>
      <c r="C51" s="16" t="n">
        <v>0</v>
      </c>
      <c r="D51" s="21" t="s">
        <v>741</v>
      </c>
      <c r="E51" s="21" t="str">
        <f aca="false">IF(AND(B51="On",D51&lt;"2024-01-01"),"Yes","No")</f>
        <v>No</v>
      </c>
    </row>
    <row r="52" customFormat="false" ht="15" hidden="false" customHeight="false" outlineLevel="0" collapsed="false">
      <c r="A52" s="13" t="s">
        <v>769</v>
      </c>
      <c r="B52" s="21" t="s">
        <v>706</v>
      </c>
      <c r="C52" s="16" t="n">
        <v>0</v>
      </c>
      <c r="D52" s="21" t="s">
        <v>741</v>
      </c>
      <c r="E52" s="21" t="str">
        <f aca="false">IF(AND(B52="On",D52&lt;"2024-01-01"),"Yes","No")</f>
        <v>No</v>
      </c>
    </row>
    <row r="53" customFormat="false" ht="15" hidden="false" customHeight="false" outlineLevel="0" collapsed="false">
      <c r="A53" s="13" t="s">
        <v>770</v>
      </c>
      <c r="B53" s="21" t="s">
        <v>706</v>
      </c>
      <c r="C53" s="16" t="n">
        <v>0</v>
      </c>
      <c r="D53" s="21" t="s">
        <v>741</v>
      </c>
      <c r="E53" s="21" t="str">
        <f aca="false">IF(AND(B53="On",D53&lt;"2024-01-01"),"Yes","No")</f>
        <v>No</v>
      </c>
    </row>
    <row r="54" customFormat="false" ht="15" hidden="false" customHeight="false" outlineLevel="0" collapsed="false">
      <c r="A54" s="13" t="s">
        <v>771</v>
      </c>
      <c r="B54" s="21" t="s">
        <v>706</v>
      </c>
      <c r="C54" s="16" t="n">
        <v>0</v>
      </c>
      <c r="D54" s="21" t="s">
        <v>741</v>
      </c>
      <c r="E54" s="21" t="str">
        <f aca="false">IF(AND(B54="On",D54&lt;"2024-01-01"),"Yes","No")</f>
        <v>No</v>
      </c>
    </row>
    <row r="55" customFormat="false" ht="15" hidden="false" customHeight="false" outlineLevel="0" collapsed="false">
      <c r="A55" s="13" t="s">
        <v>772</v>
      </c>
      <c r="B55" s="21" t="s">
        <v>706</v>
      </c>
      <c r="C55" s="16" t="n">
        <v>0</v>
      </c>
      <c r="D55" s="21" t="s">
        <v>741</v>
      </c>
      <c r="E55" s="21" t="str">
        <f aca="false">IF(AND(B55="On",D55&lt;"2024-01-01"),"Yes","No")</f>
        <v>No</v>
      </c>
    </row>
    <row r="56" customFormat="false" ht="15" hidden="false" customHeight="false" outlineLevel="0" collapsed="false">
      <c r="A56" s="13" t="s">
        <v>773</v>
      </c>
      <c r="B56" s="21" t="s">
        <v>706</v>
      </c>
      <c r="C56" s="16" t="n">
        <v>0</v>
      </c>
      <c r="D56" s="21" t="s">
        <v>741</v>
      </c>
      <c r="E56" s="21" t="str">
        <f aca="false">IF(AND(B56="On",D56&lt;"2024-01-01"),"Yes","No")</f>
        <v>No</v>
      </c>
    </row>
    <row r="57" customFormat="false" ht="15" hidden="false" customHeight="false" outlineLevel="0" collapsed="false">
      <c r="A57" s="13" t="s">
        <v>774</v>
      </c>
      <c r="B57" s="21" t="s">
        <v>706</v>
      </c>
      <c r="C57" s="16" t="n">
        <v>0</v>
      </c>
      <c r="D57" s="21" t="s">
        <v>741</v>
      </c>
      <c r="E57" s="21" t="str">
        <f aca="false">IF(AND(B57="On",D57&lt;"2024-01-01"),"Yes","No")</f>
        <v>No</v>
      </c>
    </row>
    <row r="58" customFormat="false" ht="15" hidden="false" customHeight="false" outlineLevel="0" collapsed="false">
      <c r="A58" s="13" t="s">
        <v>775</v>
      </c>
      <c r="B58" s="21" t="s">
        <v>706</v>
      </c>
      <c r="C58" s="16" t="n">
        <v>0</v>
      </c>
      <c r="D58" s="21" t="s">
        <v>741</v>
      </c>
      <c r="E58" s="21" t="str">
        <f aca="false">IF(AND(B58="On",D58&lt;"2024-01-01"),"Yes","No")</f>
        <v>No</v>
      </c>
    </row>
    <row r="59" customFormat="false" ht="15" hidden="false" customHeight="false" outlineLevel="0" collapsed="false">
      <c r="A59" s="13" t="s">
        <v>776</v>
      </c>
      <c r="B59" s="21" t="s">
        <v>706</v>
      </c>
      <c r="C59" s="16" t="n">
        <v>0</v>
      </c>
      <c r="D59" s="21" t="s">
        <v>741</v>
      </c>
      <c r="E59" s="21" t="str">
        <f aca="false">IF(AND(B59="On",D59&lt;"2024-01-01"),"Yes","No")</f>
        <v>No</v>
      </c>
    </row>
    <row r="60" customFormat="false" ht="15" hidden="false" customHeight="false" outlineLevel="0" collapsed="false">
      <c r="A60" s="13" t="s">
        <v>777</v>
      </c>
      <c r="B60" s="21" t="s">
        <v>706</v>
      </c>
      <c r="C60" s="16" t="n">
        <v>0</v>
      </c>
      <c r="D60" s="21" t="s">
        <v>741</v>
      </c>
      <c r="E60" s="21" t="str">
        <f aca="false">IF(AND(B60="On",D60&lt;"2024-01-01"),"Yes","No")</f>
        <v>No</v>
      </c>
    </row>
    <row r="61" customFormat="false" ht="15" hidden="false" customHeight="false" outlineLevel="0" collapsed="false">
      <c r="A61" s="13" t="s">
        <v>778</v>
      </c>
      <c r="B61" s="21" t="s">
        <v>706</v>
      </c>
      <c r="C61" s="16" t="n">
        <v>0</v>
      </c>
      <c r="D61" s="21" t="s">
        <v>741</v>
      </c>
      <c r="E61" s="21" t="str">
        <f aca="false">IF(AND(B61="On",D61&lt;"2024-01-01"),"Yes","No")</f>
        <v>No</v>
      </c>
    </row>
    <row r="62" customFormat="false" ht="15" hidden="false" customHeight="false" outlineLevel="0" collapsed="false">
      <c r="A62" s="13" t="s">
        <v>779</v>
      </c>
      <c r="B62" s="21" t="s">
        <v>706</v>
      </c>
      <c r="C62" s="16" t="n">
        <v>0</v>
      </c>
      <c r="D62" s="21" t="s">
        <v>780</v>
      </c>
      <c r="E62" s="21" t="str">
        <f aca="false">IF(AND(B62="On",D62&lt;"2024-01-01"),"Yes","No")</f>
        <v>No</v>
      </c>
    </row>
    <row r="63" customFormat="false" ht="15" hidden="false" customHeight="false" outlineLevel="0" collapsed="false">
      <c r="A63" s="13" t="s">
        <v>781</v>
      </c>
      <c r="B63" s="21" t="s">
        <v>706</v>
      </c>
      <c r="C63" s="16" t="n">
        <v>0</v>
      </c>
      <c r="D63" s="21" t="s">
        <v>782</v>
      </c>
      <c r="E63" s="21" t="str">
        <f aca="false">IF(AND(B63="On",D63&lt;"2024-01-01"),"Yes","No")</f>
        <v>No</v>
      </c>
    </row>
    <row r="64" customFormat="false" ht="15" hidden="false" customHeight="false" outlineLevel="0" collapsed="false">
      <c r="A64" s="13" t="s">
        <v>783</v>
      </c>
      <c r="B64" s="21" t="s">
        <v>706</v>
      </c>
      <c r="C64" s="16" t="n">
        <v>0</v>
      </c>
      <c r="D64" s="21" t="s">
        <v>784</v>
      </c>
      <c r="E64" s="21" t="str">
        <f aca="false">IF(AND(B64="On",D64&lt;"2024-01-01"),"Yes","No")</f>
        <v>No</v>
      </c>
    </row>
    <row r="65" customFormat="false" ht="15" hidden="false" customHeight="false" outlineLevel="0" collapsed="false">
      <c r="A65" s="13" t="s">
        <v>785</v>
      </c>
      <c r="B65" s="21" t="s">
        <v>706</v>
      </c>
      <c r="C65" s="16" t="n">
        <v>0</v>
      </c>
      <c r="D65" s="21" t="s">
        <v>786</v>
      </c>
      <c r="E65" s="21" t="str">
        <f aca="false">IF(AND(B65="On",D65&lt;"2024-01-01"),"Yes","No")</f>
        <v>No</v>
      </c>
    </row>
    <row r="66" customFormat="false" ht="15" hidden="false" customHeight="false" outlineLevel="0" collapsed="false">
      <c r="A66" s="13" t="s">
        <v>787</v>
      </c>
      <c r="B66" s="21" t="s">
        <v>706</v>
      </c>
      <c r="C66" s="16" t="n">
        <v>0</v>
      </c>
      <c r="D66" s="21" t="s">
        <v>786</v>
      </c>
      <c r="E66" s="21" t="str">
        <f aca="false">IF(AND(B66="On",D66&lt;"2024-01-01"),"Yes","No")</f>
        <v>No</v>
      </c>
    </row>
    <row r="67" customFormat="false" ht="15" hidden="false" customHeight="false" outlineLevel="0" collapsed="false">
      <c r="A67" s="13" t="s">
        <v>788</v>
      </c>
      <c r="B67" s="21" t="s">
        <v>706</v>
      </c>
      <c r="C67" s="16" t="n">
        <v>0</v>
      </c>
      <c r="D67" s="21" t="s">
        <v>786</v>
      </c>
      <c r="E67" s="21" t="str">
        <f aca="false">IF(AND(B67="On",D67&lt;"2024-01-01"),"Yes","No")</f>
        <v>No</v>
      </c>
    </row>
    <row r="68" customFormat="false" ht="15" hidden="false" customHeight="false" outlineLevel="0" collapsed="false">
      <c r="A68" s="13" t="s">
        <v>789</v>
      </c>
      <c r="B68" s="21" t="s">
        <v>706</v>
      </c>
      <c r="C68" s="16" t="n">
        <v>0</v>
      </c>
      <c r="D68" s="21" t="s">
        <v>786</v>
      </c>
      <c r="E68" s="21" t="str">
        <f aca="false">IF(AND(B68="On",D68&lt;"2024-01-01"),"Yes","No")</f>
        <v>No</v>
      </c>
    </row>
    <row r="69" customFormat="false" ht="15" hidden="false" customHeight="false" outlineLevel="0" collapsed="false">
      <c r="A69" s="13" t="s">
        <v>790</v>
      </c>
      <c r="B69" s="21" t="s">
        <v>706</v>
      </c>
      <c r="C69" s="16" t="n">
        <v>0</v>
      </c>
      <c r="D69" s="21" t="s">
        <v>786</v>
      </c>
      <c r="E69" s="21" t="str">
        <f aca="false">IF(AND(B69="On",D69&lt;"2024-01-01"),"Yes","No")</f>
        <v>No</v>
      </c>
    </row>
    <row r="70" customFormat="false" ht="15" hidden="false" customHeight="false" outlineLevel="0" collapsed="false">
      <c r="A70" s="13" t="s">
        <v>791</v>
      </c>
      <c r="B70" s="21" t="s">
        <v>706</v>
      </c>
      <c r="C70" s="16" t="n">
        <v>0</v>
      </c>
      <c r="D70" s="21" t="s">
        <v>786</v>
      </c>
      <c r="E70" s="21" t="str">
        <f aca="false">IF(AND(B70="On",D70&lt;"2024-01-01"),"Yes","No")</f>
        <v>No</v>
      </c>
    </row>
    <row r="71" customFormat="false" ht="15" hidden="false" customHeight="false" outlineLevel="0" collapsed="false">
      <c r="A71" s="13" t="s">
        <v>792</v>
      </c>
      <c r="B71" s="21" t="s">
        <v>706</v>
      </c>
      <c r="C71" s="16" t="n">
        <v>0</v>
      </c>
      <c r="D71" s="21" t="s">
        <v>786</v>
      </c>
      <c r="E71" s="21" t="str">
        <f aca="false">IF(AND(B71="On",D71&lt;"2024-01-01"),"Yes","No")</f>
        <v>No</v>
      </c>
    </row>
    <row r="72" customFormat="false" ht="15" hidden="false" customHeight="false" outlineLevel="0" collapsed="false">
      <c r="A72" s="13" t="s">
        <v>793</v>
      </c>
      <c r="B72" s="21" t="s">
        <v>706</v>
      </c>
      <c r="C72" s="16" t="n">
        <v>0</v>
      </c>
      <c r="D72" s="21" t="s">
        <v>794</v>
      </c>
      <c r="E72" s="21" t="str">
        <f aca="false">IF(AND(B72="On",D72&lt;"2024-01-01"),"Yes","No")</f>
        <v>No</v>
      </c>
    </row>
    <row r="73" customFormat="false" ht="15" hidden="false" customHeight="false" outlineLevel="0" collapsed="false">
      <c r="A73" s="13" t="s">
        <v>795</v>
      </c>
      <c r="B73" s="21" t="s">
        <v>706</v>
      </c>
      <c r="C73" s="16" t="n">
        <v>0</v>
      </c>
      <c r="D73" s="21" t="s">
        <v>796</v>
      </c>
      <c r="E73" s="21" t="str">
        <f aca="false">IF(AND(B73="On",D73&lt;"2024-01-01"),"Yes","No")</f>
        <v>No</v>
      </c>
    </row>
    <row r="74" customFormat="false" ht="15" hidden="false" customHeight="false" outlineLevel="0" collapsed="false">
      <c r="A74" s="13" t="s">
        <v>797</v>
      </c>
      <c r="B74" s="21" t="s">
        <v>706</v>
      </c>
      <c r="C74" s="16" t="n">
        <v>0</v>
      </c>
      <c r="D74" s="21" t="s">
        <v>798</v>
      </c>
      <c r="E74" s="21" t="str">
        <f aca="false">IF(AND(B74="On",D74&lt;"2024-01-01"),"Yes","No")</f>
        <v>No</v>
      </c>
    </row>
    <row r="75" customFormat="false" ht="15" hidden="false" customHeight="false" outlineLevel="0" collapsed="false">
      <c r="A75" s="13" t="s">
        <v>799</v>
      </c>
      <c r="B75" s="21" t="s">
        <v>706</v>
      </c>
      <c r="C75" s="16" t="n">
        <v>0</v>
      </c>
      <c r="D75" s="21" t="s">
        <v>800</v>
      </c>
      <c r="E75" s="21" t="str">
        <f aca="false">IF(AND(B75="On",D75&lt;"2024-01-01"),"Yes","No")</f>
        <v>No</v>
      </c>
    </row>
    <row r="76" customFormat="false" ht="15" hidden="false" customHeight="false" outlineLevel="0" collapsed="false">
      <c r="A76" s="13" t="s">
        <v>716</v>
      </c>
      <c r="B76" s="21" t="s">
        <v>706</v>
      </c>
      <c r="C76" s="16" t="n">
        <v>0</v>
      </c>
      <c r="D76" s="21" t="s">
        <v>800</v>
      </c>
      <c r="E76" s="21" t="str">
        <f aca="false">IF(AND(B76="On",D76&lt;"2024-01-01"),"Yes","No")</f>
        <v>No</v>
      </c>
    </row>
    <row r="77" customFormat="false" ht="15" hidden="false" customHeight="false" outlineLevel="0" collapsed="false">
      <c r="A77" s="13" t="s">
        <v>716</v>
      </c>
      <c r="B77" s="21" t="s">
        <v>706</v>
      </c>
      <c r="C77" s="16" t="n">
        <v>0</v>
      </c>
      <c r="D77" s="21" t="s">
        <v>800</v>
      </c>
      <c r="E77" s="21" t="str">
        <f aca="false">IF(AND(B77="On",D77&lt;"2024-01-01"),"Yes","No")</f>
        <v>No</v>
      </c>
    </row>
    <row r="78" customFormat="false" ht="15" hidden="false" customHeight="false" outlineLevel="0" collapsed="false">
      <c r="A78" s="13" t="s">
        <v>801</v>
      </c>
      <c r="B78" s="21" t="s">
        <v>706</v>
      </c>
      <c r="C78" s="16" t="n">
        <v>0</v>
      </c>
      <c r="D78" s="21" t="s">
        <v>802</v>
      </c>
      <c r="E78" s="21" t="str">
        <f aca="false">IF(AND(B78="On",D78&lt;"2024-01-01"),"Yes","No")</f>
        <v>No</v>
      </c>
    </row>
    <row r="79" customFormat="false" ht="15" hidden="false" customHeight="false" outlineLevel="0" collapsed="false">
      <c r="A79" s="13" t="s">
        <v>803</v>
      </c>
      <c r="B79" s="21" t="s">
        <v>706</v>
      </c>
      <c r="C79" s="16" t="n">
        <v>0</v>
      </c>
      <c r="D79" s="21" t="s">
        <v>804</v>
      </c>
      <c r="E79" s="21" t="str">
        <f aca="false">IF(AND(B79="On",D79&lt;"2024-01-01"),"Yes","No")</f>
        <v>No</v>
      </c>
    </row>
    <row r="80" customFormat="false" ht="15" hidden="false" customHeight="false" outlineLevel="0" collapsed="false">
      <c r="A80" s="13" t="s">
        <v>805</v>
      </c>
      <c r="B80" s="21" t="s">
        <v>706</v>
      </c>
      <c r="C80" s="16" t="n">
        <v>0</v>
      </c>
      <c r="D80" s="21" t="s">
        <v>806</v>
      </c>
      <c r="E80" s="21" t="str">
        <f aca="false">IF(AND(B80="On",D80&lt;"2024-01-01"),"Yes","No")</f>
        <v>No</v>
      </c>
    </row>
    <row r="81" customFormat="false" ht="15" hidden="false" customHeight="false" outlineLevel="0" collapsed="false">
      <c r="A81" s="13" t="s">
        <v>807</v>
      </c>
      <c r="B81" s="21" t="s">
        <v>706</v>
      </c>
      <c r="C81" s="16" t="n">
        <v>0</v>
      </c>
      <c r="D81" s="21" t="s">
        <v>808</v>
      </c>
      <c r="E81" s="21" t="str">
        <f aca="false">IF(AND(B81="On",D81&lt;"2024-01-01"),"Yes","No")</f>
        <v>No</v>
      </c>
    </row>
    <row r="82" customFormat="false" ht="15" hidden="false" customHeight="false" outlineLevel="0" collapsed="false">
      <c r="A82" s="13" t="s">
        <v>809</v>
      </c>
      <c r="B82" s="21" t="s">
        <v>706</v>
      </c>
      <c r="C82" s="16" t="n">
        <v>0</v>
      </c>
      <c r="D82" s="21" t="s">
        <v>810</v>
      </c>
      <c r="E82" s="21" t="str">
        <f aca="false">IF(AND(B82="On",D82&lt;"2024-01-01"),"Yes","No")</f>
        <v>No</v>
      </c>
    </row>
    <row r="83" customFormat="false" ht="15" hidden="false" customHeight="false" outlineLevel="0" collapsed="false">
      <c r="A83" s="13" t="s">
        <v>811</v>
      </c>
      <c r="B83" s="21" t="s">
        <v>706</v>
      </c>
      <c r="C83" s="16" t="n">
        <v>0</v>
      </c>
      <c r="D83" s="21" t="s">
        <v>812</v>
      </c>
      <c r="E83" s="21" t="str">
        <f aca="false">IF(AND(B83="On",D83&lt;"2024-01-01"),"Yes","No")</f>
        <v>No</v>
      </c>
    </row>
    <row r="84" customFormat="false" ht="15" hidden="false" customHeight="false" outlineLevel="0" collapsed="false">
      <c r="A84" s="13" t="s">
        <v>813</v>
      </c>
      <c r="B84" s="21" t="s">
        <v>706</v>
      </c>
      <c r="C84" s="16" t="n">
        <v>0</v>
      </c>
      <c r="D84" s="21" t="s">
        <v>812</v>
      </c>
      <c r="E84" s="21" t="str">
        <f aca="false">IF(AND(B84="On",D84&lt;"2024-01-01"),"Yes","No")</f>
        <v>No</v>
      </c>
    </row>
    <row r="85" customFormat="false" ht="15" hidden="false" customHeight="false" outlineLevel="0" collapsed="false">
      <c r="A85" s="13" t="s">
        <v>814</v>
      </c>
      <c r="B85" s="21" t="s">
        <v>706</v>
      </c>
      <c r="C85" s="16" t="n">
        <v>0</v>
      </c>
      <c r="D85" s="21" t="s">
        <v>812</v>
      </c>
      <c r="E85" s="21" t="str">
        <f aca="false">IF(AND(B85="On",D85&lt;"2024-01-01"),"Yes","No")</f>
        <v>No</v>
      </c>
    </row>
    <row r="86" customFormat="false" ht="15" hidden="false" customHeight="false" outlineLevel="0" collapsed="false">
      <c r="A86" s="13" t="s">
        <v>815</v>
      </c>
      <c r="B86" s="21" t="s">
        <v>706</v>
      </c>
      <c r="C86" s="16" t="n">
        <v>0</v>
      </c>
      <c r="D86" s="21" t="s">
        <v>816</v>
      </c>
      <c r="E86" s="21" t="str">
        <f aca="false">IF(AND(B86="On",D86&lt;"2024-01-01"),"Yes","No")</f>
        <v>No</v>
      </c>
    </row>
    <row r="87" customFormat="false" ht="15" hidden="false" customHeight="false" outlineLevel="0" collapsed="false">
      <c r="A87" s="13" t="s">
        <v>817</v>
      </c>
      <c r="B87" s="21" t="s">
        <v>706</v>
      </c>
      <c r="C87" s="16" t="n">
        <v>0</v>
      </c>
      <c r="D87" s="21" t="s">
        <v>818</v>
      </c>
      <c r="E87" s="21" t="str">
        <f aca="false">IF(AND(B87="On",D87&lt;"2024-01-01"),"Yes","No")</f>
        <v>No</v>
      </c>
    </row>
    <row r="88" customFormat="false" ht="15" hidden="false" customHeight="false" outlineLevel="0" collapsed="false">
      <c r="A88" s="13" t="s">
        <v>819</v>
      </c>
      <c r="B88" s="21" t="s">
        <v>706</v>
      </c>
      <c r="C88" s="16" t="n">
        <v>0</v>
      </c>
      <c r="D88" s="21" t="s">
        <v>820</v>
      </c>
      <c r="E88" s="21" t="str">
        <f aca="false">IF(AND(B88="On",D88&lt;"2024-01-01"),"Yes","No")</f>
        <v>No</v>
      </c>
    </row>
    <row r="89" customFormat="false" ht="15" hidden="false" customHeight="false" outlineLevel="0" collapsed="false">
      <c r="A89" s="13" t="s">
        <v>821</v>
      </c>
      <c r="B89" s="21" t="s">
        <v>706</v>
      </c>
      <c r="C89" s="16" t="n">
        <v>0</v>
      </c>
      <c r="D89" s="21" t="s">
        <v>822</v>
      </c>
      <c r="E89" s="21" t="str">
        <f aca="false">IF(AND(B89="On",D89&lt;"2024-01-01"),"Yes","No")</f>
        <v>No</v>
      </c>
    </row>
    <row r="90" customFormat="false" ht="15" hidden="false" customHeight="false" outlineLevel="0" collapsed="false">
      <c r="A90" s="13" t="s">
        <v>823</v>
      </c>
      <c r="B90" s="21" t="s">
        <v>706</v>
      </c>
      <c r="C90" s="16" t="n">
        <v>0</v>
      </c>
      <c r="D90" s="21" t="s">
        <v>824</v>
      </c>
      <c r="E90" s="21" t="str">
        <f aca="false">IF(AND(B90="On",D90&lt;"2024-01-01"),"Yes","No")</f>
        <v>No</v>
      </c>
    </row>
    <row r="91" customFormat="false" ht="15" hidden="false" customHeight="false" outlineLevel="0" collapsed="false">
      <c r="A91" s="13" t="s">
        <v>825</v>
      </c>
      <c r="B91" s="21" t="s">
        <v>706</v>
      </c>
      <c r="C91" s="16" t="n">
        <v>0</v>
      </c>
      <c r="D91" s="21" t="s">
        <v>824</v>
      </c>
      <c r="E91" s="21" t="str">
        <f aca="false">IF(AND(B91="On",D91&lt;"2024-01-01"),"Yes","No")</f>
        <v>No</v>
      </c>
    </row>
    <row r="92" customFormat="false" ht="15" hidden="false" customHeight="false" outlineLevel="0" collapsed="false">
      <c r="A92" s="13" t="s">
        <v>826</v>
      </c>
      <c r="B92" s="21" t="s">
        <v>706</v>
      </c>
      <c r="C92" s="16" t="n">
        <v>0</v>
      </c>
      <c r="D92" s="21" t="s">
        <v>827</v>
      </c>
      <c r="E92" s="21" t="str">
        <f aca="false">IF(AND(B92="On",D92&lt;"2024-01-01"),"Yes","No")</f>
        <v>No</v>
      </c>
    </row>
    <row r="93" customFormat="false" ht="15" hidden="false" customHeight="false" outlineLevel="0" collapsed="false">
      <c r="A93" s="13" t="s">
        <v>828</v>
      </c>
      <c r="B93" s="21" t="s">
        <v>706</v>
      </c>
      <c r="C93" s="16" t="n">
        <v>0</v>
      </c>
      <c r="D93" s="21" t="s">
        <v>829</v>
      </c>
      <c r="E93" s="21" t="str">
        <f aca="false">IF(AND(B93="On",D93&lt;"2024-01-01"),"Yes","No")</f>
        <v>No</v>
      </c>
    </row>
    <row r="94" customFormat="false" ht="15" hidden="false" customHeight="false" outlineLevel="0" collapsed="false">
      <c r="A94" s="13" t="s">
        <v>830</v>
      </c>
      <c r="B94" s="21" t="s">
        <v>706</v>
      </c>
      <c r="C94" s="16" t="n">
        <v>0</v>
      </c>
      <c r="D94" s="21" t="s">
        <v>831</v>
      </c>
      <c r="E94" s="21" t="str">
        <f aca="false">IF(AND(B94="On",D94&lt;"2024-01-01"),"Yes","No")</f>
        <v>No</v>
      </c>
    </row>
    <row r="95" customFormat="false" ht="15" hidden="false" customHeight="false" outlineLevel="0" collapsed="false">
      <c r="A95" s="13" t="s">
        <v>832</v>
      </c>
      <c r="B95" s="21" t="s">
        <v>706</v>
      </c>
      <c r="C95" s="16" t="n">
        <v>0</v>
      </c>
      <c r="D95" s="21" t="s">
        <v>833</v>
      </c>
      <c r="E95" s="21" t="str">
        <f aca="false">IF(AND(B95="On",D95&lt;"2024-01-01"),"Yes","No")</f>
        <v>No</v>
      </c>
    </row>
    <row r="96" customFormat="false" ht="15" hidden="false" customHeight="false" outlineLevel="0" collapsed="false">
      <c r="A96" s="13" t="s">
        <v>834</v>
      </c>
      <c r="B96" s="21" t="s">
        <v>706</v>
      </c>
      <c r="C96" s="16" t="n">
        <v>0</v>
      </c>
      <c r="D96" s="21" t="s">
        <v>835</v>
      </c>
      <c r="E96" s="21" t="str">
        <f aca="false">IF(AND(B96="On",D96&lt;"2024-01-01"),"Yes","No")</f>
        <v>No</v>
      </c>
    </row>
    <row r="97" customFormat="false" ht="15" hidden="false" customHeight="false" outlineLevel="0" collapsed="false">
      <c r="A97" s="13" t="s">
        <v>836</v>
      </c>
      <c r="B97" s="21" t="s">
        <v>706</v>
      </c>
      <c r="C97" s="16" t="n">
        <v>0</v>
      </c>
      <c r="D97" s="21" t="s">
        <v>837</v>
      </c>
      <c r="E97" s="21" t="str">
        <f aca="false">IF(AND(B97="On",D97&lt;"2024-01-01"),"Yes","No")</f>
        <v>No</v>
      </c>
    </row>
    <row r="98" customFormat="false" ht="15" hidden="false" customHeight="false" outlineLevel="0" collapsed="false">
      <c r="A98" s="13" t="s">
        <v>838</v>
      </c>
      <c r="B98" s="21" t="s">
        <v>706</v>
      </c>
      <c r="C98" s="16" t="n">
        <v>0</v>
      </c>
      <c r="D98" s="21" t="s">
        <v>837</v>
      </c>
      <c r="E98" s="21" t="str">
        <f aca="false">IF(AND(B98="On",D98&lt;"2024-01-01"),"Yes","No")</f>
        <v>No</v>
      </c>
    </row>
    <row r="99" customFormat="false" ht="15" hidden="false" customHeight="false" outlineLevel="0" collapsed="false">
      <c r="A99" s="13" t="s">
        <v>839</v>
      </c>
      <c r="B99" s="21" t="s">
        <v>706</v>
      </c>
      <c r="C99" s="16" t="n">
        <v>0</v>
      </c>
      <c r="D99" s="21" t="s">
        <v>840</v>
      </c>
      <c r="E99" s="21" t="str">
        <f aca="false">IF(AND(B99="On",D99&lt;"2024-01-01"),"Yes","No")</f>
        <v>No</v>
      </c>
    </row>
    <row r="100" customFormat="false" ht="15" hidden="false" customHeight="false" outlineLevel="0" collapsed="false">
      <c r="A100" s="13" t="s">
        <v>841</v>
      </c>
      <c r="B100" s="21" t="s">
        <v>706</v>
      </c>
      <c r="C100" s="16" t="n">
        <v>0</v>
      </c>
      <c r="D100" s="21" t="s">
        <v>840</v>
      </c>
      <c r="E100" s="21" t="str">
        <f aca="false">IF(AND(B100="On",D100&lt;"2024-01-01"),"Yes","No")</f>
        <v>No</v>
      </c>
    </row>
    <row r="101" customFormat="false" ht="15" hidden="false" customHeight="false" outlineLevel="0" collapsed="false">
      <c r="A101" s="13" t="s">
        <v>842</v>
      </c>
      <c r="B101" s="21" t="s">
        <v>706</v>
      </c>
      <c r="C101" s="16" t="n">
        <v>0</v>
      </c>
      <c r="D101" s="21" t="s">
        <v>843</v>
      </c>
      <c r="E101" s="21" t="str">
        <f aca="false">IF(AND(B101="On",D101&lt;"2024-01-01"),"Yes","No")</f>
        <v>No</v>
      </c>
    </row>
    <row r="102" customFormat="false" ht="15" hidden="false" customHeight="false" outlineLevel="0" collapsed="false">
      <c r="A102" s="13" t="s">
        <v>844</v>
      </c>
      <c r="B102" s="21" t="s">
        <v>706</v>
      </c>
      <c r="C102" s="16" t="n">
        <v>0</v>
      </c>
      <c r="D102" s="21" t="s">
        <v>845</v>
      </c>
      <c r="E102" s="21" t="str">
        <f aca="false">IF(AND(B102="On",D102&lt;"2024-01-01"),"Yes","No")</f>
        <v>No</v>
      </c>
    </row>
    <row r="103" customFormat="false" ht="15" hidden="false" customHeight="false" outlineLevel="0" collapsed="false">
      <c r="A103" s="13" t="s">
        <v>846</v>
      </c>
      <c r="B103" s="21" t="s">
        <v>706</v>
      </c>
      <c r="C103" s="16" t="n">
        <v>0</v>
      </c>
      <c r="D103" s="21" t="s">
        <v>847</v>
      </c>
      <c r="E103" s="21" t="str">
        <f aca="false">IF(AND(B103="On",D103&lt;"2024-01-01"),"Yes","No")</f>
        <v>No</v>
      </c>
    </row>
    <row r="104" customFormat="false" ht="15" hidden="false" customHeight="false" outlineLevel="0" collapsed="false">
      <c r="A104" s="13" t="s">
        <v>848</v>
      </c>
      <c r="B104" s="21" t="s">
        <v>706</v>
      </c>
      <c r="C104" s="16" t="n">
        <v>0</v>
      </c>
      <c r="D104" s="21" t="s">
        <v>847</v>
      </c>
      <c r="E104" s="21" t="str">
        <f aca="false">IF(AND(B104="On",D104&lt;"2024-01-01"),"Yes","No")</f>
        <v>No</v>
      </c>
    </row>
    <row r="105" customFormat="false" ht="15" hidden="false" customHeight="false" outlineLevel="0" collapsed="false">
      <c r="A105" s="13" t="s">
        <v>849</v>
      </c>
      <c r="B105" s="21" t="s">
        <v>706</v>
      </c>
      <c r="C105" s="16" t="n">
        <v>0</v>
      </c>
      <c r="D105" s="21" t="s">
        <v>847</v>
      </c>
      <c r="E105" s="21" t="str">
        <f aca="false">IF(AND(B105="On",D105&lt;"2024-01-01"),"Yes","No")</f>
        <v>No</v>
      </c>
    </row>
    <row r="106" customFormat="false" ht="15" hidden="false" customHeight="false" outlineLevel="0" collapsed="false">
      <c r="A106" s="13" t="s">
        <v>850</v>
      </c>
      <c r="B106" s="21" t="s">
        <v>706</v>
      </c>
      <c r="C106" s="16" t="n">
        <v>0</v>
      </c>
      <c r="D106" s="21" t="s">
        <v>847</v>
      </c>
      <c r="E106" s="21" t="str">
        <f aca="false">IF(AND(B106="On",D106&lt;"2024-01-01"),"Yes","No")</f>
        <v>No</v>
      </c>
    </row>
    <row r="107" customFormat="false" ht="15" hidden="false" customHeight="false" outlineLevel="0" collapsed="false">
      <c r="A107" s="13" t="s">
        <v>851</v>
      </c>
      <c r="B107" s="21" t="s">
        <v>706</v>
      </c>
      <c r="C107" s="16" t="n">
        <v>0</v>
      </c>
      <c r="D107" s="21" t="s">
        <v>847</v>
      </c>
      <c r="E107" s="21" t="str">
        <f aca="false">IF(AND(B107="On",D107&lt;"2024-01-01"),"Yes","No")</f>
        <v>No</v>
      </c>
    </row>
    <row r="108" customFormat="false" ht="15" hidden="false" customHeight="false" outlineLevel="0" collapsed="false">
      <c r="A108" s="13" t="s">
        <v>852</v>
      </c>
      <c r="B108" s="21" t="s">
        <v>706</v>
      </c>
      <c r="C108" s="16" t="n">
        <v>0</v>
      </c>
      <c r="D108" s="21" t="s">
        <v>847</v>
      </c>
      <c r="E108" s="21" t="str">
        <f aca="false">IF(AND(B108="On",D108&lt;"2024-01-01"),"Yes","No")</f>
        <v>No</v>
      </c>
    </row>
    <row r="109" customFormat="false" ht="15" hidden="false" customHeight="false" outlineLevel="0" collapsed="false">
      <c r="A109" s="13" t="s">
        <v>853</v>
      </c>
      <c r="B109" s="21" t="s">
        <v>706</v>
      </c>
      <c r="C109" s="16" t="n">
        <v>0</v>
      </c>
      <c r="D109" s="21" t="s">
        <v>847</v>
      </c>
      <c r="E109" s="21" t="str">
        <f aca="false">IF(AND(B109="On",D109&lt;"2024-01-01"),"Yes","No")</f>
        <v>No</v>
      </c>
    </row>
    <row r="110" customFormat="false" ht="15" hidden="false" customHeight="false" outlineLevel="0" collapsed="false">
      <c r="A110" s="13" t="s">
        <v>854</v>
      </c>
      <c r="B110" s="21" t="s">
        <v>706</v>
      </c>
      <c r="C110" s="16" t="n">
        <v>0</v>
      </c>
      <c r="D110" s="21" t="s">
        <v>847</v>
      </c>
      <c r="E110" s="21" t="str">
        <f aca="false">IF(AND(B110="On",D110&lt;"2024-01-01"),"Yes","No")</f>
        <v>No</v>
      </c>
    </row>
    <row r="111" customFormat="false" ht="15" hidden="false" customHeight="false" outlineLevel="0" collapsed="false">
      <c r="A111" s="13" t="s">
        <v>855</v>
      </c>
      <c r="B111" s="21" t="s">
        <v>706</v>
      </c>
      <c r="C111" s="16" t="n">
        <v>0</v>
      </c>
      <c r="D111" s="21" t="s">
        <v>847</v>
      </c>
      <c r="E111" s="21" t="str">
        <f aca="false">IF(AND(B111="On",D111&lt;"2024-01-01"),"Yes","No")</f>
        <v>No</v>
      </c>
    </row>
    <row r="112" customFormat="false" ht="15" hidden="false" customHeight="false" outlineLevel="0" collapsed="false">
      <c r="A112" s="13" t="s">
        <v>856</v>
      </c>
      <c r="B112" s="21" t="s">
        <v>706</v>
      </c>
      <c r="C112" s="16" t="n">
        <v>0</v>
      </c>
      <c r="D112" s="21" t="s">
        <v>847</v>
      </c>
      <c r="E112" s="21" t="str">
        <f aca="false">IF(AND(B112="On",D112&lt;"2024-01-01"),"Yes","No")</f>
        <v>No</v>
      </c>
    </row>
    <row r="113" customFormat="false" ht="15" hidden="false" customHeight="false" outlineLevel="0" collapsed="false">
      <c r="A113" s="13" t="s">
        <v>857</v>
      </c>
      <c r="B113" s="21" t="s">
        <v>706</v>
      </c>
      <c r="C113" s="16" t="n">
        <v>0</v>
      </c>
      <c r="D113" s="21" t="s">
        <v>847</v>
      </c>
      <c r="E113" s="21" t="str">
        <f aca="false">IF(AND(B113="On",D113&lt;"2024-01-01"),"Yes","No")</f>
        <v>No</v>
      </c>
    </row>
    <row r="114" customFormat="false" ht="15" hidden="false" customHeight="false" outlineLevel="0" collapsed="false">
      <c r="A114" s="13" t="s">
        <v>858</v>
      </c>
      <c r="B114" s="21" t="s">
        <v>706</v>
      </c>
      <c r="C114" s="16" t="n">
        <v>0</v>
      </c>
      <c r="D114" s="21" t="s">
        <v>847</v>
      </c>
      <c r="E114" s="21" t="str">
        <f aca="false">IF(AND(B114="On",D114&lt;"2024-01-01"),"Yes","No")</f>
        <v>No</v>
      </c>
    </row>
    <row r="115" customFormat="false" ht="15" hidden="false" customHeight="false" outlineLevel="0" collapsed="false">
      <c r="A115" s="13" t="s">
        <v>859</v>
      </c>
      <c r="B115" s="21" t="s">
        <v>706</v>
      </c>
      <c r="C115" s="16" t="n">
        <v>0</v>
      </c>
      <c r="D115" s="21" t="s">
        <v>847</v>
      </c>
      <c r="E115" s="21" t="str">
        <f aca="false">IF(AND(B115="On",D115&lt;"2024-01-01"),"Yes","No")</f>
        <v>No</v>
      </c>
    </row>
    <row r="116" customFormat="false" ht="15" hidden="false" customHeight="false" outlineLevel="0" collapsed="false">
      <c r="A116" s="13" t="s">
        <v>860</v>
      </c>
      <c r="B116" s="21" t="s">
        <v>706</v>
      </c>
      <c r="C116" s="16" t="n">
        <v>0</v>
      </c>
      <c r="D116" s="21" t="s">
        <v>847</v>
      </c>
      <c r="E116" s="21" t="str">
        <f aca="false">IF(AND(B116="On",D116&lt;"2024-01-01"),"Yes","No")</f>
        <v>No</v>
      </c>
    </row>
    <row r="117" customFormat="false" ht="15" hidden="false" customHeight="false" outlineLevel="0" collapsed="false">
      <c r="A117" s="13" t="s">
        <v>861</v>
      </c>
      <c r="B117" s="21" t="s">
        <v>706</v>
      </c>
      <c r="C117" s="16" t="n">
        <v>0</v>
      </c>
      <c r="D117" s="21" t="s">
        <v>847</v>
      </c>
      <c r="E117" s="21" t="str">
        <f aca="false">IF(AND(B117="On",D117&lt;"2024-01-01"),"Yes","No")</f>
        <v>No</v>
      </c>
    </row>
    <row r="118" customFormat="false" ht="15" hidden="false" customHeight="false" outlineLevel="0" collapsed="false">
      <c r="A118" s="13" t="s">
        <v>862</v>
      </c>
      <c r="B118" s="21" t="s">
        <v>706</v>
      </c>
      <c r="C118" s="16" t="n">
        <v>0</v>
      </c>
      <c r="D118" s="21" t="s">
        <v>847</v>
      </c>
      <c r="E118" s="21" t="str">
        <f aca="false">IF(AND(B118="On",D118&lt;"2024-01-01"),"Yes","No")</f>
        <v>No</v>
      </c>
    </row>
    <row r="119" customFormat="false" ht="15" hidden="false" customHeight="false" outlineLevel="0" collapsed="false">
      <c r="A119" s="13" t="s">
        <v>863</v>
      </c>
      <c r="B119" s="21" t="s">
        <v>706</v>
      </c>
      <c r="C119" s="16" t="n">
        <v>0</v>
      </c>
      <c r="D119" s="21" t="s">
        <v>847</v>
      </c>
      <c r="E119" s="21" t="str">
        <f aca="false">IF(AND(B119="On",D119&lt;"2024-01-01"),"Yes","No")</f>
        <v>No</v>
      </c>
    </row>
    <row r="120" customFormat="false" ht="15" hidden="false" customHeight="false" outlineLevel="0" collapsed="false">
      <c r="A120" s="13" t="s">
        <v>864</v>
      </c>
      <c r="B120" s="21" t="s">
        <v>706</v>
      </c>
      <c r="C120" s="16" t="n">
        <v>0</v>
      </c>
      <c r="D120" s="21" t="s">
        <v>847</v>
      </c>
      <c r="E120" s="21" t="str">
        <f aca="false">IF(AND(B120="On",D120&lt;"2024-01-01"),"Yes","No")</f>
        <v>No</v>
      </c>
    </row>
    <row r="121" customFormat="false" ht="15" hidden="false" customHeight="false" outlineLevel="0" collapsed="false">
      <c r="A121" s="13" t="s">
        <v>865</v>
      </c>
      <c r="B121" s="21" t="s">
        <v>706</v>
      </c>
      <c r="C121" s="16" t="n">
        <v>0</v>
      </c>
      <c r="D121" s="21" t="s">
        <v>847</v>
      </c>
      <c r="E121" s="21" t="str">
        <f aca="false">IF(AND(B121="On",D121&lt;"2024-01-01"),"Yes","No")</f>
        <v>No</v>
      </c>
    </row>
    <row r="122" customFormat="false" ht="15" hidden="false" customHeight="false" outlineLevel="0" collapsed="false">
      <c r="A122" s="13" t="s">
        <v>866</v>
      </c>
      <c r="B122" s="21" t="s">
        <v>706</v>
      </c>
      <c r="C122" s="16" t="n">
        <v>0</v>
      </c>
      <c r="D122" s="21" t="s">
        <v>847</v>
      </c>
      <c r="E122" s="21" t="str">
        <f aca="false">IF(AND(B122="On",D122&lt;"2024-01-01"),"Yes","No")</f>
        <v>No</v>
      </c>
    </row>
    <row r="123" customFormat="false" ht="15" hidden="false" customHeight="false" outlineLevel="0" collapsed="false">
      <c r="A123" s="13" t="s">
        <v>867</v>
      </c>
      <c r="B123" s="21" t="s">
        <v>706</v>
      </c>
      <c r="C123" s="16" t="n">
        <v>0</v>
      </c>
      <c r="D123" s="21" t="s">
        <v>847</v>
      </c>
      <c r="E123" s="21" t="str">
        <f aca="false">IF(AND(B123="On",D123&lt;"2024-01-01"),"Yes","No")</f>
        <v>No</v>
      </c>
    </row>
    <row r="124" customFormat="false" ht="15" hidden="false" customHeight="false" outlineLevel="0" collapsed="false">
      <c r="A124" s="13" t="s">
        <v>868</v>
      </c>
      <c r="B124" s="21" t="s">
        <v>706</v>
      </c>
      <c r="C124" s="16" t="n">
        <v>0</v>
      </c>
      <c r="D124" s="21" t="s">
        <v>847</v>
      </c>
      <c r="E124" s="21" t="str">
        <f aca="false">IF(AND(B124="On",D124&lt;"2024-01-01"),"Yes","No")</f>
        <v>No</v>
      </c>
    </row>
    <row r="125" customFormat="false" ht="15" hidden="false" customHeight="false" outlineLevel="0" collapsed="false">
      <c r="A125" s="13" t="s">
        <v>869</v>
      </c>
      <c r="B125" s="21" t="s">
        <v>706</v>
      </c>
      <c r="C125" s="16" t="n">
        <v>0</v>
      </c>
      <c r="D125" s="21" t="s">
        <v>847</v>
      </c>
      <c r="E125" s="21" t="str">
        <f aca="false">IF(AND(B125="On",D125&lt;"2024-01-01"),"Yes","No")</f>
        <v>No</v>
      </c>
    </row>
    <row r="126" customFormat="false" ht="15" hidden="false" customHeight="false" outlineLevel="0" collapsed="false">
      <c r="A126" s="13" t="s">
        <v>870</v>
      </c>
      <c r="B126" s="21" t="s">
        <v>706</v>
      </c>
      <c r="C126" s="16" t="n">
        <v>0</v>
      </c>
      <c r="D126" s="21" t="s">
        <v>847</v>
      </c>
      <c r="E126" s="21" t="str">
        <f aca="false">IF(AND(B126="On",D126&lt;"2024-01-01"),"Yes","No")</f>
        <v>No</v>
      </c>
    </row>
    <row r="127" customFormat="false" ht="15" hidden="false" customHeight="false" outlineLevel="0" collapsed="false">
      <c r="A127" s="13" t="s">
        <v>871</v>
      </c>
      <c r="B127" s="21" t="s">
        <v>706</v>
      </c>
      <c r="C127" s="16" t="n">
        <v>0</v>
      </c>
      <c r="D127" s="21" t="s">
        <v>847</v>
      </c>
      <c r="E127" s="21" t="str">
        <f aca="false">IF(AND(B127="On",D127&lt;"2024-01-01"),"Yes","No")</f>
        <v>No</v>
      </c>
    </row>
    <row r="128" customFormat="false" ht="15" hidden="false" customHeight="false" outlineLevel="0" collapsed="false">
      <c r="A128" s="13" t="s">
        <v>872</v>
      </c>
      <c r="B128" s="21" t="s">
        <v>706</v>
      </c>
      <c r="C128" s="16" t="n">
        <v>0</v>
      </c>
      <c r="D128" s="21" t="s">
        <v>847</v>
      </c>
      <c r="E128" s="21" t="str">
        <f aca="false">IF(AND(B128="On",D128&lt;"2024-01-01"),"Yes","No")</f>
        <v>No</v>
      </c>
    </row>
    <row r="129" customFormat="false" ht="15" hidden="false" customHeight="false" outlineLevel="0" collapsed="false">
      <c r="A129" s="13" t="s">
        <v>873</v>
      </c>
      <c r="B129" s="21" t="s">
        <v>706</v>
      </c>
      <c r="C129" s="16" t="n">
        <v>0</v>
      </c>
      <c r="D129" s="21" t="s">
        <v>847</v>
      </c>
      <c r="E129" s="21" t="str">
        <f aca="false">IF(AND(B129="On",D129&lt;"2024-01-01"),"Yes","No")</f>
        <v>No</v>
      </c>
    </row>
    <row r="130" customFormat="false" ht="15" hidden="false" customHeight="false" outlineLevel="0" collapsed="false">
      <c r="A130" s="13" t="s">
        <v>874</v>
      </c>
      <c r="B130" s="21" t="s">
        <v>706</v>
      </c>
      <c r="C130" s="16" t="n">
        <v>0</v>
      </c>
      <c r="D130" s="21" t="s">
        <v>847</v>
      </c>
      <c r="E130" s="21" t="str">
        <f aca="false">IF(AND(B130="On",D130&lt;"2024-01-01"),"Yes","No")</f>
        <v>No</v>
      </c>
    </row>
    <row r="131" customFormat="false" ht="15" hidden="false" customHeight="false" outlineLevel="0" collapsed="false">
      <c r="A131" s="13" t="s">
        <v>875</v>
      </c>
      <c r="B131" s="21" t="s">
        <v>706</v>
      </c>
      <c r="C131" s="16" t="n">
        <v>0</v>
      </c>
      <c r="D131" s="21" t="s">
        <v>847</v>
      </c>
      <c r="E131" s="21" t="str">
        <f aca="false">IF(AND(B131="On",D131&lt;"2024-01-01"),"Yes","No")</f>
        <v>No</v>
      </c>
    </row>
    <row r="132" customFormat="false" ht="15" hidden="false" customHeight="false" outlineLevel="0" collapsed="false">
      <c r="A132" s="13" t="s">
        <v>876</v>
      </c>
      <c r="B132" s="21" t="s">
        <v>706</v>
      </c>
      <c r="C132" s="16" t="n">
        <v>0</v>
      </c>
      <c r="D132" s="21" t="s">
        <v>847</v>
      </c>
      <c r="E132" s="21" t="str">
        <f aca="false">IF(AND(B132="On",D132&lt;"2024-01-01"),"Yes","No")</f>
        <v>No</v>
      </c>
    </row>
    <row r="133" customFormat="false" ht="15" hidden="false" customHeight="false" outlineLevel="0" collapsed="false">
      <c r="A133" s="13" t="s">
        <v>877</v>
      </c>
      <c r="B133" s="21" t="s">
        <v>706</v>
      </c>
      <c r="C133" s="16" t="n">
        <v>0</v>
      </c>
      <c r="D133" s="21" t="s">
        <v>847</v>
      </c>
      <c r="E133" s="21" t="str">
        <f aca="false">IF(AND(B133="On",D133&lt;"2024-01-01"),"Yes","No")</f>
        <v>No</v>
      </c>
    </row>
    <row r="134" customFormat="false" ht="15" hidden="false" customHeight="false" outlineLevel="0" collapsed="false">
      <c r="A134" s="13" t="s">
        <v>878</v>
      </c>
      <c r="B134" s="21" t="s">
        <v>706</v>
      </c>
      <c r="C134" s="16" t="n">
        <v>0</v>
      </c>
      <c r="D134" s="21" t="s">
        <v>847</v>
      </c>
      <c r="E134" s="21" t="str">
        <f aca="false">IF(AND(B134="On",D134&lt;"2024-01-01"),"Yes","No")</f>
        <v>No</v>
      </c>
    </row>
    <row r="135" customFormat="false" ht="15" hidden="false" customHeight="false" outlineLevel="0" collapsed="false">
      <c r="A135" s="13" t="s">
        <v>879</v>
      </c>
      <c r="B135" s="21" t="s">
        <v>706</v>
      </c>
      <c r="C135" s="16" t="n">
        <v>0</v>
      </c>
      <c r="D135" s="21" t="s">
        <v>847</v>
      </c>
      <c r="E135" s="21" t="str">
        <f aca="false">IF(AND(B135="On",D135&lt;"2024-01-01"),"Yes","No")</f>
        <v>No</v>
      </c>
    </row>
    <row r="136" customFormat="false" ht="15" hidden="false" customHeight="false" outlineLevel="0" collapsed="false">
      <c r="A136" s="13" t="s">
        <v>880</v>
      </c>
      <c r="B136" s="21" t="s">
        <v>706</v>
      </c>
      <c r="C136" s="16" t="n">
        <v>0</v>
      </c>
      <c r="D136" s="21" t="s">
        <v>847</v>
      </c>
      <c r="E136" s="21" t="str">
        <f aca="false">IF(AND(B136="On",D136&lt;"2024-01-01"),"Yes","No")</f>
        <v>No</v>
      </c>
    </row>
    <row r="137" customFormat="false" ht="15" hidden="false" customHeight="false" outlineLevel="0" collapsed="false">
      <c r="A137" s="13" t="s">
        <v>881</v>
      </c>
      <c r="B137" s="21" t="s">
        <v>706</v>
      </c>
      <c r="C137" s="16" t="n">
        <v>0</v>
      </c>
      <c r="D137" s="21" t="s">
        <v>847</v>
      </c>
      <c r="E137" s="21" t="str">
        <f aca="false">IF(AND(B137="On",D137&lt;"2024-01-01"),"Yes","No")</f>
        <v>No</v>
      </c>
    </row>
    <row r="138" customFormat="false" ht="15" hidden="false" customHeight="false" outlineLevel="0" collapsed="false">
      <c r="A138" s="13" t="s">
        <v>882</v>
      </c>
      <c r="B138" s="21" t="s">
        <v>706</v>
      </c>
      <c r="C138" s="16" t="n">
        <v>0</v>
      </c>
      <c r="D138" s="21" t="s">
        <v>847</v>
      </c>
      <c r="E138" s="21" t="str">
        <f aca="false">IF(AND(B138="On",D138&lt;"2024-01-01"),"Yes","No")</f>
        <v>No</v>
      </c>
    </row>
    <row r="139" customFormat="false" ht="15" hidden="false" customHeight="false" outlineLevel="0" collapsed="false">
      <c r="A139" s="13" t="s">
        <v>883</v>
      </c>
      <c r="B139" s="21" t="s">
        <v>706</v>
      </c>
      <c r="C139" s="16" t="n">
        <v>0</v>
      </c>
      <c r="D139" s="21" t="s">
        <v>847</v>
      </c>
      <c r="E139" s="21" t="str">
        <f aca="false">IF(AND(B139="On",D139&lt;"2024-01-01"),"Yes","No")</f>
        <v>No</v>
      </c>
    </row>
    <row r="140" customFormat="false" ht="15" hidden="false" customHeight="false" outlineLevel="0" collapsed="false">
      <c r="A140" s="13" t="s">
        <v>884</v>
      </c>
      <c r="B140" s="21" t="s">
        <v>706</v>
      </c>
      <c r="C140" s="16" t="n">
        <v>0</v>
      </c>
      <c r="D140" s="21" t="s">
        <v>847</v>
      </c>
      <c r="E140" s="21" t="str">
        <f aca="false">IF(AND(B140="On",D140&lt;"2024-01-01"),"Yes","No")</f>
        <v>No</v>
      </c>
    </row>
    <row r="141" customFormat="false" ht="15" hidden="false" customHeight="false" outlineLevel="0" collapsed="false">
      <c r="A141" s="13" t="s">
        <v>885</v>
      </c>
      <c r="B141" s="21" t="s">
        <v>706</v>
      </c>
      <c r="C141" s="16" t="n">
        <v>0</v>
      </c>
      <c r="D141" s="21" t="s">
        <v>847</v>
      </c>
      <c r="E141" s="21" t="str">
        <f aca="false">IF(AND(B141="On",D141&lt;"2024-01-01"),"Yes","No")</f>
        <v>No</v>
      </c>
    </row>
    <row r="142" customFormat="false" ht="15" hidden="false" customHeight="false" outlineLevel="0" collapsed="false">
      <c r="A142" s="13" t="s">
        <v>886</v>
      </c>
      <c r="B142" s="21" t="s">
        <v>706</v>
      </c>
      <c r="C142" s="16" t="n">
        <v>0</v>
      </c>
      <c r="D142" s="21" t="s">
        <v>847</v>
      </c>
      <c r="E142" s="21" t="str">
        <f aca="false">IF(AND(B142="On",D142&lt;"2024-01-01"),"Yes","No")</f>
        <v>No</v>
      </c>
    </row>
    <row r="143" customFormat="false" ht="15" hidden="false" customHeight="false" outlineLevel="0" collapsed="false">
      <c r="A143" s="13" t="s">
        <v>887</v>
      </c>
      <c r="B143" s="21" t="s">
        <v>706</v>
      </c>
      <c r="C143" s="16" t="n">
        <v>0</v>
      </c>
      <c r="D143" s="21" t="s">
        <v>847</v>
      </c>
      <c r="E143" s="21" t="str">
        <f aca="false">IF(AND(B143="On",D143&lt;"2024-01-01"),"Yes","No")</f>
        <v>No</v>
      </c>
    </row>
    <row r="144" customFormat="false" ht="15" hidden="false" customHeight="false" outlineLevel="0" collapsed="false">
      <c r="A144" s="13" t="s">
        <v>888</v>
      </c>
      <c r="B144" s="21" t="s">
        <v>706</v>
      </c>
      <c r="C144" s="16" t="n">
        <v>0</v>
      </c>
      <c r="D144" s="21" t="s">
        <v>847</v>
      </c>
      <c r="E144" s="21" t="str">
        <f aca="false">IF(AND(B144="On",D144&lt;"2024-01-01"),"Yes","No")</f>
        <v>No</v>
      </c>
    </row>
    <row r="145" customFormat="false" ht="15" hidden="false" customHeight="false" outlineLevel="0" collapsed="false">
      <c r="A145" s="13" t="s">
        <v>889</v>
      </c>
      <c r="B145" s="21" t="s">
        <v>706</v>
      </c>
      <c r="C145" s="16" t="n">
        <v>0</v>
      </c>
      <c r="D145" s="21" t="s">
        <v>847</v>
      </c>
      <c r="E145" s="21" t="str">
        <f aca="false">IF(AND(B145="On",D145&lt;"2024-01-01"),"Yes","No")</f>
        <v>No</v>
      </c>
    </row>
    <row r="146" customFormat="false" ht="15" hidden="false" customHeight="false" outlineLevel="0" collapsed="false">
      <c r="A146" s="13" t="s">
        <v>890</v>
      </c>
      <c r="B146" s="21" t="s">
        <v>706</v>
      </c>
      <c r="C146" s="16" t="n">
        <v>0</v>
      </c>
      <c r="D146" s="21" t="s">
        <v>847</v>
      </c>
      <c r="E146" s="21" t="str">
        <f aca="false">IF(AND(B146="On",D146&lt;"2024-01-01"),"Yes","No")</f>
        <v>No</v>
      </c>
    </row>
    <row r="147" customFormat="false" ht="15" hidden="false" customHeight="false" outlineLevel="0" collapsed="false">
      <c r="A147" s="13" t="s">
        <v>891</v>
      </c>
      <c r="B147" s="21" t="s">
        <v>706</v>
      </c>
      <c r="C147" s="16" t="n">
        <v>0</v>
      </c>
      <c r="D147" s="21" t="s">
        <v>847</v>
      </c>
      <c r="E147" s="21" t="str">
        <f aca="false">IF(AND(B147="On",D147&lt;"2024-01-01"),"Yes","No")</f>
        <v>No</v>
      </c>
    </row>
    <row r="148" customFormat="false" ht="15" hidden="false" customHeight="false" outlineLevel="0" collapsed="false">
      <c r="A148" s="13" t="s">
        <v>892</v>
      </c>
      <c r="B148" s="21" t="s">
        <v>706</v>
      </c>
      <c r="C148" s="16" t="n">
        <v>0</v>
      </c>
      <c r="D148" s="21" t="s">
        <v>847</v>
      </c>
      <c r="E148" s="21" t="str">
        <f aca="false">IF(AND(B148="On",D148&lt;"2024-01-01"),"Yes","No")</f>
        <v>No</v>
      </c>
    </row>
    <row r="149" customFormat="false" ht="15" hidden="false" customHeight="false" outlineLevel="0" collapsed="false">
      <c r="A149" s="13" t="s">
        <v>893</v>
      </c>
      <c r="B149" s="21" t="s">
        <v>706</v>
      </c>
      <c r="C149" s="16" t="n">
        <v>0</v>
      </c>
      <c r="D149" s="21" t="s">
        <v>847</v>
      </c>
      <c r="E149" s="21" t="str">
        <f aca="false">IF(AND(B149="On",D149&lt;"2024-01-01"),"Yes","No")</f>
        <v>No</v>
      </c>
    </row>
    <row r="150" customFormat="false" ht="15" hidden="false" customHeight="false" outlineLevel="0" collapsed="false">
      <c r="A150" s="13" t="s">
        <v>894</v>
      </c>
      <c r="B150" s="21" t="s">
        <v>706</v>
      </c>
      <c r="C150" s="16" t="n">
        <v>0</v>
      </c>
      <c r="D150" s="21" t="s">
        <v>847</v>
      </c>
      <c r="E150" s="21" t="str">
        <f aca="false">IF(AND(B150="On",D150&lt;"2024-01-01"),"Yes","No")</f>
        <v>No</v>
      </c>
    </row>
    <row r="151" customFormat="false" ht="15" hidden="false" customHeight="false" outlineLevel="0" collapsed="false">
      <c r="A151" s="13" t="s">
        <v>895</v>
      </c>
      <c r="B151" s="21" t="s">
        <v>706</v>
      </c>
      <c r="C151" s="16" t="n">
        <v>0</v>
      </c>
      <c r="D151" s="21" t="s">
        <v>847</v>
      </c>
      <c r="E151" s="21" t="str">
        <f aca="false">IF(AND(B151="On",D151&lt;"2024-01-01"),"Yes","No")</f>
        <v>No</v>
      </c>
    </row>
    <row r="152" customFormat="false" ht="15" hidden="false" customHeight="false" outlineLevel="0" collapsed="false">
      <c r="A152" s="13" t="s">
        <v>896</v>
      </c>
      <c r="B152" s="21" t="s">
        <v>706</v>
      </c>
      <c r="C152" s="16" t="n">
        <v>0</v>
      </c>
      <c r="D152" s="21" t="s">
        <v>847</v>
      </c>
      <c r="E152" s="21" t="str">
        <f aca="false">IF(AND(B152="On",D152&lt;"2024-01-01"),"Yes","No")</f>
        <v>No</v>
      </c>
    </row>
    <row r="153" customFormat="false" ht="15" hidden="false" customHeight="false" outlineLevel="0" collapsed="false">
      <c r="A153" s="13" t="s">
        <v>897</v>
      </c>
      <c r="B153" s="21" t="s">
        <v>706</v>
      </c>
      <c r="C153" s="16" t="n">
        <v>0</v>
      </c>
      <c r="D153" s="21" t="s">
        <v>847</v>
      </c>
      <c r="E153" s="21" t="str">
        <f aca="false">IF(AND(B153="On",D153&lt;"2024-01-01"),"Yes","No")</f>
        <v>No</v>
      </c>
    </row>
    <row r="154" customFormat="false" ht="15" hidden="false" customHeight="false" outlineLevel="0" collapsed="false">
      <c r="A154" s="13" t="s">
        <v>898</v>
      </c>
      <c r="B154" s="21" t="s">
        <v>706</v>
      </c>
      <c r="C154" s="16" t="n">
        <v>0</v>
      </c>
      <c r="D154" s="21" t="s">
        <v>847</v>
      </c>
      <c r="E154" s="21" t="str">
        <f aca="false">IF(AND(B154="On",D154&lt;"2024-01-01"),"Yes","No")</f>
        <v>No</v>
      </c>
    </row>
    <row r="155" customFormat="false" ht="15" hidden="false" customHeight="false" outlineLevel="0" collapsed="false">
      <c r="A155" s="13" t="s">
        <v>899</v>
      </c>
      <c r="B155" s="21" t="s">
        <v>706</v>
      </c>
      <c r="C155" s="16" t="n">
        <v>0</v>
      </c>
      <c r="D155" s="21" t="s">
        <v>847</v>
      </c>
      <c r="E155" s="21" t="str">
        <f aca="false">IF(AND(B155="On",D155&lt;"2024-01-01"),"Yes","No")</f>
        <v>No</v>
      </c>
    </row>
    <row r="156" customFormat="false" ht="15" hidden="false" customHeight="false" outlineLevel="0" collapsed="false">
      <c r="A156" s="13" t="s">
        <v>900</v>
      </c>
      <c r="B156" s="21" t="s">
        <v>706</v>
      </c>
      <c r="C156" s="16" t="n">
        <v>0</v>
      </c>
      <c r="D156" s="21" t="s">
        <v>847</v>
      </c>
      <c r="E156" s="21" t="str">
        <f aca="false">IF(AND(B156="On",D156&lt;"2024-01-01"),"Yes","No")</f>
        <v>No</v>
      </c>
    </row>
    <row r="157" customFormat="false" ht="15" hidden="false" customHeight="false" outlineLevel="0" collapsed="false">
      <c r="A157" s="13" t="s">
        <v>901</v>
      </c>
      <c r="B157" s="21" t="s">
        <v>706</v>
      </c>
      <c r="C157" s="16" t="n">
        <v>0</v>
      </c>
      <c r="D157" s="21" t="s">
        <v>847</v>
      </c>
      <c r="E157" s="21" t="str">
        <f aca="false">IF(AND(B157="On",D157&lt;"2024-01-01"),"Yes","No")</f>
        <v>No</v>
      </c>
    </row>
    <row r="158" customFormat="false" ht="15" hidden="false" customHeight="false" outlineLevel="0" collapsed="false">
      <c r="A158" s="13" t="s">
        <v>902</v>
      </c>
      <c r="B158" s="21" t="s">
        <v>706</v>
      </c>
      <c r="C158" s="16" t="n">
        <v>0</v>
      </c>
      <c r="D158" s="21" t="s">
        <v>847</v>
      </c>
      <c r="E158" s="21" t="str">
        <f aca="false">IF(AND(B158="On",D158&lt;"2024-01-01"),"Yes","No")</f>
        <v>No</v>
      </c>
    </row>
    <row r="159" customFormat="false" ht="15" hidden="false" customHeight="false" outlineLevel="0" collapsed="false">
      <c r="A159" s="13" t="s">
        <v>903</v>
      </c>
      <c r="B159" s="21" t="s">
        <v>706</v>
      </c>
      <c r="C159" s="16" t="n">
        <v>0</v>
      </c>
      <c r="D159" s="21" t="s">
        <v>847</v>
      </c>
      <c r="E159" s="21" t="str">
        <f aca="false">IF(AND(B159="On",D159&lt;"2024-01-01"),"Yes","No")</f>
        <v>No</v>
      </c>
    </row>
    <row r="160" customFormat="false" ht="15" hidden="false" customHeight="false" outlineLevel="0" collapsed="false">
      <c r="A160" s="13" t="s">
        <v>904</v>
      </c>
      <c r="B160" s="21" t="s">
        <v>706</v>
      </c>
      <c r="C160" s="16" t="n">
        <v>0</v>
      </c>
      <c r="D160" s="21" t="s">
        <v>847</v>
      </c>
      <c r="E160" s="21" t="str">
        <f aca="false">IF(AND(B160="On",D160&lt;"2024-01-01"),"Yes","No")</f>
        <v>No</v>
      </c>
    </row>
    <row r="161" customFormat="false" ht="15" hidden="false" customHeight="false" outlineLevel="0" collapsed="false">
      <c r="A161" s="13" t="s">
        <v>905</v>
      </c>
      <c r="B161" s="21" t="s">
        <v>706</v>
      </c>
      <c r="C161" s="16" t="n">
        <v>0</v>
      </c>
      <c r="D161" s="21" t="s">
        <v>847</v>
      </c>
      <c r="E161" s="21" t="str">
        <f aca="false">IF(AND(B161="On",D161&lt;"2024-01-01"),"Yes","No")</f>
        <v>No</v>
      </c>
    </row>
    <row r="162" customFormat="false" ht="15" hidden="false" customHeight="false" outlineLevel="0" collapsed="false">
      <c r="A162" s="13" t="s">
        <v>906</v>
      </c>
      <c r="B162" s="21" t="s">
        <v>706</v>
      </c>
      <c r="C162" s="16" t="n">
        <v>0</v>
      </c>
      <c r="D162" s="21" t="s">
        <v>847</v>
      </c>
      <c r="E162" s="21" t="str">
        <f aca="false">IF(AND(B162="On",D162&lt;"2024-01-01"),"Yes","No")</f>
        <v>No</v>
      </c>
    </row>
    <row r="163" customFormat="false" ht="15" hidden="false" customHeight="false" outlineLevel="0" collapsed="false">
      <c r="A163" s="13" t="s">
        <v>907</v>
      </c>
      <c r="B163" s="21" t="s">
        <v>706</v>
      </c>
      <c r="C163" s="16" t="n">
        <v>0</v>
      </c>
      <c r="D163" s="21" t="s">
        <v>847</v>
      </c>
      <c r="E163" s="21" t="str">
        <f aca="false">IF(AND(B163="On",D163&lt;"2024-01-01"),"Yes","No")</f>
        <v>No</v>
      </c>
    </row>
    <row r="164" customFormat="false" ht="15" hidden="false" customHeight="false" outlineLevel="0" collapsed="false">
      <c r="A164" s="13" t="s">
        <v>908</v>
      </c>
      <c r="B164" s="21" t="s">
        <v>706</v>
      </c>
      <c r="C164" s="16" t="n">
        <v>0</v>
      </c>
      <c r="D164" s="21" t="s">
        <v>847</v>
      </c>
      <c r="E164" s="21" t="str">
        <f aca="false">IF(AND(B164="On",D164&lt;"2024-01-01"),"Yes","No")</f>
        <v>No</v>
      </c>
    </row>
    <row r="165" customFormat="false" ht="15" hidden="false" customHeight="false" outlineLevel="0" collapsed="false">
      <c r="A165" s="13" t="s">
        <v>909</v>
      </c>
      <c r="B165" s="21" t="s">
        <v>706</v>
      </c>
      <c r="C165" s="16" t="n">
        <v>0</v>
      </c>
      <c r="D165" s="21" t="s">
        <v>847</v>
      </c>
      <c r="E165" s="21" t="str">
        <f aca="false">IF(AND(B165="On",D165&lt;"2024-01-01"),"Yes","No")</f>
        <v>No</v>
      </c>
    </row>
    <row r="166" customFormat="false" ht="15" hidden="false" customHeight="false" outlineLevel="0" collapsed="false">
      <c r="A166" s="13" t="s">
        <v>910</v>
      </c>
      <c r="B166" s="21" t="s">
        <v>706</v>
      </c>
      <c r="C166" s="16" t="n">
        <v>0</v>
      </c>
      <c r="D166" s="21" t="s">
        <v>847</v>
      </c>
      <c r="E166" s="21" t="str">
        <f aca="false">IF(AND(B166="On",D166&lt;"2024-01-01"),"Yes","No")</f>
        <v>No</v>
      </c>
    </row>
    <row r="167" customFormat="false" ht="15" hidden="false" customHeight="false" outlineLevel="0" collapsed="false">
      <c r="A167" s="13" t="s">
        <v>911</v>
      </c>
      <c r="B167" s="21" t="s">
        <v>706</v>
      </c>
      <c r="C167" s="16" t="n">
        <v>0</v>
      </c>
      <c r="D167" s="21" t="s">
        <v>847</v>
      </c>
      <c r="E167" s="21" t="str">
        <f aca="false">IF(AND(B167="On",D167&lt;"2024-01-01"),"Yes","No")</f>
        <v>No</v>
      </c>
    </row>
    <row r="168" customFormat="false" ht="15" hidden="false" customHeight="false" outlineLevel="0" collapsed="false">
      <c r="A168" s="13" t="s">
        <v>912</v>
      </c>
      <c r="B168" s="21" t="s">
        <v>706</v>
      </c>
      <c r="C168" s="16" t="n">
        <v>0</v>
      </c>
      <c r="D168" s="21" t="s">
        <v>847</v>
      </c>
      <c r="E168" s="21" t="str">
        <f aca="false">IF(AND(B168="On",D168&lt;"2024-01-01"),"Yes","No")</f>
        <v>No</v>
      </c>
    </row>
    <row r="169" customFormat="false" ht="15" hidden="false" customHeight="false" outlineLevel="0" collapsed="false">
      <c r="A169" s="13" t="s">
        <v>913</v>
      </c>
      <c r="B169" s="21" t="s">
        <v>706</v>
      </c>
      <c r="C169" s="16" t="n">
        <v>0</v>
      </c>
      <c r="D169" s="21" t="s">
        <v>847</v>
      </c>
      <c r="E169" s="21" t="str">
        <f aca="false">IF(AND(B169="On",D169&lt;"2024-01-01"),"Yes","No")</f>
        <v>No</v>
      </c>
    </row>
    <row r="170" customFormat="false" ht="15" hidden="false" customHeight="false" outlineLevel="0" collapsed="false">
      <c r="A170" s="13" t="s">
        <v>914</v>
      </c>
      <c r="B170" s="21" t="s">
        <v>706</v>
      </c>
      <c r="C170" s="16" t="n">
        <v>0</v>
      </c>
      <c r="D170" s="21" t="s">
        <v>847</v>
      </c>
      <c r="E170" s="21" t="str">
        <f aca="false">IF(AND(B170="On",D170&lt;"2024-01-01"),"Yes","No")</f>
        <v>No</v>
      </c>
    </row>
    <row r="171" customFormat="false" ht="15" hidden="false" customHeight="false" outlineLevel="0" collapsed="false">
      <c r="A171" s="13" t="s">
        <v>915</v>
      </c>
      <c r="B171" s="21" t="s">
        <v>706</v>
      </c>
      <c r="C171" s="16" t="n">
        <v>0</v>
      </c>
      <c r="D171" s="21" t="s">
        <v>847</v>
      </c>
      <c r="E171" s="21" t="str">
        <f aca="false">IF(AND(B171="On",D171&lt;"2024-01-01"),"Yes","No")</f>
        <v>No</v>
      </c>
    </row>
    <row r="172" customFormat="false" ht="15" hidden="false" customHeight="false" outlineLevel="0" collapsed="false">
      <c r="A172" s="13" t="s">
        <v>916</v>
      </c>
      <c r="B172" s="21" t="s">
        <v>706</v>
      </c>
      <c r="C172" s="16" t="n">
        <v>0</v>
      </c>
      <c r="D172" s="21" t="s">
        <v>847</v>
      </c>
      <c r="E172" s="21" t="str">
        <f aca="false">IF(AND(B172="On",D172&lt;"2024-01-01"),"Yes","No")</f>
        <v>No</v>
      </c>
    </row>
    <row r="173" customFormat="false" ht="15" hidden="false" customHeight="false" outlineLevel="0" collapsed="false">
      <c r="A173" s="13" t="s">
        <v>917</v>
      </c>
      <c r="B173" s="21" t="s">
        <v>706</v>
      </c>
      <c r="C173" s="16" t="n">
        <v>0</v>
      </c>
      <c r="D173" s="21" t="s">
        <v>847</v>
      </c>
      <c r="E173" s="21" t="str">
        <f aca="false">IF(AND(B173="On",D173&lt;"2024-01-01"),"Yes","No")</f>
        <v>No</v>
      </c>
    </row>
    <row r="174" customFormat="false" ht="15" hidden="false" customHeight="false" outlineLevel="0" collapsed="false">
      <c r="A174" s="13" t="s">
        <v>918</v>
      </c>
      <c r="B174" s="21" t="s">
        <v>706</v>
      </c>
      <c r="C174" s="16" t="n">
        <v>0</v>
      </c>
      <c r="D174" s="21" t="s">
        <v>847</v>
      </c>
      <c r="E174" s="21" t="str">
        <f aca="false">IF(AND(B174="On",D174&lt;"2024-01-01"),"Yes","No")</f>
        <v>No</v>
      </c>
    </row>
    <row r="175" customFormat="false" ht="15" hidden="false" customHeight="false" outlineLevel="0" collapsed="false">
      <c r="A175" s="13" t="s">
        <v>919</v>
      </c>
      <c r="B175" s="21" t="s">
        <v>706</v>
      </c>
      <c r="C175" s="16" t="n">
        <v>0</v>
      </c>
      <c r="D175" s="21" t="s">
        <v>847</v>
      </c>
      <c r="E175" s="21" t="str">
        <f aca="false">IF(AND(B175="On",D175&lt;"2024-01-01"),"Yes","No")</f>
        <v>No</v>
      </c>
    </row>
    <row r="176" customFormat="false" ht="15" hidden="false" customHeight="false" outlineLevel="0" collapsed="false">
      <c r="A176" s="13" t="s">
        <v>920</v>
      </c>
      <c r="B176" s="21" t="s">
        <v>706</v>
      </c>
      <c r="C176" s="16" t="n">
        <v>0</v>
      </c>
      <c r="D176" s="21" t="s">
        <v>847</v>
      </c>
      <c r="E176" s="21" t="str">
        <f aca="false">IF(AND(B176="On",D176&lt;"2024-01-01"),"Yes","No")</f>
        <v>No</v>
      </c>
    </row>
    <row r="177" customFormat="false" ht="15" hidden="false" customHeight="false" outlineLevel="0" collapsed="false">
      <c r="A177" s="13" t="s">
        <v>716</v>
      </c>
      <c r="B177" s="21" t="s">
        <v>706</v>
      </c>
      <c r="C177" s="16" t="n">
        <v>0</v>
      </c>
      <c r="D177" s="21" t="s">
        <v>921</v>
      </c>
      <c r="E177" s="21" t="str">
        <f aca="false">IF(AND(B177="On",D177&lt;"2024-01-01"),"Yes","No")</f>
        <v>No</v>
      </c>
    </row>
    <row r="178" customFormat="false" ht="15" hidden="false" customHeight="false" outlineLevel="0" collapsed="false">
      <c r="A178" s="13" t="s">
        <v>922</v>
      </c>
      <c r="B178" s="21" t="s">
        <v>706</v>
      </c>
      <c r="C178" s="16" t="n">
        <v>0</v>
      </c>
      <c r="D178" s="21" t="s">
        <v>923</v>
      </c>
      <c r="E178" s="21" t="str">
        <f aca="false">IF(AND(B178="On",D178&lt;"2024-01-01"),"Yes","No")</f>
        <v>No</v>
      </c>
    </row>
    <row r="179" customFormat="false" ht="15" hidden="false" customHeight="false" outlineLevel="0" collapsed="false">
      <c r="A179" s="13" t="s">
        <v>716</v>
      </c>
      <c r="B179" s="21" t="s">
        <v>706</v>
      </c>
      <c r="C179" s="16" t="n">
        <v>0</v>
      </c>
      <c r="D179" s="21" t="s">
        <v>924</v>
      </c>
      <c r="E179" s="21" t="str">
        <f aca="false">IF(AND(B179="On",D179&lt;"2024-01-01"),"Yes","No")</f>
        <v>No</v>
      </c>
    </row>
    <row r="180" customFormat="false" ht="15" hidden="false" customHeight="false" outlineLevel="0" collapsed="false">
      <c r="A180" s="13" t="s">
        <v>925</v>
      </c>
      <c r="B180" s="21" t="s">
        <v>706</v>
      </c>
      <c r="C180" s="16" t="n">
        <v>0</v>
      </c>
      <c r="D180" s="21" t="s">
        <v>924</v>
      </c>
      <c r="E180" s="21" t="str">
        <f aca="false">IF(AND(B180="On",D180&lt;"2024-01-01"),"Yes","No")</f>
        <v>No</v>
      </c>
    </row>
    <row r="181" customFormat="false" ht="15" hidden="false" customHeight="false" outlineLevel="0" collapsed="false">
      <c r="A181" s="13" t="s">
        <v>926</v>
      </c>
      <c r="B181" s="21" t="s">
        <v>706</v>
      </c>
      <c r="C181" s="16" t="n">
        <v>0</v>
      </c>
      <c r="D181" s="21" t="s">
        <v>924</v>
      </c>
      <c r="E181" s="21" t="str">
        <f aca="false">IF(AND(B181="On",D181&lt;"2024-01-01"),"Yes","No")</f>
        <v>No</v>
      </c>
    </row>
    <row r="182" customFormat="false" ht="15" hidden="false" customHeight="false" outlineLevel="0" collapsed="false">
      <c r="A182" s="13" t="s">
        <v>927</v>
      </c>
      <c r="B182" s="21" t="s">
        <v>706</v>
      </c>
      <c r="C182" s="16" t="n">
        <v>0</v>
      </c>
      <c r="D182" s="21" t="s">
        <v>924</v>
      </c>
      <c r="E182" s="21" t="str">
        <f aca="false">IF(AND(B182="On",D182&lt;"2024-01-01"),"Yes","No")</f>
        <v>No</v>
      </c>
    </row>
    <row r="183" customFormat="false" ht="15" hidden="false" customHeight="false" outlineLevel="0" collapsed="false">
      <c r="A183" s="13" t="s">
        <v>928</v>
      </c>
      <c r="B183" s="21" t="s">
        <v>706</v>
      </c>
      <c r="C183" s="16" t="n">
        <v>0</v>
      </c>
      <c r="D183" s="21" t="s">
        <v>929</v>
      </c>
      <c r="E183" s="21" t="str">
        <f aca="false">IF(AND(B183="On",D183&lt;"2024-01-01"),"Yes","No")</f>
        <v>No</v>
      </c>
    </row>
    <row r="184" customFormat="false" ht="15" hidden="false" customHeight="false" outlineLevel="0" collapsed="false">
      <c r="A184" s="13" t="s">
        <v>716</v>
      </c>
      <c r="B184" s="21" t="s">
        <v>706</v>
      </c>
      <c r="C184" s="16" t="n">
        <v>0</v>
      </c>
      <c r="D184" s="21" t="s">
        <v>930</v>
      </c>
      <c r="E184" s="21" t="str">
        <f aca="false">IF(AND(B184="On",D184&lt;"2024-01-01"),"Yes","No")</f>
        <v>No</v>
      </c>
    </row>
    <row r="185" customFormat="false" ht="15" hidden="false" customHeight="false" outlineLevel="0" collapsed="false">
      <c r="A185" s="13" t="s">
        <v>716</v>
      </c>
      <c r="B185" s="21" t="s">
        <v>706</v>
      </c>
      <c r="C185" s="16" t="n">
        <v>0</v>
      </c>
      <c r="D185" s="21" t="s">
        <v>931</v>
      </c>
      <c r="E185" s="21" t="str">
        <f aca="false">IF(AND(B185="On",D185&lt;"2024-01-01"),"Yes","No")</f>
        <v>No</v>
      </c>
    </row>
    <row r="186" customFormat="false" ht="15" hidden="false" customHeight="false" outlineLevel="0" collapsed="false">
      <c r="A186" s="13" t="s">
        <v>932</v>
      </c>
      <c r="B186" s="21" t="s">
        <v>706</v>
      </c>
      <c r="C186" s="16" t="n">
        <v>0</v>
      </c>
      <c r="D186" s="21" t="s">
        <v>933</v>
      </c>
      <c r="E186" s="21" t="str">
        <f aca="false">IF(AND(B186="On",D186&lt;"2024-01-01"),"Yes","No")</f>
        <v>No</v>
      </c>
    </row>
    <row r="187" customFormat="false" ht="15" hidden="false" customHeight="false" outlineLevel="0" collapsed="false">
      <c r="A187" s="13" t="s">
        <v>716</v>
      </c>
      <c r="B187" s="21" t="s">
        <v>706</v>
      </c>
      <c r="C187" s="16" t="n">
        <v>0</v>
      </c>
      <c r="D187" s="21" t="s">
        <v>934</v>
      </c>
      <c r="E187" s="21" t="str">
        <f aca="false">IF(AND(B187="On",D187&lt;"2024-01-01"),"Yes","No")</f>
        <v>No</v>
      </c>
    </row>
    <row r="188" customFormat="false" ht="15" hidden="false" customHeight="false" outlineLevel="0" collapsed="false">
      <c r="A188" s="13" t="s">
        <v>935</v>
      </c>
      <c r="B188" s="21" t="s">
        <v>706</v>
      </c>
      <c r="C188" s="16" t="n">
        <v>0</v>
      </c>
      <c r="D188" s="21" t="s">
        <v>936</v>
      </c>
      <c r="E188" s="21" t="str">
        <f aca="false">IF(AND(B188="On",D188&lt;"2024-01-01"),"Yes","No")</f>
        <v>No</v>
      </c>
    </row>
    <row r="189" customFormat="false" ht="15" hidden="false" customHeight="false" outlineLevel="0" collapsed="false">
      <c r="A189" s="13" t="s">
        <v>937</v>
      </c>
      <c r="B189" s="21" t="s">
        <v>706</v>
      </c>
      <c r="C189" s="16" t="n">
        <v>0</v>
      </c>
      <c r="D189" s="21" t="s">
        <v>936</v>
      </c>
      <c r="E189" s="21" t="str">
        <f aca="false">IF(AND(B189="On",D189&lt;"2024-01-01"),"Yes","No")</f>
        <v>No</v>
      </c>
    </row>
    <row r="190" customFormat="false" ht="15" hidden="false" customHeight="false" outlineLevel="0" collapsed="false">
      <c r="A190" s="13" t="s">
        <v>938</v>
      </c>
      <c r="B190" s="21" t="s">
        <v>706</v>
      </c>
      <c r="C190" s="16" t="n">
        <v>0</v>
      </c>
      <c r="D190" s="21" t="s">
        <v>936</v>
      </c>
      <c r="E190" s="21" t="str">
        <f aca="false">IF(AND(B190="On",D190&lt;"2024-01-01"),"Yes","No")</f>
        <v>No</v>
      </c>
    </row>
    <row r="191" customFormat="false" ht="15" hidden="false" customHeight="false" outlineLevel="0" collapsed="false">
      <c r="A191" s="13" t="s">
        <v>939</v>
      </c>
      <c r="B191" s="21" t="s">
        <v>706</v>
      </c>
      <c r="C191" s="16" t="n">
        <v>0</v>
      </c>
      <c r="D191" s="21" t="s">
        <v>940</v>
      </c>
      <c r="E191" s="21" t="str">
        <f aca="false">IF(AND(B191="On",D191&lt;"2024-01-01"),"Yes","No")</f>
        <v>Yes</v>
      </c>
    </row>
    <row r="192" customFormat="false" ht="15" hidden="false" customHeight="false" outlineLevel="0" collapsed="false">
      <c r="A192" s="13" t="s">
        <v>941</v>
      </c>
      <c r="B192" s="21" t="s">
        <v>706</v>
      </c>
      <c r="C192" s="16" t="n">
        <v>0</v>
      </c>
      <c r="D192" s="21" t="s">
        <v>942</v>
      </c>
      <c r="E192" s="21" t="str">
        <f aca="false">IF(AND(B192="On",D192&lt;"2024-01-01"),"Yes","No")</f>
        <v>Yes</v>
      </c>
    </row>
    <row r="193" customFormat="false" ht="15" hidden="false" customHeight="false" outlineLevel="0" collapsed="false">
      <c r="A193" s="13" t="s">
        <v>943</v>
      </c>
      <c r="B193" s="21" t="s">
        <v>706</v>
      </c>
      <c r="C193" s="16" t="n">
        <v>0</v>
      </c>
      <c r="D193" s="21" t="s">
        <v>944</v>
      </c>
      <c r="E193" s="21" t="str">
        <f aca="false">IF(AND(B193="On",D193&lt;"2024-01-01"),"Yes","No")</f>
        <v>Yes</v>
      </c>
    </row>
    <row r="194" customFormat="false" ht="15" hidden="false" customHeight="false" outlineLevel="0" collapsed="false">
      <c r="A194" s="13" t="s">
        <v>945</v>
      </c>
      <c r="B194" s="21" t="s">
        <v>706</v>
      </c>
      <c r="C194" s="16" t="n">
        <v>0</v>
      </c>
      <c r="D194" s="21" t="s">
        <v>944</v>
      </c>
      <c r="E194" s="21" t="str">
        <f aca="false">IF(AND(B194="On",D194&lt;"2024-01-01"),"Yes","No")</f>
        <v>Yes</v>
      </c>
    </row>
    <row r="195" customFormat="false" ht="15" hidden="false" customHeight="false" outlineLevel="0" collapsed="false">
      <c r="A195" s="13" t="s">
        <v>946</v>
      </c>
      <c r="B195" s="21" t="s">
        <v>706</v>
      </c>
      <c r="C195" s="16" t="n">
        <v>0</v>
      </c>
      <c r="D195" s="21" t="s">
        <v>944</v>
      </c>
      <c r="E195" s="21" t="str">
        <f aca="false">IF(AND(B195="On",D195&lt;"2024-01-01"),"Yes","No")</f>
        <v>Yes</v>
      </c>
    </row>
    <row r="196" customFormat="false" ht="15" hidden="false" customHeight="false" outlineLevel="0" collapsed="false">
      <c r="A196" s="13" t="s">
        <v>947</v>
      </c>
      <c r="B196" s="21" t="s">
        <v>706</v>
      </c>
      <c r="C196" s="16" t="n">
        <v>0</v>
      </c>
      <c r="D196" s="21" t="s">
        <v>944</v>
      </c>
      <c r="E196" s="21" t="str">
        <f aca="false">IF(AND(B196="On",D196&lt;"2024-01-01"),"Yes","No")</f>
        <v>Yes</v>
      </c>
    </row>
    <row r="197" customFormat="false" ht="15" hidden="false" customHeight="false" outlineLevel="0" collapsed="false">
      <c r="A197" s="13" t="s">
        <v>948</v>
      </c>
      <c r="B197" s="21" t="s">
        <v>706</v>
      </c>
      <c r="C197" s="16" t="n">
        <v>0</v>
      </c>
      <c r="D197" s="21" t="s">
        <v>944</v>
      </c>
      <c r="E197" s="21" t="str">
        <f aca="false">IF(AND(B197="On",D197&lt;"2024-01-01"),"Yes","No")</f>
        <v>Yes</v>
      </c>
    </row>
    <row r="198" customFormat="false" ht="15" hidden="false" customHeight="false" outlineLevel="0" collapsed="false">
      <c r="A198" s="13" t="s">
        <v>949</v>
      </c>
      <c r="B198" s="21" t="s">
        <v>706</v>
      </c>
      <c r="C198" s="16" t="n">
        <v>0</v>
      </c>
      <c r="D198" s="21" t="s">
        <v>944</v>
      </c>
      <c r="E198" s="21" t="str">
        <f aca="false">IF(AND(B198="On",D198&lt;"2024-01-01"),"Yes","No")</f>
        <v>Yes</v>
      </c>
    </row>
    <row r="199" customFormat="false" ht="15" hidden="false" customHeight="false" outlineLevel="0" collapsed="false">
      <c r="A199" s="13" t="s">
        <v>950</v>
      </c>
      <c r="B199" s="21" t="s">
        <v>706</v>
      </c>
      <c r="C199" s="16" t="n">
        <v>0</v>
      </c>
      <c r="D199" s="21" t="s">
        <v>944</v>
      </c>
      <c r="E199" s="21" t="str">
        <f aca="false">IF(AND(B199="On",D199&lt;"2024-01-01"),"Yes","No")</f>
        <v>Yes</v>
      </c>
    </row>
    <row r="200" customFormat="false" ht="15" hidden="false" customHeight="false" outlineLevel="0" collapsed="false">
      <c r="A200" s="13" t="s">
        <v>951</v>
      </c>
      <c r="B200" s="21" t="s">
        <v>706</v>
      </c>
      <c r="C200" s="16" t="n">
        <v>0</v>
      </c>
      <c r="D200" s="21" t="s">
        <v>952</v>
      </c>
      <c r="E200" s="21" t="str">
        <f aca="false">IF(AND(B200="On",D200&lt;"2024-01-01"),"Yes","No")</f>
        <v>Yes</v>
      </c>
    </row>
    <row r="201" customFormat="false" ht="15" hidden="false" customHeight="false" outlineLevel="0" collapsed="false">
      <c r="A201" s="13" t="s">
        <v>953</v>
      </c>
      <c r="B201" s="21" t="s">
        <v>706</v>
      </c>
      <c r="C201" s="16" t="n">
        <v>0</v>
      </c>
      <c r="D201" s="21" t="s">
        <v>954</v>
      </c>
      <c r="E201" s="21" t="str">
        <f aca="false">IF(AND(B201="On",D201&lt;"2024-01-01"),"Yes","No")</f>
        <v>Yes</v>
      </c>
    </row>
    <row r="202" customFormat="false" ht="15" hidden="false" customHeight="false" outlineLevel="0" collapsed="false">
      <c r="A202" s="13" t="s">
        <v>955</v>
      </c>
      <c r="B202" s="21" t="s">
        <v>706</v>
      </c>
      <c r="C202" s="16" t="n">
        <v>0</v>
      </c>
      <c r="D202" s="21" t="s">
        <v>956</v>
      </c>
      <c r="E202" s="21" t="str">
        <f aca="false">IF(AND(B202="On",D202&lt;"2024-01-01"),"Yes","No")</f>
        <v>Yes</v>
      </c>
    </row>
    <row r="203" customFormat="false" ht="15" hidden="false" customHeight="false" outlineLevel="0" collapsed="false">
      <c r="A203" s="13" t="s">
        <v>957</v>
      </c>
      <c r="B203" s="21" t="s">
        <v>706</v>
      </c>
      <c r="C203" s="16" t="n">
        <v>0</v>
      </c>
      <c r="D203" s="21" t="s">
        <v>958</v>
      </c>
      <c r="E203" s="21" t="str">
        <f aca="false">IF(AND(B203="On",D203&lt;"2024-01-01"),"Yes","No")</f>
        <v>Yes</v>
      </c>
    </row>
    <row r="204" customFormat="false" ht="15" hidden="false" customHeight="false" outlineLevel="0" collapsed="false">
      <c r="A204" s="13" t="s">
        <v>959</v>
      </c>
      <c r="B204" s="21" t="s">
        <v>706</v>
      </c>
      <c r="C204" s="16" t="n">
        <v>0</v>
      </c>
      <c r="D204" s="21" t="s">
        <v>958</v>
      </c>
      <c r="E204" s="21" t="str">
        <f aca="false">IF(AND(B204="On",D204&lt;"2024-01-01"),"Yes","No")</f>
        <v>Yes</v>
      </c>
    </row>
    <row r="205" customFormat="false" ht="15" hidden="false" customHeight="false" outlineLevel="0" collapsed="false">
      <c r="A205" s="13" t="s">
        <v>960</v>
      </c>
      <c r="B205" s="21" t="s">
        <v>706</v>
      </c>
      <c r="C205" s="16" t="n">
        <v>0</v>
      </c>
      <c r="D205" s="21" t="s">
        <v>958</v>
      </c>
      <c r="E205" s="21" t="str">
        <f aca="false">IF(AND(B205="On",D205&lt;"2024-01-01"),"Yes","No")</f>
        <v>Yes</v>
      </c>
    </row>
    <row r="206" customFormat="false" ht="15" hidden="false" customHeight="false" outlineLevel="0" collapsed="false">
      <c r="A206" s="13" t="s">
        <v>961</v>
      </c>
      <c r="B206" s="21" t="s">
        <v>706</v>
      </c>
      <c r="C206" s="16" t="n">
        <v>0</v>
      </c>
      <c r="D206" s="21" t="s">
        <v>958</v>
      </c>
      <c r="E206" s="21" t="str">
        <f aca="false">IF(AND(B206="On",D206&lt;"2024-01-01"),"Yes","No")</f>
        <v>Yes</v>
      </c>
    </row>
    <row r="207" customFormat="false" ht="15" hidden="false" customHeight="false" outlineLevel="0" collapsed="false">
      <c r="A207" s="13" t="s">
        <v>962</v>
      </c>
      <c r="B207" s="21" t="s">
        <v>706</v>
      </c>
      <c r="C207" s="16" t="n">
        <v>0</v>
      </c>
      <c r="D207" s="21" t="s">
        <v>958</v>
      </c>
      <c r="E207" s="21" t="str">
        <f aca="false">IF(AND(B207="On",D207&lt;"2024-01-01"),"Yes","No")</f>
        <v>Yes</v>
      </c>
    </row>
    <row r="208" customFormat="false" ht="15" hidden="false" customHeight="false" outlineLevel="0" collapsed="false">
      <c r="A208" s="13" t="s">
        <v>963</v>
      </c>
      <c r="B208" s="21" t="s">
        <v>706</v>
      </c>
      <c r="C208" s="16" t="n">
        <v>0</v>
      </c>
      <c r="D208" s="21" t="s">
        <v>958</v>
      </c>
      <c r="E208" s="21" t="str">
        <f aca="false">IF(AND(B208="On",D208&lt;"2024-01-01"),"Yes","No")</f>
        <v>Yes</v>
      </c>
    </row>
    <row r="209" customFormat="false" ht="15" hidden="false" customHeight="false" outlineLevel="0" collapsed="false">
      <c r="A209" s="13" t="s">
        <v>964</v>
      </c>
      <c r="B209" s="21" t="s">
        <v>706</v>
      </c>
      <c r="C209" s="16" t="n">
        <v>0</v>
      </c>
      <c r="D209" s="21" t="s">
        <v>958</v>
      </c>
      <c r="E209" s="21" t="str">
        <f aca="false">IF(AND(B209="On",D209&lt;"2024-01-01"),"Yes","No")</f>
        <v>Yes</v>
      </c>
    </row>
    <row r="210" customFormat="false" ht="15" hidden="false" customHeight="false" outlineLevel="0" collapsed="false">
      <c r="A210" s="13" t="s">
        <v>965</v>
      </c>
      <c r="B210" s="21" t="s">
        <v>706</v>
      </c>
      <c r="C210" s="16" t="n">
        <v>0</v>
      </c>
      <c r="D210" s="21" t="s">
        <v>958</v>
      </c>
      <c r="E210" s="21" t="str">
        <f aca="false">IF(AND(B210="On",D210&lt;"2024-01-01"),"Yes","No")</f>
        <v>Yes</v>
      </c>
    </row>
    <row r="211" customFormat="false" ht="15" hidden="false" customHeight="false" outlineLevel="0" collapsed="false">
      <c r="A211" s="13" t="s">
        <v>716</v>
      </c>
      <c r="B211" s="21" t="s">
        <v>706</v>
      </c>
      <c r="C211" s="16" t="n">
        <v>0</v>
      </c>
      <c r="D211" s="21" t="s">
        <v>966</v>
      </c>
      <c r="E211" s="21" t="str">
        <f aca="false">IF(AND(B211="On",D211&lt;"2024-01-01"),"Yes","No")</f>
        <v>Yes</v>
      </c>
    </row>
    <row r="212" customFormat="false" ht="15" hidden="false" customHeight="false" outlineLevel="0" collapsed="false">
      <c r="A212" s="13" t="s">
        <v>967</v>
      </c>
      <c r="B212" s="21" t="s">
        <v>706</v>
      </c>
      <c r="C212" s="16" t="n">
        <v>0</v>
      </c>
      <c r="D212" s="21" t="s">
        <v>968</v>
      </c>
      <c r="E212" s="21" t="str">
        <f aca="false">IF(AND(B212="On",D212&lt;"2024-01-01"),"Yes","No")</f>
        <v>Yes</v>
      </c>
    </row>
    <row r="213" customFormat="false" ht="15" hidden="false" customHeight="false" outlineLevel="0" collapsed="false">
      <c r="A213" s="13" t="s">
        <v>969</v>
      </c>
      <c r="B213" s="21" t="s">
        <v>706</v>
      </c>
      <c r="C213" s="16" t="n">
        <v>0</v>
      </c>
      <c r="D213" s="21" t="s">
        <v>968</v>
      </c>
      <c r="E213" s="21" t="str">
        <f aca="false">IF(AND(B213="On",D213&lt;"2024-01-01"),"Yes","No")</f>
        <v>Yes</v>
      </c>
    </row>
    <row r="214" customFormat="false" ht="15" hidden="false" customHeight="false" outlineLevel="0" collapsed="false">
      <c r="A214" s="13" t="s">
        <v>970</v>
      </c>
      <c r="B214" s="21" t="s">
        <v>706</v>
      </c>
      <c r="C214" s="16" t="n">
        <v>0</v>
      </c>
      <c r="D214" s="21" t="s">
        <v>968</v>
      </c>
      <c r="E214" s="21" t="str">
        <f aca="false">IF(AND(B214="On",D214&lt;"2024-01-01"),"Yes","No")</f>
        <v>Yes</v>
      </c>
    </row>
    <row r="215" customFormat="false" ht="15" hidden="false" customHeight="false" outlineLevel="0" collapsed="false">
      <c r="A215" s="13" t="s">
        <v>971</v>
      </c>
      <c r="B215" s="21" t="s">
        <v>706</v>
      </c>
      <c r="C215" s="16" t="n">
        <v>0</v>
      </c>
      <c r="D215" s="21" t="s">
        <v>968</v>
      </c>
      <c r="E215" s="21" t="str">
        <f aca="false">IF(AND(B215="On",D215&lt;"2024-01-01"),"Yes","No")</f>
        <v>Yes</v>
      </c>
    </row>
    <row r="216" customFormat="false" ht="15" hidden="false" customHeight="false" outlineLevel="0" collapsed="false">
      <c r="A216" s="13" t="s">
        <v>972</v>
      </c>
      <c r="B216" s="21" t="s">
        <v>706</v>
      </c>
      <c r="C216" s="16" t="n">
        <v>0</v>
      </c>
      <c r="D216" s="21" t="s">
        <v>968</v>
      </c>
      <c r="E216" s="21" t="str">
        <f aca="false">IF(AND(B216="On",D216&lt;"2024-01-01"),"Yes","No")</f>
        <v>Yes</v>
      </c>
    </row>
    <row r="217" customFormat="false" ht="15" hidden="false" customHeight="false" outlineLevel="0" collapsed="false">
      <c r="A217" s="13" t="s">
        <v>973</v>
      </c>
      <c r="B217" s="21" t="s">
        <v>706</v>
      </c>
      <c r="C217" s="16" t="n">
        <v>0</v>
      </c>
      <c r="D217" s="21" t="s">
        <v>968</v>
      </c>
      <c r="E217" s="21" t="str">
        <f aca="false">IF(AND(B217="On",D217&lt;"2024-01-01"),"Yes","No")</f>
        <v>Yes</v>
      </c>
    </row>
    <row r="218" customFormat="false" ht="15" hidden="false" customHeight="false" outlineLevel="0" collapsed="false">
      <c r="A218" s="13" t="s">
        <v>974</v>
      </c>
      <c r="B218" s="21" t="s">
        <v>706</v>
      </c>
      <c r="C218" s="16" t="n">
        <v>0</v>
      </c>
      <c r="D218" s="21" t="s">
        <v>968</v>
      </c>
      <c r="E218" s="21" t="str">
        <f aca="false">IF(AND(B218="On",D218&lt;"2024-01-01"),"Yes","No")</f>
        <v>Yes</v>
      </c>
    </row>
    <row r="219" customFormat="false" ht="15" hidden="false" customHeight="false" outlineLevel="0" collapsed="false">
      <c r="A219" s="13" t="s">
        <v>975</v>
      </c>
      <c r="B219" s="21" t="s">
        <v>706</v>
      </c>
      <c r="C219" s="16" t="n">
        <v>0</v>
      </c>
      <c r="D219" s="21" t="s">
        <v>968</v>
      </c>
      <c r="E219" s="21" t="str">
        <f aca="false">IF(AND(B219="On",D219&lt;"2024-01-01"),"Yes","No")</f>
        <v>Yes</v>
      </c>
    </row>
    <row r="220" customFormat="false" ht="15" hidden="false" customHeight="false" outlineLevel="0" collapsed="false">
      <c r="A220" s="13" t="s">
        <v>976</v>
      </c>
      <c r="B220" s="21" t="s">
        <v>706</v>
      </c>
      <c r="C220" s="16" t="n">
        <v>0</v>
      </c>
      <c r="D220" s="21" t="s">
        <v>968</v>
      </c>
      <c r="E220" s="21" t="str">
        <f aca="false">IF(AND(B220="On",D220&lt;"2024-01-01"),"Yes","No")</f>
        <v>Yes</v>
      </c>
    </row>
    <row r="221" customFormat="false" ht="15" hidden="false" customHeight="false" outlineLevel="0" collapsed="false">
      <c r="A221" s="13" t="s">
        <v>977</v>
      </c>
      <c r="B221" s="21" t="s">
        <v>706</v>
      </c>
      <c r="C221" s="16" t="n">
        <v>0</v>
      </c>
      <c r="D221" s="21" t="s">
        <v>968</v>
      </c>
      <c r="E221" s="21" t="str">
        <f aca="false">IF(AND(B221="On",D221&lt;"2024-01-01"),"Yes","No")</f>
        <v>Yes</v>
      </c>
    </row>
    <row r="222" customFormat="false" ht="15" hidden="false" customHeight="false" outlineLevel="0" collapsed="false">
      <c r="A222" s="13" t="s">
        <v>978</v>
      </c>
      <c r="B222" s="21" t="s">
        <v>706</v>
      </c>
      <c r="C222" s="16" t="n">
        <v>0</v>
      </c>
      <c r="D222" s="21" t="s">
        <v>968</v>
      </c>
      <c r="E222" s="21" t="str">
        <f aca="false">IF(AND(B222="On",D222&lt;"2024-01-01"),"Yes","No")</f>
        <v>Yes</v>
      </c>
    </row>
    <row r="223" customFormat="false" ht="15" hidden="false" customHeight="false" outlineLevel="0" collapsed="false">
      <c r="A223" s="13" t="s">
        <v>979</v>
      </c>
      <c r="B223" s="21" t="s">
        <v>706</v>
      </c>
      <c r="C223" s="16" t="n">
        <v>0</v>
      </c>
      <c r="D223" s="21" t="s">
        <v>968</v>
      </c>
      <c r="E223" s="21" t="str">
        <f aca="false">IF(AND(B223="On",D223&lt;"2024-01-01"),"Yes","No")</f>
        <v>Yes</v>
      </c>
    </row>
    <row r="224" customFormat="false" ht="15" hidden="false" customHeight="false" outlineLevel="0" collapsed="false">
      <c r="A224" s="13" t="s">
        <v>980</v>
      </c>
      <c r="B224" s="21" t="s">
        <v>706</v>
      </c>
      <c r="C224" s="16" t="n">
        <v>0</v>
      </c>
      <c r="D224" s="21" t="s">
        <v>968</v>
      </c>
      <c r="E224" s="21" t="str">
        <f aca="false">IF(AND(B224="On",D224&lt;"2024-01-01"),"Yes","No")</f>
        <v>Yes</v>
      </c>
    </row>
    <row r="225" customFormat="false" ht="15" hidden="false" customHeight="false" outlineLevel="0" collapsed="false">
      <c r="A225" s="13" t="s">
        <v>981</v>
      </c>
      <c r="B225" s="21" t="s">
        <v>706</v>
      </c>
      <c r="C225" s="16" t="n">
        <v>0</v>
      </c>
      <c r="D225" s="21" t="s">
        <v>968</v>
      </c>
      <c r="E225" s="21" t="str">
        <f aca="false">IF(AND(B225="On",D225&lt;"2024-01-01"),"Yes","No")</f>
        <v>Yes</v>
      </c>
    </row>
    <row r="226" customFormat="false" ht="15" hidden="false" customHeight="false" outlineLevel="0" collapsed="false">
      <c r="A226" s="13" t="s">
        <v>982</v>
      </c>
      <c r="B226" s="21" t="s">
        <v>706</v>
      </c>
      <c r="C226" s="16" t="n">
        <v>0</v>
      </c>
      <c r="D226" s="21" t="s">
        <v>968</v>
      </c>
      <c r="E226" s="21" t="str">
        <f aca="false">IF(AND(B226="On",D226&lt;"2024-01-01"),"Yes","No")</f>
        <v>Yes</v>
      </c>
    </row>
    <row r="227" customFormat="false" ht="15" hidden="false" customHeight="false" outlineLevel="0" collapsed="false">
      <c r="A227" s="13" t="s">
        <v>983</v>
      </c>
      <c r="B227" s="21" t="s">
        <v>706</v>
      </c>
      <c r="C227" s="16" t="n">
        <v>0</v>
      </c>
      <c r="D227" s="21" t="s">
        <v>984</v>
      </c>
      <c r="E227" s="21" t="str">
        <f aca="false">IF(AND(B227="On",D227&lt;"2024-01-01"),"Yes","No")</f>
        <v>Yes</v>
      </c>
    </row>
    <row r="228" customFormat="false" ht="15" hidden="false" customHeight="false" outlineLevel="0" collapsed="false">
      <c r="A228" s="13" t="s">
        <v>716</v>
      </c>
      <c r="B228" s="21" t="s">
        <v>706</v>
      </c>
      <c r="C228" s="16" t="n">
        <v>0</v>
      </c>
      <c r="D228" s="21" t="s">
        <v>984</v>
      </c>
      <c r="E228" s="21" t="str">
        <f aca="false">IF(AND(B228="On",D228&lt;"2024-01-01"),"Yes","No")</f>
        <v>Yes</v>
      </c>
    </row>
    <row r="229" customFormat="false" ht="15" hidden="false" customHeight="false" outlineLevel="0" collapsed="false">
      <c r="A229" s="13" t="s">
        <v>985</v>
      </c>
      <c r="B229" s="21" t="s">
        <v>706</v>
      </c>
      <c r="C229" s="16" t="n">
        <v>0</v>
      </c>
      <c r="D229" s="21" t="s">
        <v>984</v>
      </c>
      <c r="E229" s="21" t="str">
        <f aca="false">IF(AND(B229="On",D229&lt;"2024-01-01"),"Yes","No")</f>
        <v>Yes</v>
      </c>
    </row>
    <row r="230" customFormat="false" ht="15" hidden="false" customHeight="false" outlineLevel="0" collapsed="false">
      <c r="A230" s="13" t="s">
        <v>716</v>
      </c>
      <c r="B230" s="21" t="s">
        <v>706</v>
      </c>
      <c r="C230" s="16" t="n">
        <v>0</v>
      </c>
      <c r="D230" s="21" t="s">
        <v>984</v>
      </c>
      <c r="E230" s="21" t="str">
        <f aca="false">IF(AND(B230="On",D230&lt;"2024-01-01"),"Yes","No")</f>
        <v>Yes</v>
      </c>
    </row>
    <row r="231" customFormat="false" ht="15" hidden="false" customHeight="false" outlineLevel="0" collapsed="false">
      <c r="A231" s="13" t="s">
        <v>986</v>
      </c>
      <c r="B231" s="21" t="s">
        <v>706</v>
      </c>
      <c r="C231" s="16" t="n">
        <v>0</v>
      </c>
      <c r="D231" s="21" t="s">
        <v>987</v>
      </c>
      <c r="E231" s="21" t="str">
        <f aca="false">IF(AND(B231="On",D231&lt;"2024-01-01"),"Yes","No")</f>
        <v>Yes</v>
      </c>
    </row>
    <row r="232" customFormat="false" ht="15" hidden="false" customHeight="false" outlineLevel="0" collapsed="false">
      <c r="A232" s="13" t="s">
        <v>988</v>
      </c>
      <c r="B232" s="21" t="s">
        <v>706</v>
      </c>
      <c r="C232" s="16" t="n">
        <v>0</v>
      </c>
      <c r="D232" s="21" t="s">
        <v>989</v>
      </c>
      <c r="E232" s="21" t="str">
        <f aca="false">IF(AND(B232="On",D232&lt;"2024-01-01"),"Yes","No")</f>
        <v>Yes</v>
      </c>
    </row>
    <row r="233" customFormat="false" ht="15" hidden="false" customHeight="false" outlineLevel="0" collapsed="false">
      <c r="A233" s="13" t="s">
        <v>990</v>
      </c>
      <c r="B233" s="21" t="s">
        <v>706</v>
      </c>
      <c r="C233" s="16" t="n">
        <v>0</v>
      </c>
      <c r="D233" s="21" t="s">
        <v>991</v>
      </c>
      <c r="E233" s="21" t="str">
        <f aca="false">IF(AND(B233="On",D233&lt;"2024-01-01"),"Yes","No")</f>
        <v>Yes</v>
      </c>
    </row>
    <row r="234" customFormat="false" ht="15" hidden="false" customHeight="false" outlineLevel="0" collapsed="false">
      <c r="A234" s="13" t="s">
        <v>992</v>
      </c>
      <c r="B234" s="21" t="s">
        <v>706</v>
      </c>
      <c r="C234" s="16" t="n">
        <v>0</v>
      </c>
      <c r="D234" s="21" t="s">
        <v>993</v>
      </c>
      <c r="E234" s="21" t="str">
        <f aca="false">IF(AND(B234="On",D234&lt;"2024-01-01"),"Yes","No")</f>
        <v>Yes</v>
      </c>
    </row>
    <row r="235" customFormat="false" ht="15" hidden="false" customHeight="false" outlineLevel="0" collapsed="false">
      <c r="A235" s="13" t="s">
        <v>994</v>
      </c>
      <c r="B235" s="21" t="s">
        <v>706</v>
      </c>
      <c r="C235" s="16" t="n">
        <v>0</v>
      </c>
      <c r="D235" s="21" t="s">
        <v>995</v>
      </c>
      <c r="E235" s="21" t="str">
        <f aca="false">IF(AND(B235="On",D235&lt;"2024-01-01"),"Yes","No")</f>
        <v>Yes</v>
      </c>
    </row>
    <row r="236" customFormat="false" ht="15" hidden="false" customHeight="false" outlineLevel="0" collapsed="false">
      <c r="A236" s="13" t="s">
        <v>996</v>
      </c>
      <c r="B236" s="21" t="s">
        <v>706</v>
      </c>
      <c r="C236" s="16" t="n">
        <v>0</v>
      </c>
      <c r="D236" s="21" t="s">
        <v>997</v>
      </c>
      <c r="E236" s="21" t="str">
        <f aca="false">IF(AND(B236="On",D236&lt;"2024-01-01"),"Yes","No")</f>
        <v>Yes</v>
      </c>
    </row>
    <row r="237" customFormat="false" ht="15" hidden="false" customHeight="false" outlineLevel="0" collapsed="false">
      <c r="A237" s="13" t="s">
        <v>998</v>
      </c>
      <c r="B237" s="21" t="s">
        <v>706</v>
      </c>
      <c r="C237" s="16" t="n">
        <v>0</v>
      </c>
      <c r="D237" s="21" t="s">
        <v>997</v>
      </c>
      <c r="E237" s="21" t="str">
        <f aca="false">IF(AND(B237="On",D237&lt;"2024-01-01"),"Yes","No")</f>
        <v>Yes</v>
      </c>
    </row>
    <row r="238" customFormat="false" ht="15" hidden="false" customHeight="false" outlineLevel="0" collapsed="false">
      <c r="A238" s="13" t="s">
        <v>999</v>
      </c>
      <c r="B238" s="21" t="s">
        <v>706</v>
      </c>
      <c r="C238" s="16" t="n">
        <v>0</v>
      </c>
      <c r="D238" s="21" t="s">
        <v>997</v>
      </c>
      <c r="E238" s="21" t="str">
        <f aca="false">IF(AND(B238="On",D238&lt;"2024-01-01"),"Yes","No")</f>
        <v>Yes</v>
      </c>
    </row>
    <row r="239" customFormat="false" ht="15" hidden="false" customHeight="false" outlineLevel="0" collapsed="false">
      <c r="A239" s="13" t="s">
        <v>1000</v>
      </c>
      <c r="B239" s="21" t="s">
        <v>706</v>
      </c>
      <c r="C239" s="16" t="n">
        <v>0</v>
      </c>
      <c r="D239" s="21" t="s">
        <v>997</v>
      </c>
      <c r="E239" s="21" t="str">
        <f aca="false">IF(AND(B239="On",D239&lt;"2024-01-01"),"Yes","No")</f>
        <v>Yes</v>
      </c>
    </row>
    <row r="240" customFormat="false" ht="15" hidden="false" customHeight="false" outlineLevel="0" collapsed="false">
      <c r="A240" s="13" t="s">
        <v>1001</v>
      </c>
      <c r="B240" s="21" t="s">
        <v>706</v>
      </c>
      <c r="C240" s="16" t="n">
        <v>0</v>
      </c>
      <c r="D240" s="21" t="s">
        <v>997</v>
      </c>
      <c r="E240" s="21" t="str">
        <f aca="false">IF(AND(B240="On",D240&lt;"2024-01-01"),"Yes","No")</f>
        <v>Yes</v>
      </c>
    </row>
    <row r="241" customFormat="false" ht="15" hidden="false" customHeight="false" outlineLevel="0" collapsed="false">
      <c r="A241" s="13" t="s">
        <v>1002</v>
      </c>
      <c r="B241" s="21" t="s">
        <v>706</v>
      </c>
      <c r="C241" s="16" t="n">
        <v>0</v>
      </c>
      <c r="D241" s="21" t="s">
        <v>997</v>
      </c>
      <c r="E241" s="21" t="str">
        <f aca="false">IF(AND(B241="On",D241&lt;"2024-01-01"),"Yes","No")</f>
        <v>Yes</v>
      </c>
    </row>
    <row r="242" customFormat="false" ht="15" hidden="false" customHeight="false" outlineLevel="0" collapsed="false">
      <c r="A242" s="13" t="s">
        <v>1003</v>
      </c>
      <c r="B242" s="21" t="s">
        <v>706</v>
      </c>
      <c r="C242" s="16" t="n">
        <v>0</v>
      </c>
      <c r="D242" s="21" t="s">
        <v>997</v>
      </c>
      <c r="E242" s="21" t="str">
        <f aca="false">IF(AND(B242="On",D242&lt;"2024-01-01"),"Yes","No")</f>
        <v>Yes</v>
      </c>
    </row>
    <row r="243" customFormat="false" ht="15" hidden="false" customHeight="false" outlineLevel="0" collapsed="false">
      <c r="A243" s="13" t="s">
        <v>1004</v>
      </c>
      <c r="B243" s="21" t="s">
        <v>706</v>
      </c>
      <c r="C243" s="16" t="n">
        <v>0</v>
      </c>
      <c r="D243" s="21" t="s">
        <v>997</v>
      </c>
      <c r="E243" s="21" t="str">
        <f aca="false">IF(AND(B243="On",D243&lt;"2024-01-01"),"Yes","No")</f>
        <v>Yes</v>
      </c>
    </row>
    <row r="244" customFormat="false" ht="15" hidden="false" customHeight="false" outlineLevel="0" collapsed="false">
      <c r="A244" s="13" t="s">
        <v>1005</v>
      </c>
      <c r="B244" s="21" t="s">
        <v>706</v>
      </c>
      <c r="C244" s="16" t="n">
        <v>0</v>
      </c>
      <c r="D244" s="21" t="s">
        <v>997</v>
      </c>
      <c r="E244" s="21" t="str">
        <f aca="false">IF(AND(B244="On",D244&lt;"2024-01-01"),"Yes","No")</f>
        <v>Yes</v>
      </c>
    </row>
    <row r="245" customFormat="false" ht="15" hidden="false" customHeight="false" outlineLevel="0" collapsed="false">
      <c r="A245" s="13" t="s">
        <v>1006</v>
      </c>
      <c r="B245" s="21" t="s">
        <v>706</v>
      </c>
      <c r="C245" s="16" t="n">
        <v>0</v>
      </c>
      <c r="D245" s="21" t="s">
        <v>997</v>
      </c>
      <c r="E245" s="21" t="str">
        <f aca="false">IF(AND(B245="On",D245&lt;"2024-01-01"),"Yes","No")</f>
        <v>Yes</v>
      </c>
    </row>
    <row r="246" customFormat="false" ht="15" hidden="false" customHeight="false" outlineLevel="0" collapsed="false">
      <c r="A246" s="13" t="s">
        <v>1007</v>
      </c>
      <c r="B246" s="21" t="s">
        <v>706</v>
      </c>
      <c r="C246" s="16" t="n">
        <v>0</v>
      </c>
      <c r="D246" s="21" t="s">
        <v>997</v>
      </c>
      <c r="E246" s="21" t="str">
        <f aca="false">IF(AND(B246="On",D246&lt;"2024-01-01"),"Yes","No")</f>
        <v>Yes</v>
      </c>
    </row>
    <row r="247" customFormat="false" ht="15" hidden="false" customHeight="false" outlineLevel="0" collapsed="false">
      <c r="A247" s="13" t="s">
        <v>1008</v>
      </c>
      <c r="B247" s="21" t="s">
        <v>706</v>
      </c>
      <c r="C247" s="16" t="n">
        <v>0</v>
      </c>
      <c r="D247" s="21" t="s">
        <v>997</v>
      </c>
      <c r="E247" s="21" t="str">
        <f aca="false">IF(AND(B247="On",D247&lt;"2024-01-01"),"Yes","No")</f>
        <v>Yes</v>
      </c>
    </row>
    <row r="248" customFormat="false" ht="15" hidden="false" customHeight="false" outlineLevel="0" collapsed="false">
      <c r="A248" s="13" t="s">
        <v>1009</v>
      </c>
      <c r="B248" s="21" t="s">
        <v>706</v>
      </c>
      <c r="C248" s="16" t="n">
        <v>0</v>
      </c>
      <c r="D248" s="21" t="s">
        <v>1010</v>
      </c>
      <c r="E248" s="21" t="str">
        <f aca="false">IF(AND(B248="On",D248&lt;"2024-01-01"),"Yes","No")</f>
        <v>Yes</v>
      </c>
    </row>
    <row r="249" customFormat="false" ht="15" hidden="false" customHeight="false" outlineLevel="0" collapsed="false">
      <c r="A249" s="13" t="s">
        <v>1011</v>
      </c>
      <c r="B249" s="21" t="s">
        <v>706</v>
      </c>
      <c r="C249" s="16" t="n">
        <v>0</v>
      </c>
      <c r="D249" s="21" t="s">
        <v>1010</v>
      </c>
      <c r="E249" s="21" t="str">
        <f aca="false">IF(AND(B249="On",D249&lt;"2024-01-01"),"Yes","No")</f>
        <v>Yes</v>
      </c>
    </row>
    <row r="250" customFormat="false" ht="15" hidden="false" customHeight="false" outlineLevel="0" collapsed="false">
      <c r="A250" s="13" t="s">
        <v>1012</v>
      </c>
      <c r="B250" s="21" t="s">
        <v>706</v>
      </c>
      <c r="C250" s="16" t="n">
        <v>0</v>
      </c>
      <c r="D250" s="21" t="s">
        <v>1010</v>
      </c>
      <c r="E250" s="21" t="str">
        <f aca="false">IF(AND(B250="On",D250&lt;"2024-01-01"),"Yes","No")</f>
        <v>Yes</v>
      </c>
    </row>
    <row r="251" customFormat="false" ht="15" hidden="false" customHeight="false" outlineLevel="0" collapsed="false">
      <c r="A251" s="13" t="s">
        <v>1013</v>
      </c>
      <c r="B251" s="21" t="s">
        <v>706</v>
      </c>
      <c r="C251" s="16" t="n">
        <v>0</v>
      </c>
      <c r="D251" s="21" t="s">
        <v>1010</v>
      </c>
      <c r="E251" s="21" t="str">
        <f aca="false">IF(AND(B251="On",D251&lt;"2024-01-01"),"Yes","No")</f>
        <v>Yes</v>
      </c>
    </row>
    <row r="252" customFormat="false" ht="15" hidden="false" customHeight="false" outlineLevel="0" collapsed="false">
      <c r="A252" s="13" t="s">
        <v>1014</v>
      </c>
      <c r="B252" s="21" t="s">
        <v>706</v>
      </c>
      <c r="C252" s="16" t="n">
        <v>0</v>
      </c>
      <c r="D252" s="21" t="s">
        <v>1010</v>
      </c>
      <c r="E252" s="21" t="str">
        <f aca="false">IF(AND(B252="On",D252&lt;"2024-01-01"),"Yes","No")</f>
        <v>Yes</v>
      </c>
    </row>
    <row r="253" customFormat="false" ht="15" hidden="false" customHeight="false" outlineLevel="0" collapsed="false">
      <c r="A253" s="13" t="s">
        <v>1015</v>
      </c>
      <c r="B253" s="21" t="s">
        <v>706</v>
      </c>
      <c r="C253" s="16" t="n">
        <v>0</v>
      </c>
      <c r="D253" s="21" t="s">
        <v>1010</v>
      </c>
      <c r="E253" s="21" t="str">
        <f aca="false">IF(AND(B253="On",D253&lt;"2024-01-01"),"Yes","No")</f>
        <v>Yes</v>
      </c>
    </row>
    <row r="254" customFormat="false" ht="15" hidden="false" customHeight="false" outlineLevel="0" collapsed="false">
      <c r="A254" s="13" t="s">
        <v>1016</v>
      </c>
      <c r="B254" s="21" t="s">
        <v>706</v>
      </c>
      <c r="C254" s="16" t="n">
        <v>0</v>
      </c>
      <c r="D254" s="21" t="s">
        <v>1010</v>
      </c>
      <c r="E254" s="21" t="str">
        <f aca="false">IF(AND(B254="On",D254&lt;"2024-01-01"),"Yes","No")</f>
        <v>Yes</v>
      </c>
    </row>
    <row r="255" customFormat="false" ht="15" hidden="false" customHeight="false" outlineLevel="0" collapsed="false">
      <c r="A255" s="13" t="s">
        <v>1017</v>
      </c>
      <c r="B255" s="21" t="s">
        <v>706</v>
      </c>
      <c r="C255" s="16" t="n">
        <v>0</v>
      </c>
      <c r="D255" s="21" t="s">
        <v>1018</v>
      </c>
      <c r="E255" s="21" t="str">
        <f aca="false">IF(AND(B255="On",D255&lt;"2024-01-01"),"Yes","No")</f>
        <v>Yes</v>
      </c>
    </row>
    <row r="256" customFormat="false" ht="15" hidden="false" customHeight="false" outlineLevel="0" collapsed="false">
      <c r="A256" s="13" t="s">
        <v>716</v>
      </c>
      <c r="B256" s="21" t="s">
        <v>1019</v>
      </c>
      <c r="C256" s="16" t="n">
        <v>0</v>
      </c>
      <c r="D256" s="21" t="s">
        <v>1020</v>
      </c>
      <c r="E256" s="21" t="str">
        <f aca="false">IF(AND(B256="On",D256&lt;"2024-01-01"),"Yes","No")</f>
        <v>No</v>
      </c>
    </row>
    <row r="257" customFormat="false" ht="15" hidden="false" customHeight="false" outlineLevel="0" collapsed="false">
      <c r="A257" s="13" t="s">
        <v>1021</v>
      </c>
      <c r="B257" s="21" t="s">
        <v>1019</v>
      </c>
      <c r="C257" s="16" t="n">
        <v>0</v>
      </c>
      <c r="D257" s="21" t="s">
        <v>1022</v>
      </c>
      <c r="E257" s="21" t="str">
        <f aca="false">IF(AND(B257="On",D257&lt;"2024-01-01"),"Yes","No")</f>
        <v>No</v>
      </c>
    </row>
    <row r="258" customFormat="false" ht="15" hidden="false" customHeight="false" outlineLevel="0" collapsed="false">
      <c r="A258" s="13" t="s">
        <v>1023</v>
      </c>
      <c r="B258" s="21" t="s">
        <v>1019</v>
      </c>
      <c r="C258" s="16" t="n">
        <v>0</v>
      </c>
      <c r="D258" s="21" t="s">
        <v>1022</v>
      </c>
      <c r="E258" s="21" t="str">
        <f aca="false">IF(AND(B258="On",D258&lt;"2024-01-01"),"Yes","No")</f>
        <v>No</v>
      </c>
    </row>
    <row r="259" customFormat="false" ht="15" hidden="false" customHeight="false" outlineLevel="0" collapsed="false">
      <c r="A259" s="13" t="s">
        <v>1024</v>
      </c>
      <c r="B259" s="21" t="s">
        <v>1019</v>
      </c>
      <c r="C259" s="16" t="n">
        <v>0</v>
      </c>
      <c r="D259" s="21" t="s">
        <v>1022</v>
      </c>
      <c r="E259" s="21" t="str">
        <f aca="false">IF(AND(B259="On",D259&lt;"2024-01-01"),"Yes","No")</f>
        <v>No</v>
      </c>
    </row>
    <row r="260" customFormat="false" ht="15" hidden="false" customHeight="false" outlineLevel="0" collapsed="false">
      <c r="A260" s="13" t="s">
        <v>716</v>
      </c>
      <c r="B260" s="21" t="s">
        <v>1019</v>
      </c>
      <c r="C260" s="16" t="n">
        <v>0</v>
      </c>
      <c r="D260" s="21" t="s">
        <v>1022</v>
      </c>
      <c r="E260" s="21" t="str">
        <f aca="false">IF(AND(B260="On",D260&lt;"2024-01-01"),"Yes","No")</f>
        <v>No</v>
      </c>
    </row>
    <row r="261" customFormat="false" ht="15" hidden="false" customHeight="false" outlineLevel="0" collapsed="false">
      <c r="A261" s="13" t="s">
        <v>1025</v>
      </c>
      <c r="B261" s="21" t="s">
        <v>1019</v>
      </c>
      <c r="C261" s="16" t="n">
        <v>0</v>
      </c>
      <c r="D261" s="21" t="s">
        <v>1026</v>
      </c>
      <c r="E261" s="21" t="str">
        <f aca="false">IF(AND(B261="On",D261&lt;"2024-01-01"),"Yes","No")</f>
        <v>No</v>
      </c>
    </row>
    <row r="262" customFormat="false" ht="15" hidden="false" customHeight="false" outlineLevel="0" collapsed="false">
      <c r="A262" s="36" t="s">
        <v>1027</v>
      </c>
      <c r="B262" s="21" t="s">
        <v>1019</v>
      </c>
      <c r="C262" s="16" t="n">
        <v>0</v>
      </c>
      <c r="D262" s="21" t="s">
        <v>1028</v>
      </c>
      <c r="E262" s="21" t="str">
        <f aca="false">IF(AND(B262="On",D262&lt;"2024-01-01"),"Yes","No")</f>
        <v>No</v>
      </c>
    </row>
    <row r="263" customFormat="false" ht="15" hidden="false" customHeight="false" outlineLevel="0" collapsed="false">
      <c r="A263" s="13" t="s">
        <v>1029</v>
      </c>
      <c r="B263" s="21" t="s">
        <v>1019</v>
      </c>
      <c r="C263" s="16" t="n">
        <v>0</v>
      </c>
      <c r="D263" s="21" t="s">
        <v>1030</v>
      </c>
      <c r="E263" s="21" t="str">
        <f aca="false">IF(AND(B263="On",D263&lt;"2024-01-01"),"Yes","No")</f>
        <v>No</v>
      </c>
    </row>
    <row r="264" customFormat="false" ht="15" hidden="false" customHeight="false" outlineLevel="0" collapsed="false">
      <c r="A264" s="13" t="s">
        <v>716</v>
      </c>
      <c r="B264" s="21" t="s">
        <v>1019</v>
      </c>
      <c r="C264" s="16" t="n">
        <v>0</v>
      </c>
      <c r="D264" s="21" t="s">
        <v>1031</v>
      </c>
      <c r="E264" s="21" t="str">
        <f aca="false">IF(AND(B264="On",D264&lt;"2024-01-01"),"Yes","No")</f>
        <v>No</v>
      </c>
    </row>
    <row r="265" customFormat="false" ht="15" hidden="false" customHeight="false" outlineLevel="0" collapsed="false">
      <c r="A265" s="13" t="s">
        <v>1032</v>
      </c>
      <c r="B265" s="21" t="s">
        <v>1019</v>
      </c>
      <c r="C265" s="16" t="n">
        <v>0</v>
      </c>
      <c r="D265" s="21" t="s">
        <v>741</v>
      </c>
      <c r="E265" s="21" t="str">
        <f aca="false">IF(AND(B265="On",D265&lt;"2024-01-01"),"Yes","No")</f>
        <v>No</v>
      </c>
    </row>
    <row r="266" customFormat="false" ht="15" hidden="false" customHeight="false" outlineLevel="0" collapsed="false">
      <c r="A266" s="13" t="s">
        <v>1033</v>
      </c>
      <c r="B266" s="21" t="s">
        <v>1019</v>
      </c>
      <c r="C266" s="16" t="n">
        <v>0</v>
      </c>
      <c r="D266" s="21" t="s">
        <v>1034</v>
      </c>
      <c r="E266" s="21" t="str">
        <f aca="false">IF(AND(B266="On",D266&lt;"2024-01-01"),"Yes","No")</f>
        <v>No</v>
      </c>
    </row>
    <row r="267" customFormat="false" ht="15" hidden="false" customHeight="false" outlineLevel="0" collapsed="false">
      <c r="A267" s="13" t="s">
        <v>1035</v>
      </c>
      <c r="B267" s="21" t="s">
        <v>1019</v>
      </c>
      <c r="C267" s="16" t="n">
        <v>0</v>
      </c>
      <c r="D267" s="21" t="s">
        <v>1036</v>
      </c>
      <c r="E267" s="21" t="str">
        <f aca="false">IF(AND(B267="On",D267&lt;"2024-01-01"),"Yes","No")</f>
        <v>No</v>
      </c>
    </row>
    <row r="268" customFormat="false" ht="15" hidden="false" customHeight="false" outlineLevel="0" collapsed="false">
      <c r="A268" s="13" t="s">
        <v>1037</v>
      </c>
      <c r="B268" s="21" t="s">
        <v>1019</v>
      </c>
      <c r="C268" s="16" t="n">
        <v>0</v>
      </c>
      <c r="D268" s="21" t="s">
        <v>1038</v>
      </c>
      <c r="E268" s="21" t="str">
        <f aca="false">IF(AND(B268="On",D268&lt;"2024-01-01"),"Yes","No")</f>
        <v>No</v>
      </c>
    </row>
    <row r="269" customFormat="false" ht="15" hidden="false" customHeight="false" outlineLevel="0" collapsed="false">
      <c r="A269" s="13" t="s">
        <v>716</v>
      </c>
      <c r="B269" s="21" t="s">
        <v>1019</v>
      </c>
      <c r="C269" s="16" t="n">
        <v>0</v>
      </c>
      <c r="D269" s="21" t="s">
        <v>1039</v>
      </c>
      <c r="E269" s="21" t="str">
        <f aca="false">IF(AND(B269="On",D269&lt;"2024-01-01"),"Yes","No")</f>
        <v>No</v>
      </c>
    </row>
    <row r="270" customFormat="false" ht="15" hidden="false" customHeight="false" outlineLevel="0" collapsed="false">
      <c r="A270" s="13" t="s">
        <v>1040</v>
      </c>
      <c r="B270" s="21" t="s">
        <v>1019</v>
      </c>
      <c r="C270" s="16" t="n">
        <v>0</v>
      </c>
      <c r="D270" s="21" t="s">
        <v>1041</v>
      </c>
      <c r="E270" s="21" t="str">
        <f aca="false">IF(AND(B270="On",D270&lt;"2024-01-01"),"Yes","No")</f>
        <v>No</v>
      </c>
    </row>
    <row r="271" customFormat="false" ht="15" hidden="false" customHeight="false" outlineLevel="0" collapsed="false">
      <c r="A271" s="13" t="s">
        <v>1042</v>
      </c>
      <c r="B271" s="21" t="s">
        <v>1019</v>
      </c>
      <c r="C271" s="16" t="n">
        <v>0</v>
      </c>
      <c r="D271" s="21" t="s">
        <v>1043</v>
      </c>
      <c r="E271" s="21" t="str">
        <f aca="false">IF(AND(B271="On",D271&lt;"2024-01-01"),"Yes","No")</f>
        <v>No</v>
      </c>
    </row>
    <row r="272" customFormat="false" ht="15" hidden="false" customHeight="false" outlineLevel="0" collapsed="false">
      <c r="A272" s="13" t="s">
        <v>1044</v>
      </c>
      <c r="B272" s="21" t="s">
        <v>1019</v>
      </c>
      <c r="C272" s="16" t="n">
        <v>0</v>
      </c>
      <c r="D272" s="21" t="s">
        <v>1045</v>
      </c>
      <c r="E272" s="21" t="str">
        <f aca="false">IF(AND(B272="On",D272&lt;"2024-01-01"),"Yes","No")</f>
        <v>No</v>
      </c>
    </row>
    <row r="273" customFormat="false" ht="15" hidden="false" customHeight="false" outlineLevel="0" collapsed="false">
      <c r="A273" s="13" t="s">
        <v>1046</v>
      </c>
      <c r="B273" s="21" t="s">
        <v>1019</v>
      </c>
      <c r="C273" s="16" t="n">
        <v>0</v>
      </c>
      <c r="D273" s="21" t="s">
        <v>847</v>
      </c>
      <c r="E273" s="21" t="str">
        <f aca="false">IF(AND(B273="On",D273&lt;"2024-01-01"),"Yes","No")</f>
        <v>No</v>
      </c>
    </row>
    <row r="274" customFormat="false" ht="15" hidden="false" customHeight="false" outlineLevel="0" collapsed="false">
      <c r="A274" s="13" t="s">
        <v>1047</v>
      </c>
      <c r="B274" s="21" t="s">
        <v>1019</v>
      </c>
      <c r="C274" s="16" t="n">
        <v>0</v>
      </c>
      <c r="D274" s="21" t="s">
        <v>936</v>
      </c>
      <c r="E274" s="21" t="str">
        <f aca="false">IF(AND(B274="On",D274&lt;"2024-01-01"),"Yes","No")</f>
        <v>No</v>
      </c>
    </row>
    <row r="275" customFormat="false" ht="15" hidden="false" customHeight="false" outlineLevel="0" collapsed="false">
      <c r="A275" s="13" t="s">
        <v>1048</v>
      </c>
      <c r="B275" s="21" t="s">
        <v>1019</v>
      </c>
      <c r="C275" s="16" t="n">
        <v>0</v>
      </c>
      <c r="D275" s="21" t="s">
        <v>936</v>
      </c>
      <c r="E275" s="21" t="str">
        <f aca="false">IF(AND(B275="On",D275&lt;"2024-01-01"),"Yes","No")</f>
        <v>No</v>
      </c>
    </row>
    <row r="276" customFormat="false" ht="15" hidden="false" customHeight="false" outlineLevel="0" collapsed="false">
      <c r="A276" s="13" t="s">
        <v>1049</v>
      </c>
      <c r="B276" s="21" t="s">
        <v>1019</v>
      </c>
      <c r="C276" s="16" t="n">
        <v>0</v>
      </c>
      <c r="D276" s="21" t="s">
        <v>1050</v>
      </c>
      <c r="E276" s="21" t="str">
        <f aca="false">IF(AND(B276="On",D276&lt;"2024-01-01"),"Yes","No")</f>
        <v>No</v>
      </c>
    </row>
    <row r="277" customFormat="false" ht="15" hidden="false" customHeight="false" outlineLevel="0" collapsed="false">
      <c r="A277" s="13" t="s">
        <v>1051</v>
      </c>
      <c r="B277" s="21" t="s">
        <v>1019</v>
      </c>
      <c r="C277" s="16" t="n">
        <v>0</v>
      </c>
      <c r="D277" s="21" t="s">
        <v>1050</v>
      </c>
      <c r="E277" s="21" t="str">
        <f aca="false">IF(AND(B277="On",D277&lt;"2024-01-01"),"Yes","No")</f>
        <v>No</v>
      </c>
    </row>
    <row r="278" customFormat="false" ht="15" hidden="false" customHeight="false" outlineLevel="0" collapsed="false">
      <c r="A278" s="13" t="s">
        <v>1052</v>
      </c>
      <c r="B278" s="21" t="s">
        <v>1019</v>
      </c>
      <c r="C278" s="16" t="n">
        <v>0</v>
      </c>
      <c r="D278" s="21" t="s">
        <v>1050</v>
      </c>
      <c r="E278" s="21" t="str">
        <f aca="false">IF(AND(B278="On",D278&lt;"2024-01-01"),"Yes","No")</f>
        <v>No</v>
      </c>
    </row>
    <row r="279" customFormat="false" ht="15" hidden="false" customHeight="false" outlineLevel="0" collapsed="false">
      <c r="A279" s="13" t="s">
        <v>1053</v>
      </c>
      <c r="B279" s="21" t="s">
        <v>1019</v>
      </c>
      <c r="C279" s="16" t="n">
        <v>0</v>
      </c>
      <c r="D279" s="21" t="s">
        <v>1050</v>
      </c>
      <c r="E279" s="21" t="str">
        <f aca="false">IF(AND(B279="On",D279&lt;"2024-01-01"),"Yes","No")</f>
        <v>No</v>
      </c>
    </row>
    <row r="280" customFormat="false" ht="15" hidden="false" customHeight="false" outlineLevel="0" collapsed="false">
      <c r="A280" s="13" t="s">
        <v>1054</v>
      </c>
      <c r="B280" s="21" t="s">
        <v>1019</v>
      </c>
      <c r="C280" s="16" t="n">
        <v>0</v>
      </c>
      <c r="D280" s="21" t="s">
        <v>1050</v>
      </c>
      <c r="E280" s="21" t="str">
        <f aca="false">IF(AND(B280="On",D280&lt;"2024-01-01"),"Yes","No")</f>
        <v>No</v>
      </c>
    </row>
    <row r="281" customFormat="false" ht="15" hidden="false" customHeight="false" outlineLevel="0" collapsed="false">
      <c r="A281" s="13" t="s">
        <v>1055</v>
      </c>
      <c r="B281" s="21" t="s">
        <v>1019</v>
      </c>
      <c r="C281" s="16" t="n">
        <v>0</v>
      </c>
      <c r="D281" s="21" t="s">
        <v>1050</v>
      </c>
      <c r="E281" s="21" t="str">
        <f aca="false">IF(AND(B281="On",D281&lt;"2024-01-01"),"Yes","No")</f>
        <v>No</v>
      </c>
    </row>
    <row r="282" customFormat="false" ht="15" hidden="false" customHeight="false" outlineLevel="0" collapsed="false">
      <c r="A282" s="13" t="s">
        <v>1056</v>
      </c>
      <c r="B282" s="21" t="s">
        <v>1019</v>
      </c>
      <c r="C282" s="16" t="n">
        <v>0</v>
      </c>
      <c r="D282" s="21" t="s">
        <v>1050</v>
      </c>
      <c r="E282" s="21" t="str">
        <f aca="false">IF(AND(B282="On",D282&lt;"2024-01-01"),"Yes","No")</f>
        <v>No</v>
      </c>
    </row>
    <row r="283" customFormat="false" ht="15" hidden="false" customHeight="false" outlineLevel="0" collapsed="false">
      <c r="A283" s="13" t="s">
        <v>1057</v>
      </c>
      <c r="B283" s="21" t="s">
        <v>1019</v>
      </c>
      <c r="C283" s="16" t="n">
        <v>0</v>
      </c>
      <c r="D283" s="21" t="s">
        <v>1050</v>
      </c>
      <c r="E283" s="21" t="str">
        <f aca="false">IF(AND(B283="On",D283&lt;"2024-01-01"),"Yes","No")</f>
        <v>No</v>
      </c>
    </row>
    <row r="284" customFormat="false" ht="15" hidden="false" customHeight="false" outlineLevel="0" collapsed="false">
      <c r="A284" s="13" t="s">
        <v>1058</v>
      </c>
      <c r="B284" s="21" t="s">
        <v>1019</v>
      </c>
      <c r="C284" s="16" t="n">
        <v>0</v>
      </c>
      <c r="D284" s="21" t="s">
        <v>1050</v>
      </c>
      <c r="E284" s="21" t="str">
        <f aca="false">IF(AND(B284="On",D284&lt;"2024-01-01"),"Yes","No")</f>
        <v>No</v>
      </c>
    </row>
    <row r="285" customFormat="false" ht="15" hidden="false" customHeight="false" outlineLevel="0" collapsed="false">
      <c r="A285" s="13" t="s">
        <v>1059</v>
      </c>
      <c r="B285" s="21" t="s">
        <v>1019</v>
      </c>
      <c r="C285" s="16" t="n">
        <v>0</v>
      </c>
      <c r="D285" s="21" t="s">
        <v>1050</v>
      </c>
      <c r="E285" s="21" t="str">
        <f aca="false">IF(AND(B285="On",D285&lt;"2024-01-01"),"Yes","No")</f>
        <v>No</v>
      </c>
    </row>
    <row r="286" customFormat="false" ht="15" hidden="false" customHeight="false" outlineLevel="0" collapsed="false">
      <c r="A286" s="13" t="s">
        <v>1060</v>
      </c>
      <c r="B286" s="21" t="s">
        <v>1019</v>
      </c>
      <c r="C286" s="16" t="n">
        <v>0</v>
      </c>
      <c r="D286" s="21" t="s">
        <v>1050</v>
      </c>
      <c r="E286" s="21" t="str">
        <f aca="false">IF(AND(B286="On",D286&lt;"2024-01-01"),"Yes","No")</f>
        <v>No</v>
      </c>
    </row>
    <row r="287" customFormat="false" ht="15" hidden="false" customHeight="false" outlineLevel="0" collapsed="false">
      <c r="A287" s="13" t="s">
        <v>1061</v>
      </c>
      <c r="B287" s="21" t="s">
        <v>1019</v>
      </c>
      <c r="C287" s="16" t="n">
        <v>0</v>
      </c>
      <c r="D287" s="21" t="s">
        <v>1050</v>
      </c>
      <c r="E287" s="21" t="str">
        <f aca="false">IF(AND(B287="On",D287&lt;"2024-01-01"),"Yes","No")</f>
        <v>No</v>
      </c>
    </row>
    <row r="288" customFormat="false" ht="15" hidden="false" customHeight="false" outlineLevel="0" collapsed="false">
      <c r="A288" s="13" t="s">
        <v>1062</v>
      </c>
      <c r="B288" s="21" t="s">
        <v>1019</v>
      </c>
      <c r="C288" s="16" t="n">
        <v>0</v>
      </c>
      <c r="D288" s="21" t="s">
        <v>1050</v>
      </c>
      <c r="E288" s="21" t="str">
        <f aca="false">IF(AND(B288="On",D288&lt;"2024-01-01"),"Yes","No")</f>
        <v>No</v>
      </c>
    </row>
    <row r="289" customFormat="false" ht="15" hidden="false" customHeight="false" outlineLevel="0" collapsed="false">
      <c r="A289" s="13" t="s">
        <v>1063</v>
      </c>
      <c r="B289" s="21" t="s">
        <v>1019</v>
      </c>
      <c r="C289" s="16" t="n">
        <v>0</v>
      </c>
      <c r="D289" s="21" t="s">
        <v>1050</v>
      </c>
      <c r="E289" s="21" t="str">
        <f aca="false">IF(AND(B289="On",D289&lt;"2024-01-01"),"Yes","No")</f>
        <v>No</v>
      </c>
    </row>
    <row r="290" customFormat="false" ht="15" hidden="false" customHeight="false" outlineLevel="0" collapsed="false">
      <c r="A290" s="13" t="s">
        <v>1064</v>
      </c>
      <c r="B290" s="21" t="s">
        <v>1019</v>
      </c>
      <c r="C290" s="16" t="n">
        <v>0</v>
      </c>
      <c r="D290" s="21" t="s">
        <v>1050</v>
      </c>
      <c r="E290" s="21" t="str">
        <f aca="false">IF(AND(B290="On",D290&lt;"2024-01-01"),"Yes","No")</f>
        <v>No</v>
      </c>
    </row>
    <row r="291" customFormat="false" ht="15" hidden="false" customHeight="false" outlineLevel="0" collapsed="false">
      <c r="A291" s="13" t="s">
        <v>1065</v>
      </c>
      <c r="B291" s="21" t="s">
        <v>1019</v>
      </c>
      <c r="C291" s="16" t="n">
        <v>0</v>
      </c>
      <c r="D291" s="21" t="s">
        <v>1050</v>
      </c>
      <c r="E291" s="21" t="str">
        <f aca="false">IF(AND(B291="On",D291&lt;"2024-01-01"),"Yes","No")</f>
        <v>No</v>
      </c>
    </row>
    <row r="292" customFormat="false" ht="15" hidden="false" customHeight="false" outlineLevel="0" collapsed="false">
      <c r="A292" s="13" t="s">
        <v>1066</v>
      </c>
      <c r="B292" s="21" t="s">
        <v>1019</v>
      </c>
      <c r="C292" s="16" t="n">
        <v>0</v>
      </c>
      <c r="D292" s="21" t="s">
        <v>1050</v>
      </c>
      <c r="E292" s="21" t="str">
        <f aca="false">IF(AND(B292="On",D292&lt;"2024-01-01"),"Yes","No")</f>
        <v>No</v>
      </c>
    </row>
    <row r="293" customFormat="false" ht="15" hidden="false" customHeight="false" outlineLevel="0" collapsed="false">
      <c r="A293" s="13" t="s">
        <v>1067</v>
      </c>
      <c r="B293" s="21" t="s">
        <v>1019</v>
      </c>
      <c r="C293" s="16" t="n">
        <v>0</v>
      </c>
      <c r="D293" s="21" t="s">
        <v>1050</v>
      </c>
      <c r="E293" s="21" t="str">
        <f aca="false">IF(AND(B293="On",D293&lt;"2024-01-01"),"Yes","No")</f>
        <v>No</v>
      </c>
    </row>
    <row r="294" customFormat="false" ht="15" hidden="false" customHeight="false" outlineLevel="0" collapsed="false">
      <c r="A294" s="13" t="s">
        <v>1068</v>
      </c>
      <c r="B294" s="21" t="s">
        <v>1019</v>
      </c>
      <c r="C294" s="16" t="n">
        <v>0</v>
      </c>
      <c r="D294" s="21" t="s">
        <v>1050</v>
      </c>
      <c r="E294" s="21" t="str">
        <f aca="false">IF(AND(B294="On",D294&lt;"2024-01-01"),"Yes","No")</f>
        <v>No</v>
      </c>
    </row>
    <row r="295" customFormat="false" ht="15" hidden="false" customHeight="false" outlineLevel="0" collapsed="false">
      <c r="A295" s="13" t="s">
        <v>1069</v>
      </c>
      <c r="B295" s="21" t="s">
        <v>1019</v>
      </c>
      <c r="C295" s="16" t="n">
        <v>0</v>
      </c>
      <c r="D295" s="21" t="s">
        <v>1050</v>
      </c>
      <c r="E295" s="21" t="str">
        <f aca="false">IF(AND(B295="On",D295&lt;"2024-01-01"),"Yes","No")</f>
        <v>No</v>
      </c>
    </row>
    <row r="296" customFormat="false" ht="15" hidden="false" customHeight="false" outlineLevel="0" collapsed="false">
      <c r="A296" s="13" t="s">
        <v>1070</v>
      </c>
      <c r="B296" s="21" t="s">
        <v>1019</v>
      </c>
      <c r="C296" s="16" t="n">
        <v>0</v>
      </c>
      <c r="D296" s="21" t="s">
        <v>1050</v>
      </c>
      <c r="E296" s="21" t="str">
        <f aca="false">IF(AND(B296="On",D296&lt;"2024-01-01"),"Yes","No")</f>
        <v>No</v>
      </c>
    </row>
    <row r="297" customFormat="false" ht="15" hidden="false" customHeight="false" outlineLevel="0" collapsed="false">
      <c r="A297" s="13" t="s">
        <v>1071</v>
      </c>
      <c r="B297" s="21" t="s">
        <v>1019</v>
      </c>
      <c r="C297" s="16" t="n">
        <v>0</v>
      </c>
      <c r="D297" s="21" t="s">
        <v>1050</v>
      </c>
      <c r="E297" s="21" t="str">
        <f aca="false">IF(AND(B297="On",D297&lt;"2024-01-01"),"Yes","No")</f>
        <v>No</v>
      </c>
    </row>
    <row r="298" customFormat="false" ht="15" hidden="false" customHeight="false" outlineLevel="0" collapsed="false">
      <c r="A298" s="13" t="s">
        <v>1072</v>
      </c>
      <c r="B298" s="21" t="s">
        <v>1019</v>
      </c>
      <c r="C298" s="16" t="n">
        <v>0</v>
      </c>
      <c r="D298" s="21" t="s">
        <v>1050</v>
      </c>
      <c r="E298" s="21" t="str">
        <f aca="false">IF(AND(B298="On",D298&lt;"2024-01-01"),"Yes","No")</f>
        <v>No</v>
      </c>
    </row>
    <row r="299" customFormat="false" ht="15" hidden="false" customHeight="false" outlineLevel="0" collapsed="false">
      <c r="A299" s="13" t="s">
        <v>1073</v>
      </c>
      <c r="B299" s="21" t="s">
        <v>1019</v>
      </c>
      <c r="C299" s="16" t="n">
        <v>0</v>
      </c>
      <c r="D299" s="21" t="s">
        <v>1050</v>
      </c>
      <c r="E299" s="21" t="str">
        <f aca="false">IF(AND(B299="On",D299&lt;"2024-01-01"),"Yes","No")</f>
        <v>No</v>
      </c>
    </row>
    <row r="300" customFormat="false" ht="15" hidden="false" customHeight="false" outlineLevel="0" collapsed="false">
      <c r="A300" s="13" t="s">
        <v>1074</v>
      </c>
      <c r="B300" s="21" t="s">
        <v>1019</v>
      </c>
      <c r="C300" s="16" t="n">
        <v>0</v>
      </c>
      <c r="D300" s="21" t="s">
        <v>1050</v>
      </c>
      <c r="E300" s="21" t="str">
        <f aca="false">IF(AND(B300="On",D300&lt;"2024-01-01"),"Yes","No")</f>
        <v>No</v>
      </c>
    </row>
    <row r="301" customFormat="false" ht="15" hidden="false" customHeight="false" outlineLevel="0" collapsed="false">
      <c r="A301" s="13" t="s">
        <v>1075</v>
      </c>
      <c r="B301" s="21" t="s">
        <v>1019</v>
      </c>
      <c r="C301" s="16" t="n">
        <v>0</v>
      </c>
      <c r="D301" s="21" t="s">
        <v>1050</v>
      </c>
      <c r="E301" s="21" t="str">
        <f aca="false">IF(AND(B301="On",D301&lt;"2024-01-01"),"Yes","No")</f>
        <v>No</v>
      </c>
    </row>
    <row r="302" customFormat="false" ht="15" hidden="false" customHeight="false" outlineLevel="0" collapsed="false">
      <c r="A302" s="13" t="s">
        <v>1076</v>
      </c>
      <c r="B302" s="21" t="s">
        <v>1019</v>
      </c>
      <c r="C302" s="16" t="n">
        <v>0</v>
      </c>
      <c r="D302" s="21" t="s">
        <v>1050</v>
      </c>
      <c r="E302" s="21" t="str">
        <f aca="false">IF(AND(B302="On",D302&lt;"2024-01-01"),"Yes","No")</f>
        <v>No</v>
      </c>
    </row>
    <row r="303" customFormat="false" ht="15" hidden="false" customHeight="false" outlineLevel="0" collapsed="false">
      <c r="A303" s="13" t="s">
        <v>1077</v>
      </c>
      <c r="B303" s="21" t="s">
        <v>1019</v>
      </c>
      <c r="C303" s="16" t="n">
        <v>0</v>
      </c>
      <c r="D303" s="21" t="s">
        <v>1050</v>
      </c>
      <c r="E303" s="21" t="str">
        <f aca="false">IF(AND(B303="On",D303&lt;"2024-01-01"),"Yes","No")</f>
        <v>No</v>
      </c>
    </row>
    <row r="304" customFormat="false" ht="15" hidden="false" customHeight="false" outlineLevel="0" collapsed="false">
      <c r="A304" s="13" t="s">
        <v>1078</v>
      </c>
      <c r="B304" s="21" t="s">
        <v>1019</v>
      </c>
      <c r="C304" s="16" t="n">
        <v>0</v>
      </c>
      <c r="D304" s="21" t="s">
        <v>1050</v>
      </c>
      <c r="E304" s="21" t="str">
        <f aca="false">IF(AND(B304="On",D304&lt;"2024-01-01"),"Yes","No")</f>
        <v>No</v>
      </c>
    </row>
    <row r="305" customFormat="false" ht="15" hidden="false" customHeight="false" outlineLevel="0" collapsed="false">
      <c r="A305" s="13" t="s">
        <v>716</v>
      </c>
      <c r="B305" s="21" t="s">
        <v>1019</v>
      </c>
      <c r="C305" s="16" t="n">
        <v>0</v>
      </c>
      <c r="D305" s="21" t="s">
        <v>1079</v>
      </c>
      <c r="E305" s="21" t="str">
        <f aca="false">IF(AND(B305="On",D305&lt;"2024-01-01"),"Yes","No")</f>
        <v>No</v>
      </c>
    </row>
    <row r="306" customFormat="false" ht="15" hidden="false" customHeight="false" outlineLevel="0" collapsed="false">
      <c r="A306" s="13" t="s">
        <v>716</v>
      </c>
      <c r="B306" s="21" t="s">
        <v>1019</v>
      </c>
      <c r="C306" s="16" t="n">
        <v>0</v>
      </c>
      <c r="D306" s="21" t="s">
        <v>1080</v>
      </c>
      <c r="E306" s="21" t="str">
        <f aca="false">IF(AND(B306="On",D306&lt;"2024-01-01"),"Yes","No")</f>
        <v>No</v>
      </c>
    </row>
    <row r="307" customFormat="false" ht="15" hidden="false" customHeight="false" outlineLevel="0" collapsed="false">
      <c r="A307" s="13" t="s">
        <v>1081</v>
      </c>
      <c r="B307" s="21" t="s">
        <v>1019</v>
      </c>
      <c r="C307" s="16" t="n">
        <v>0</v>
      </c>
      <c r="D307" s="21" t="s">
        <v>1082</v>
      </c>
      <c r="E307" s="21" t="str">
        <f aca="false">IF(AND(B307="On",D307&lt;"2024-01-01"),"Yes","No")</f>
        <v>No</v>
      </c>
    </row>
    <row r="308" customFormat="false" ht="15" hidden="false" customHeight="false" outlineLevel="0" collapsed="false">
      <c r="A308" s="13" t="s">
        <v>1083</v>
      </c>
      <c r="B308" s="21" t="s">
        <v>1019</v>
      </c>
      <c r="C308" s="16" t="n">
        <v>0</v>
      </c>
      <c r="D308" s="21" t="s">
        <v>1084</v>
      </c>
      <c r="E308" s="21" t="str">
        <f aca="false">IF(AND(B308="On",D308&lt;"2024-01-01"),"Yes","No")</f>
        <v>No</v>
      </c>
    </row>
    <row r="309" customFormat="false" ht="15" hidden="false" customHeight="false" outlineLevel="0" collapsed="false">
      <c r="A309" s="13" t="s">
        <v>1085</v>
      </c>
      <c r="B309" s="21" t="s">
        <v>1019</v>
      </c>
      <c r="C309" s="16" t="n">
        <v>0</v>
      </c>
      <c r="D309" s="21" t="s">
        <v>1084</v>
      </c>
      <c r="E309" s="21" t="str">
        <f aca="false">IF(AND(B309="On",D309&lt;"2024-01-01"),"Yes","No")</f>
        <v>No</v>
      </c>
    </row>
    <row r="310" customFormat="false" ht="15" hidden="false" customHeight="false" outlineLevel="0" collapsed="false">
      <c r="A310" s="13" t="s">
        <v>716</v>
      </c>
      <c r="B310" s="21" t="s">
        <v>1019</v>
      </c>
      <c r="C310" s="16" t="n">
        <v>0</v>
      </c>
      <c r="D310" s="21" t="s">
        <v>1086</v>
      </c>
      <c r="E310" s="21" t="str">
        <f aca="false">IF(AND(B310="On",D310&lt;"2024-01-01"),"Yes","No")</f>
        <v>No</v>
      </c>
    </row>
    <row r="311" customFormat="false" ht="15" hidden="false" customHeight="false" outlineLevel="0" collapsed="false">
      <c r="A311" s="13" t="s">
        <v>716</v>
      </c>
      <c r="B311" s="21" t="s">
        <v>1019</v>
      </c>
      <c r="C311" s="16" t="n">
        <v>0</v>
      </c>
      <c r="D311" s="21" t="s">
        <v>1087</v>
      </c>
      <c r="E311" s="21" t="str">
        <f aca="false">IF(AND(B311="On",D311&lt;"2024-01-01"),"Yes","No")</f>
        <v>No</v>
      </c>
    </row>
    <row r="312" customFormat="false" ht="15" hidden="false" customHeight="false" outlineLevel="0" collapsed="false">
      <c r="A312" s="13" t="s">
        <v>1088</v>
      </c>
      <c r="B312" s="21" t="s">
        <v>1019</v>
      </c>
      <c r="C312" s="16" t="n">
        <v>0</v>
      </c>
      <c r="D312" s="21" t="s">
        <v>1089</v>
      </c>
      <c r="E312" s="21" t="str">
        <f aca="false">IF(AND(B312="On",D312&lt;"2024-01-01"),"Yes","No")</f>
        <v>No</v>
      </c>
    </row>
    <row r="313" customFormat="false" ht="15" hidden="false" customHeight="false" outlineLevel="0" collapsed="false">
      <c r="A313" s="13" t="s">
        <v>1090</v>
      </c>
      <c r="B313" s="21" t="s">
        <v>1019</v>
      </c>
      <c r="C313" s="16" t="n">
        <v>0</v>
      </c>
      <c r="D313" s="21" t="s">
        <v>1091</v>
      </c>
      <c r="E313" s="21" t="str">
        <f aca="false">IF(AND(B313="On",D313&lt;"2024-01-01"),"Yes","No")</f>
        <v>No</v>
      </c>
    </row>
    <row r="315" customFormat="false" ht="15" hidden="false" customHeight="false" outlineLevel="0" collapsed="false">
      <c r="A315" s="17" t="s">
        <v>69</v>
      </c>
      <c r="B315" s="18" t="n">
        <f aca="false">COUNTA(A5:A313)</f>
        <v>309</v>
      </c>
    </row>
    <row r="316" customFormat="false" ht="15" hidden="false" customHeight="false" outlineLevel="0" collapsed="false">
      <c r="A316" s="17" t="s">
        <v>695</v>
      </c>
      <c r="B316" s="18" t="n">
        <f aca="false">COUNTIF(B5:B313,"On")</f>
        <v>251</v>
      </c>
    </row>
    <row r="317" customFormat="false" ht="15" hidden="false" customHeight="false" outlineLevel="0" collapsed="false">
      <c r="A317" s="17" t="s">
        <v>692</v>
      </c>
      <c r="B317" s="18" t="n">
        <f aca="false">COUNTIF(B5:B313,"Off")</f>
        <v>58</v>
      </c>
    </row>
    <row r="318" customFormat="false" ht="15" hidden="false" customHeight="false" outlineLevel="0" collapsed="false">
      <c r="A318" s="17" t="s">
        <v>704</v>
      </c>
      <c r="B318" s="18" t="n">
        <f aca="false">COUNTIF(E5:E313,"Yes")</f>
        <v>65</v>
      </c>
    </row>
    <row r="319" customFormat="false" ht="15" hidden="false" customHeight="false" outlineLevel="0" collapsed="false">
      <c r="A319" s="17" t="s">
        <v>1092</v>
      </c>
      <c r="B319" s="18" t="n">
        <f aca="false">COUNTIFS(A5:A313,"*COVID*",B5:B313,"On")</f>
        <v>5</v>
      </c>
    </row>
  </sheetData>
  <autoFilter ref="A4:E313"/>
  <conditionalFormatting sqref="E5:E313">
    <cfRule type="cellIs" priority="2" operator="equal" aboveAverage="0" equalAverage="0" bottom="0" percent="0" rank="0" text="" dxfId="0">
      <formula>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  <col collapsed="false" customWidth="true" hidden="false" outlineLevel="0" max="4" min="3" style="0" width="12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1093</v>
      </c>
    </row>
    <row r="2" customFormat="false" ht="15" hidden="false" customHeight="false" outlineLevel="0" collapsed="false">
      <c r="A2" s="2" t="s">
        <v>1094</v>
      </c>
    </row>
    <row r="4" customFormat="false" ht="30" hidden="false" customHeight="true" outlineLevel="0" collapsed="false">
      <c r="A4" s="4" t="s">
        <v>509</v>
      </c>
      <c r="B4" s="4" t="s">
        <v>1095</v>
      </c>
    </row>
    <row r="5" customFormat="false" ht="15" hidden="false" customHeight="false" outlineLevel="0" collapsed="false">
      <c r="A5" s="5" t="s">
        <v>1096</v>
      </c>
      <c r="B5" s="6" t="n">
        <v>78</v>
      </c>
    </row>
    <row r="6" customFormat="false" ht="15" hidden="false" customHeight="false" outlineLevel="0" collapsed="false">
      <c r="A6" s="5" t="s">
        <v>1097</v>
      </c>
      <c r="B6" s="6" t="n">
        <v>14</v>
      </c>
    </row>
    <row r="7" customFormat="false" ht="15" hidden="false" customHeight="false" outlineLevel="0" collapsed="false">
      <c r="A7" s="5" t="s">
        <v>1098</v>
      </c>
      <c r="B7" s="6" t="n">
        <v>61</v>
      </c>
    </row>
    <row r="8" customFormat="false" ht="15" hidden="false" customHeight="false" outlineLevel="0" collapsed="false">
      <c r="A8" s="5" t="s">
        <v>1099</v>
      </c>
      <c r="B8" s="6" t="n">
        <v>40</v>
      </c>
    </row>
    <row r="10" customFormat="false" ht="15" hidden="false" customHeight="false" outlineLevel="0" collapsed="false">
      <c r="A10" s="5" t="s">
        <v>1100</v>
      </c>
      <c r="B10" s="16" t="n">
        <f aca="false">COUNTIFS('All Emails'!$G$5:$G$1067,"&lt;&gt;")</f>
        <v>276</v>
      </c>
    </row>
    <row r="11" customFormat="false" ht="15" hidden="false" customHeight="false" outlineLevel="0" collapsed="false">
      <c r="A11" s="5" t="s">
        <v>1101</v>
      </c>
      <c r="B11" s="16" t="n">
        <f aca="false">COUNTIFS('All Emails'!$G$5:$G$1067,"")</f>
        <v>787</v>
      </c>
    </row>
    <row r="13" customFormat="false" ht="30" hidden="false" customHeight="true" outlineLevel="0" collapsed="false">
      <c r="A13" s="4" t="s">
        <v>1102</v>
      </c>
      <c r="B13" s="4" t="s">
        <v>1103</v>
      </c>
      <c r="C13" s="4" t="s">
        <v>1104</v>
      </c>
      <c r="D13" s="4" t="s">
        <v>1105</v>
      </c>
      <c r="E13" s="4" t="s">
        <v>1106</v>
      </c>
    </row>
    <row r="14" customFormat="false" ht="15" hidden="false" customHeight="false" outlineLevel="0" collapsed="false">
      <c r="A14" s="5" t="s">
        <v>1107</v>
      </c>
      <c r="B14" s="13" t="s">
        <v>1108</v>
      </c>
      <c r="C14" s="13" t="s">
        <v>1109</v>
      </c>
      <c r="D14" s="13" t="s">
        <v>1110</v>
      </c>
      <c r="E14" s="16" t="n">
        <v>12</v>
      </c>
    </row>
    <row r="15" customFormat="false" ht="15" hidden="false" customHeight="false" outlineLevel="0" collapsed="false">
      <c r="A15" s="5" t="s">
        <v>1111</v>
      </c>
      <c r="B15" s="13" t="s">
        <v>1112</v>
      </c>
      <c r="C15" s="13" t="s">
        <v>1113</v>
      </c>
      <c r="D15" s="13" t="s">
        <v>727</v>
      </c>
      <c r="E15" s="16" t="n">
        <v>8</v>
      </c>
    </row>
    <row r="16" customFormat="false" ht="15" hidden="false" customHeight="false" outlineLevel="0" collapsed="false">
      <c r="A16" s="5" t="s">
        <v>1114</v>
      </c>
      <c r="B16" s="13" t="s">
        <v>1115</v>
      </c>
      <c r="C16" s="13" t="s">
        <v>1116</v>
      </c>
      <c r="D16" s="13" t="s">
        <v>1117</v>
      </c>
      <c r="E16" s="16" t="n">
        <v>9</v>
      </c>
    </row>
    <row r="17" customFormat="false" ht="15" hidden="false" customHeight="false" outlineLevel="0" collapsed="false">
      <c r="A17" s="5" t="s">
        <v>1118</v>
      </c>
      <c r="B17" s="13" t="s">
        <v>1115</v>
      </c>
      <c r="C17" s="13" t="s">
        <v>1116</v>
      </c>
      <c r="D17" s="13" t="s">
        <v>1117</v>
      </c>
      <c r="E17" s="16" t="n">
        <v>7</v>
      </c>
    </row>
    <row r="18" customFormat="false" ht="15" hidden="false" customHeight="false" outlineLevel="0" collapsed="false">
      <c r="A18" s="5" t="s">
        <v>1119</v>
      </c>
      <c r="B18" s="13" t="s">
        <v>1120</v>
      </c>
      <c r="C18" s="13" t="s">
        <v>1116</v>
      </c>
      <c r="D18" s="13" t="s">
        <v>1117</v>
      </c>
      <c r="E18" s="16" t="n">
        <v>10</v>
      </c>
    </row>
    <row r="19" customFormat="false" ht="15" hidden="false" customHeight="false" outlineLevel="0" collapsed="false">
      <c r="A19" s="5" t="s">
        <v>1121</v>
      </c>
      <c r="B19" s="13" t="s">
        <v>1115</v>
      </c>
      <c r="C19" s="13" t="s">
        <v>1116</v>
      </c>
      <c r="D19" s="13" t="s">
        <v>1117</v>
      </c>
      <c r="E19" s="16" t="n">
        <v>7</v>
      </c>
    </row>
    <row r="20" customFormat="false" ht="15" hidden="false" customHeight="false" outlineLevel="0" collapsed="false">
      <c r="A20" s="5" t="s">
        <v>1122</v>
      </c>
      <c r="B20" s="13" t="s">
        <v>1115</v>
      </c>
      <c r="C20" s="13" t="s">
        <v>1116</v>
      </c>
      <c r="D20" s="13" t="s">
        <v>1117</v>
      </c>
      <c r="E20" s="16" t="n">
        <v>1</v>
      </c>
    </row>
    <row r="21" customFormat="false" ht="15" hidden="false" customHeight="false" outlineLevel="0" collapsed="false">
      <c r="A21" s="5" t="s">
        <v>1123</v>
      </c>
      <c r="B21" s="13" t="s">
        <v>1124</v>
      </c>
      <c r="C21" s="13" t="s">
        <v>1125</v>
      </c>
      <c r="D21" s="13" t="s">
        <v>1126</v>
      </c>
      <c r="E21" s="16" t="n">
        <v>0</v>
      </c>
    </row>
    <row r="22" customFormat="false" ht="15" hidden="false" customHeight="false" outlineLevel="0" collapsed="false">
      <c r="A22" s="5" t="s">
        <v>1127</v>
      </c>
      <c r="B22" s="13" t="s">
        <v>1124</v>
      </c>
      <c r="C22" s="13" t="s">
        <v>1125</v>
      </c>
      <c r="D22" s="13" t="s">
        <v>1126</v>
      </c>
      <c r="E22" s="16" t="n">
        <v>0</v>
      </c>
    </row>
    <row r="23" customFormat="false" ht="15" hidden="false" customHeight="false" outlineLevel="0" collapsed="false">
      <c r="A23" s="5" t="s">
        <v>1128</v>
      </c>
      <c r="B23" s="13" t="s">
        <v>1129</v>
      </c>
      <c r="C23" s="13" t="s">
        <v>827</v>
      </c>
      <c r="D23" s="13" t="s">
        <v>812</v>
      </c>
      <c r="E23" s="16" t="n">
        <v>5</v>
      </c>
    </row>
    <row r="24" customFormat="false" ht="15" hidden="false" customHeight="false" outlineLevel="0" collapsed="false">
      <c r="A24" s="5" t="s">
        <v>1130</v>
      </c>
      <c r="B24" s="13" t="s">
        <v>1124</v>
      </c>
      <c r="C24" s="13" t="s">
        <v>1131</v>
      </c>
      <c r="D24" s="13" t="s">
        <v>1126</v>
      </c>
      <c r="E24" s="16" t="n">
        <v>0</v>
      </c>
    </row>
    <row r="25" customFormat="false" ht="15" hidden="false" customHeight="false" outlineLevel="0" collapsed="false">
      <c r="A25" s="5" t="s">
        <v>1132</v>
      </c>
      <c r="B25" s="13" t="s">
        <v>1120</v>
      </c>
      <c r="C25" s="13" t="s">
        <v>1133</v>
      </c>
      <c r="D25" s="13" t="s">
        <v>1126</v>
      </c>
      <c r="E25" s="16" t="n">
        <v>63</v>
      </c>
    </row>
    <row r="26" customFormat="false" ht="15" hidden="false" customHeight="false" outlineLevel="0" collapsed="false">
      <c r="A26" s="5" t="s">
        <v>1134</v>
      </c>
      <c r="B26" s="13" t="s">
        <v>1120</v>
      </c>
      <c r="C26" s="13" t="s">
        <v>1133</v>
      </c>
      <c r="D26" s="13" t="s">
        <v>1126</v>
      </c>
      <c r="E26" s="16" t="n">
        <v>53</v>
      </c>
    </row>
    <row r="27" customFormat="false" ht="15" hidden="false" customHeight="false" outlineLevel="0" collapsed="false">
      <c r="A27" s="5" t="s">
        <v>1135</v>
      </c>
      <c r="B27" s="13" t="s">
        <v>8</v>
      </c>
      <c r="C27" s="13" t="s">
        <v>1133</v>
      </c>
      <c r="D27" s="13" t="s">
        <v>1126</v>
      </c>
      <c r="E27" s="16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4" min="3" style="0" width="16"/>
  </cols>
  <sheetData>
    <row r="1" customFormat="false" ht="17.35" hidden="false" customHeight="false" outlineLevel="0" collapsed="false">
      <c r="A1" s="1" t="s">
        <v>1136</v>
      </c>
    </row>
    <row r="2" customFormat="false" ht="15" hidden="false" customHeight="false" outlineLevel="0" collapsed="false">
      <c r="A2" s="2" t="s">
        <v>1137</v>
      </c>
    </row>
    <row r="4" customFormat="false" ht="30" hidden="false" customHeight="true" outlineLevel="0" collapsed="false">
      <c r="A4" s="4" t="s">
        <v>434</v>
      </c>
      <c r="B4" s="4" t="s">
        <v>1138</v>
      </c>
      <c r="C4" s="4" t="s">
        <v>1139</v>
      </c>
      <c r="D4" s="4" t="s">
        <v>1140</v>
      </c>
    </row>
    <row r="5" customFormat="false" ht="15" hidden="false" customHeight="false" outlineLevel="0" collapsed="false">
      <c r="A5" s="5" t="s">
        <v>1141</v>
      </c>
      <c r="B5" s="16" t="n">
        <v>3</v>
      </c>
      <c r="C5" s="16" t="n">
        <v>0</v>
      </c>
      <c r="D5" s="13"/>
    </row>
    <row r="6" customFormat="false" ht="15" hidden="false" customHeight="false" outlineLevel="0" collapsed="false">
      <c r="A6" s="5" t="s">
        <v>1142</v>
      </c>
      <c r="B6" s="16" t="n">
        <v>0</v>
      </c>
      <c r="C6" s="16" t="n">
        <v>0</v>
      </c>
      <c r="D6" s="13"/>
    </row>
    <row r="7" customFormat="false" ht="15" hidden="false" customHeight="false" outlineLevel="0" collapsed="false">
      <c r="A7" s="5" t="s">
        <v>1143</v>
      </c>
      <c r="B7" s="16" t="n">
        <v>3</v>
      </c>
      <c r="C7" s="16" t="n">
        <v>0</v>
      </c>
      <c r="D7" s="13"/>
    </row>
    <row r="8" customFormat="false" ht="15" hidden="false" customHeight="false" outlineLevel="0" collapsed="false">
      <c r="A8" s="5" t="s">
        <v>436</v>
      </c>
      <c r="B8" s="16" t="n">
        <v>1</v>
      </c>
      <c r="C8" s="16" t="n">
        <v>0</v>
      </c>
      <c r="D8" s="13"/>
    </row>
    <row r="9" customFormat="false" ht="15" hidden="false" customHeight="false" outlineLevel="0" collapsed="false">
      <c r="A9" s="5" t="s">
        <v>126</v>
      </c>
      <c r="B9" s="16" t="n">
        <v>5</v>
      </c>
      <c r="C9" s="16" t="n">
        <v>0</v>
      </c>
      <c r="D9" s="13"/>
    </row>
    <row r="10" customFormat="false" ht="15" hidden="false" customHeight="false" outlineLevel="0" collapsed="false">
      <c r="A10" s="5" t="s">
        <v>132</v>
      </c>
      <c r="B10" s="16" t="n">
        <v>4</v>
      </c>
      <c r="C10" s="16" t="n">
        <v>1</v>
      </c>
      <c r="D10" s="13" t="s">
        <v>1144</v>
      </c>
    </row>
    <row r="11" customFormat="false" ht="15" hidden="false" customHeight="false" outlineLevel="0" collapsed="false">
      <c r="A11" s="5" t="s">
        <v>459</v>
      </c>
      <c r="B11" s="16" t="n">
        <v>2</v>
      </c>
      <c r="C11" s="16" t="n">
        <v>1</v>
      </c>
      <c r="D11" s="13"/>
    </row>
    <row r="12" customFormat="false" ht="15" hidden="false" customHeight="false" outlineLevel="0" collapsed="false">
      <c r="A12" s="5" t="s">
        <v>438</v>
      </c>
      <c r="B12" s="16" t="n">
        <v>0</v>
      </c>
      <c r="C12" s="16" t="n">
        <v>0</v>
      </c>
      <c r="D12" s="13"/>
    </row>
    <row r="13" customFormat="false" ht="15" hidden="false" customHeight="false" outlineLevel="0" collapsed="false">
      <c r="A13" s="5" t="s">
        <v>1145</v>
      </c>
      <c r="B13" s="16" t="n">
        <v>6</v>
      </c>
      <c r="C13" s="16" t="n">
        <v>0</v>
      </c>
      <c r="D13" s="13"/>
    </row>
    <row r="14" customFormat="false" ht="15" hidden="false" customHeight="false" outlineLevel="0" collapsed="false">
      <c r="A14" s="5" t="s">
        <v>440</v>
      </c>
      <c r="B14" s="16" t="n">
        <v>0</v>
      </c>
      <c r="C14" s="16" t="n">
        <v>0</v>
      </c>
      <c r="D14" s="13"/>
    </row>
    <row r="15" customFormat="false" ht="15" hidden="false" customHeight="false" outlineLevel="0" collapsed="false">
      <c r="A15" s="5" t="s">
        <v>1146</v>
      </c>
      <c r="B15" s="16" t="n">
        <v>0</v>
      </c>
      <c r="C15" s="16" t="n">
        <v>2</v>
      </c>
      <c r="D15" s="13"/>
    </row>
    <row r="16" customFormat="false" ht="15" hidden="false" customHeight="false" outlineLevel="0" collapsed="false">
      <c r="A16" s="5" t="s">
        <v>442</v>
      </c>
      <c r="B16" s="16" t="n">
        <v>2</v>
      </c>
      <c r="C16" s="16" t="n">
        <v>0</v>
      </c>
      <c r="D16" s="13"/>
    </row>
    <row r="17" customFormat="false" ht="15" hidden="false" customHeight="false" outlineLevel="0" collapsed="false">
      <c r="A17" s="5" t="s">
        <v>1147</v>
      </c>
      <c r="B17" s="16" t="n">
        <v>2</v>
      </c>
      <c r="C17" s="16" t="n">
        <v>0</v>
      </c>
      <c r="D17" s="13"/>
    </row>
    <row r="18" customFormat="false" ht="15" hidden="false" customHeight="false" outlineLevel="0" collapsed="false">
      <c r="A18" s="5" t="s">
        <v>446</v>
      </c>
      <c r="B18" s="16" t="n">
        <v>1</v>
      </c>
      <c r="C18" s="16" t="n">
        <v>0</v>
      </c>
      <c r="D18" s="13"/>
    </row>
    <row r="19" customFormat="false" ht="15" hidden="false" customHeight="false" outlineLevel="0" collapsed="false">
      <c r="A19" s="5" t="s">
        <v>1148</v>
      </c>
      <c r="B19" s="16" t="n">
        <v>3</v>
      </c>
      <c r="C19" s="16" t="n">
        <v>1</v>
      </c>
      <c r="D19" s="13"/>
    </row>
    <row r="20" customFormat="false" ht="15" hidden="false" customHeight="false" outlineLevel="0" collapsed="false">
      <c r="A20" s="5" t="s">
        <v>1149</v>
      </c>
      <c r="B20" s="16" t="n">
        <v>2</v>
      </c>
      <c r="C20" s="16" t="n">
        <v>1</v>
      </c>
      <c r="D20" s="13"/>
    </row>
    <row r="21" customFormat="false" ht="15" hidden="false" customHeight="false" outlineLevel="0" collapsed="false">
      <c r="A21" s="5" t="s">
        <v>1150</v>
      </c>
      <c r="B21" s="16" t="n">
        <v>6</v>
      </c>
      <c r="C21" s="16" t="n">
        <v>0</v>
      </c>
      <c r="D21" s="13"/>
    </row>
    <row r="22" customFormat="false" ht="15" hidden="false" customHeight="false" outlineLevel="0" collapsed="false">
      <c r="A22" s="5" t="s">
        <v>1151</v>
      </c>
      <c r="B22" s="16" t="n">
        <v>2</v>
      </c>
      <c r="C22" s="16" t="n">
        <v>0</v>
      </c>
      <c r="D22" s="13"/>
    </row>
    <row r="23" customFormat="false" ht="15" hidden="false" customHeight="false" outlineLevel="0" collapsed="false">
      <c r="A23" s="5" t="s">
        <v>470</v>
      </c>
      <c r="B23" s="16" t="n">
        <v>1</v>
      </c>
      <c r="C23" s="16" t="n">
        <v>0</v>
      </c>
      <c r="D23" s="13"/>
    </row>
    <row r="24" customFormat="false" ht="15" hidden="false" customHeight="false" outlineLevel="0" collapsed="false">
      <c r="A24" s="5" t="s">
        <v>1152</v>
      </c>
      <c r="B24" s="16" t="n">
        <v>3</v>
      </c>
      <c r="C24" s="16" t="n">
        <v>0</v>
      </c>
      <c r="D24" s="13"/>
    </row>
    <row r="25" customFormat="false" ht="15" hidden="false" customHeight="false" outlineLevel="0" collapsed="false">
      <c r="A25" s="5" t="s">
        <v>1153</v>
      </c>
      <c r="B25" s="16" t="n">
        <v>4</v>
      </c>
      <c r="C25" s="16" t="n">
        <v>0</v>
      </c>
      <c r="D25" s="13"/>
    </row>
    <row r="26" customFormat="false" ht="15" hidden="false" customHeight="false" outlineLevel="0" collapsed="false">
      <c r="A26" s="5" t="s">
        <v>1154</v>
      </c>
      <c r="B26" s="16" t="n">
        <v>1</v>
      </c>
      <c r="C26" s="16" t="n">
        <v>0</v>
      </c>
      <c r="D26" s="13"/>
    </row>
    <row r="27" customFormat="false" ht="15" hidden="false" customHeight="false" outlineLevel="0" collapsed="false">
      <c r="A27" s="5" t="s">
        <v>1155</v>
      </c>
      <c r="B27" s="16" t="n">
        <v>6</v>
      </c>
      <c r="C27" s="16" t="n">
        <v>0</v>
      </c>
      <c r="D27" s="13"/>
    </row>
    <row r="28" customFormat="false" ht="15" hidden="false" customHeight="false" outlineLevel="0" collapsed="false">
      <c r="A28" s="5" t="s">
        <v>1156</v>
      </c>
      <c r="B28" s="16" t="n">
        <v>0</v>
      </c>
      <c r="C28" s="16" t="n">
        <v>0</v>
      </c>
      <c r="D28" s="13"/>
    </row>
    <row r="29" customFormat="false" ht="15" hidden="false" customHeight="false" outlineLevel="0" collapsed="false">
      <c r="A29" s="5" t="s">
        <v>1157</v>
      </c>
      <c r="B29" s="16" t="n">
        <v>1</v>
      </c>
      <c r="C29" s="16" t="n">
        <v>0</v>
      </c>
      <c r="D29" s="13"/>
    </row>
    <row r="30" customFormat="false" ht="15" hidden="false" customHeight="false" outlineLevel="0" collapsed="false">
      <c r="A30" s="5" t="s">
        <v>1158</v>
      </c>
      <c r="B30" s="16" t="n">
        <v>2</v>
      </c>
      <c r="C30" s="16" t="n">
        <v>0</v>
      </c>
      <c r="D30" s="13"/>
    </row>
    <row r="31" customFormat="false" ht="15" hidden="false" customHeight="false" outlineLevel="0" collapsed="false">
      <c r="A31" s="5" t="s">
        <v>121</v>
      </c>
      <c r="B31" s="16" t="n">
        <v>3</v>
      </c>
      <c r="C31" s="16" t="n">
        <v>0</v>
      </c>
      <c r="D31" s="13"/>
    </row>
    <row r="32" customFormat="false" ht="15" hidden="false" customHeight="false" outlineLevel="0" collapsed="false">
      <c r="A32" s="5" t="s">
        <v>1159</v>
      </c>
      <c r="B32" s="16" t="n">
        <v>2</v>
      </c>
      <c r="C32" s="16" t="n">
        <v>0</v>
      </c>
      <c r="D32" s="13" t="s">
        <v>121</v>
      </c>
    </row>
    <row r="33" customFormat="false" ht="15" hidden="false" customHeight="false" outlineLevel="0" collapsed="false">
      <c r="A33" s="5" t="s">
        <v>151</v>
      </c>
      <c r="B33" s="16" t="n">
        <v>32</v>
      </c>
      <c r="C33" s="16" t="n">
        <v>0</v>
      </c>
      <c r="D33" s="13"/>
    </row>
    <row r="34" customFormat="false" ht="15" hidden="false" customHeight="false" outlineLevel="0" collapsed="false">
      <c r="A34" s="5" t="s">
        <v>1160</v>
      </c>
      <c r="B34" s="16" t="n">
        <v>1</v>
      </c>
      <c r="C34" s="16" t="n">
        <v>0</v>
      </c>
      <c r="D34" s="13"/>
    </row>
    <row r="35" customFormat="false" ht="15" hidden="false" customHeight="false" outlineLevel="0" collapsed="false">
      <c r="A35" s="5" t="s">
        <v>1161</v>
      </c>
      <c r="B35" s="16" t="n">
        <v>2</v>
      </c>
      <c r="C35" s="16" t="n">
        <v>1</v>
      </c>
      <c r="D35" s="13"/>
    </row>
    <row r="36" customFormat="false" ht="15" hidden="false" customHeight="false" outlineLevel="0" collapsed="false">
      <c r="A36" s="5" t="s">
        <v>441</v>
      </c>
      <c r="B36" s="16" t="n">
        <v>0</v>
      </c>
      <c r="C36" s="16" t="n">
        <v>0</v>
      </c>
      <c r="D36" s="13"/>
    </row>
    <row r="37" customFormat="false" ht="15" hidden="false" customHeight="false" outlineLevel="0" collapsed="false">
      <c r="A37" s="5" t="s">
        <v>469</v>
      </c>
      <c r="B37" s="16" t="n">
        <v>3</v>
      </c>
      <c r="C37" s="16" t="n">
        <v>0</v>
      </c>
      <c r="D37" s="13"/>
    </row>
    <row r="38" customFormat="false" ht="15" hidden="false" customHeight="false" outlineLevel="0" collapsed="false">
      <c r="A38" s="5" t="s">
        <v>1162</v>
      </c>
      <c r="B38" s="16" t="n">
        <v>0</v>
      </c>
      <c r="C38" s="16" t="n">
        <v>0</v>
      </c>
      <c r="D38" s="13"/>
    </row>
    <row r="39" customFormat="false" ht="15" hidden="false" customHeight="false" outlineLevel="0" collapsed="false">
      <c r="A39" s="5" t="s">
        <v>1163</v>
      </c>
      <c r="B39" s="16" t="n">
        <v>15</v>
      </c>
      <c r="C39" s="16" t="n">
        <v>3</v>
      </c>
      <c r="D39" s="13"/>
    </row>
    <row r="40" customFormat="false" ht="15" hidden="false" customHeight="false" outlineLevel="0" collapsed="false">
      <c r="A40" s="5" t="s">
        <v>1164</v>
      </c>
      <c r="B40" s="16" t="n">
        <v>1</v>
      </c>
      <c r="C40" s="16" t="n">
        <v>0</v>
      </c>
      <c r="D40" s="13"/>
    </row>
    <row r="41" customFormat="false" ht="15" hidden="false" customHeight="false" outlineLevel="0" collapsed="false">
      <c r="A41" s="5" t="s">
        <v>1165</v>
      </c>
      <c r="B41" s="16" t="n">
        <v>0</v>
      </c>
      <c r="C41" s="16" t="n">
        <v>1</v>
      </c>
      <c r="D41" s="13"/>
    </row>
    <row r="42" customFormat="false" ht="15" hidden="false" customHeight="false" outlineLevel="0" collapsed="false">
      <c r="A42" s="5" t="s">
        <v>1166</v>
      </c>
      <c r="B42" s="16" t="n">
        <v>0</v>
      </c>
      <c r="C42" s="16" t="n">
        <v>1</v>
      </c>
      <c r="D42" s="13" t="s">
        <v>1161</v>
      </c>
    </row>
    <row r="43" customFormat="false" ht="15" hidden="false" customHeight="false" outlineLevel="0" collapsed="false">
      <c r="A43" s="5" t="s">
        <v>1167</v>
      </c>
      <c r="B43" s="16" t="n">
        <v>8</v>
      </c>
      <c r="C43" s="16" t="n">
        <v>0</v>
      </c>
      <c r="D43" s="13"/>
    </row>
    <row r="44" customFormat="false" ht="15" hidden="false" customHeight="false" outlineLevel="0" collapsed="false">
      <c r="A44" s="5" t="s">
        <v>1168</v>
      </c>
      <c r="B44" s="16" t="n">
        <v>1</v>
      </c>
      <c r="C44" s="16" t="n">
        <v>0</v>
      </c>
      <c r="D44" s="13"/>
    </row>
    <row r="45" customFormat="false" ht="15" hidden="false" customHeight="false" outlineLevel="0" collapsed="false">
      <c r="A45" s="5" t="s">
        <v>1169</v>
      </c>
      <c r="B45" s="16" t="n">
        <v>0</v>
      </c>
      <c r="C45" s="16" t="n">
        <v>0</v>
      </c>
      <c r="D45" s="13"/>
    </row>
    <row r="46" customFormat="false" ht="15" hidden="false" customHeight="false" outlineLevel="0" collapsed="false">
      <c r="A46" s="5" t="s">
        <v>1170</v>
      </c>
      <c r="B46" s="16" t="n">
        <v>3</v>
      </c>
      <c r="C46" s="16" t="n">
        <v>0</v>
      </c>
      <c r="D46" s="13"/>
    </row>
    <row r="47" customFormat="false" ht="15" hidden="false" customHeight="false" outlineLevel="0" collapsed="false">
      <c r="A47" s="5" t="s">
        <v>474</v>
      </c>
      <c r="B47" s="16" t="n">
        <v>0</v>
      </c>
      <c r="C47" s="16" t="n">
        <v>0</v>
      </c>
      <c r="D47" s="13"/>
    </row>
    <row r="48" customFormat="false" ht="15" hidden="false" customHeight="false" outlineLevel="0" collapsed="false">
      <c r="A48" s="5" t="s">
        <v>1171</v>
      </c>
      <c r="B48" s="16" t="n">
        <v>2</v>
      </c>
      <c r="C48" s="16" t="n">
        <v>0</v>
      </c>
      <c r="D48" s="13"/>
    </row>
    <row r="49" customFormat="false" ht="15" hidden="false" customHeight="false" outlineLevel="0" collapsed="false">
      <c r="A49" s="5" t="s">
        <v>1172</v>
      </c>
      <c r="B49" s="16" t="n">
        <v>4</v>
      </c>
      <c r="C49" s="16" t="n">
        <v>0</v>
      </c>
      <c r="D49" s="13"/>
    </row>
    <row r="50" customFormat="false" ht="15" hidden="false" customHeight="false" outlineLevel="0" collapsed="false">
      <c r="A50" s="5" t="s">
        <v>1173</v>
      </c>
      <c r="B50" s="16" t="n">
        <v>2</v>
      </c>
      <c r="C50" s="16" t="n">
        <v>0</v>
      </c>
      <c r="D50" s="13"/>
    </row>
    <row r="51" customFormat="false" ht="15" hidden="false" customHeight="false" outlineLevel="0" collapsed="false">
      <c r="A51" s="5" t="s">
        <v>1174</v>
      </c>
      <c r="B51" s="16" t="n">
        <v>1</v>
      </c>
      <c r="C51" s="16" t="n">
        <v>0</v>
      </c>
      <c r="D51" s="13"/>
    </row>
    <row r="52" customFormat="false" ht="15" hidden="false" customHeight="false" outlineLevel="0" collapsed="false">
      <c r="A52" s="5" t="s">
        <v>444</v>
      </c>
      <c r="B52" s="16" t="n">
        <v>0</v>
      </c>
      <c r="C52" s="16" t="n">
        <v>0</v>
      </c>
      <c r="D52" s="13"/>
    </row>
    <row r="53" customFormat="false" ht="15" hidden="false" customHeight="false" outlineLevel="0" collapsed="false">
      <c r="A53" s="5" t="s">
        <v>1175</v>
      </c>
      <c r="B53" s="16" t="n">
        <v>1</v>
      </c>
      <c r="C53" s="16" t="n">
        <v>1</v>
      </c>
      <c r="D53" s="13"/>
    </row>
    <row r="54" customFormat="false" ht="15" hidden="false" customHeight="false" outlineLevel="0" collapsed="false">
      <c r="A54" s="5" t="s">
        <v>1176</v>
      </c>
      <c r="B54" s="16" t="n">
        <v>5</v>
      </c>
      <c r="C54" s="16" t="n">
        <v>1</v>
      </c>
      <c r="D54" s="13"/>
    </row>
    <row r="55" customFormat="false" ht="15" hidden="false" customHeight="false" outlineLevel="0" collapsed="false">
      <c r="A55" s="5" t="s">
        <v>445</v>
      </c>
      <c r="B55" s="16" t="n">
        <v>1</v>
      </c>
      <c r="C55" s="16" t="n">
        <v>0</v>
      </c>
      <c r="D55" s="13"/>
    </row>
    <row r="56" customFormat="false" ht="15" hidden="false" customHeight="false" outlineLevel="0" collapsed="false">
      <c r="A56" s="5" t="s">
        <v>399</v>
      </c>
      <c r="B56" s="16" t="n">
        <v>1</v>
      </c>
      <c r="C56" s="16" t="n">
        <v>0</v>
      </c>
      <c r="D56" s="13"/>
    </row>
    <row r="57" customFormat="false" ht="15" hidden="false" customHeight="false" outlineLevel="0" collapsed="false">
      <c r="A57" s="5" t="s">
        <v>1177</v>
      </c>
      <c r="B57" s="16" t="n">
        <v>0</v>
      </c>
      <c r="C57" s="16" t="n">
        <v>0</v>
      </c>
      <c r="D57" s="13"/>
    </row>
    <row r="58" customFormat="false" ht="15" hidden="false" customHeight="false" outlineLevel="0" collapsed="false">
      <c r="A58" s="5" t="s">
        <v>1178</v>
      </c>
      <c r="B58" s="16" t="n">
        <v>4</v>
      </c>
      <c r="C58" s="16" t="n">
        <v>0</v>
      </c>
      <c r="D58" s="13"/>
    </row>
    <row r="59" customFormat="false" ht="15" hidden="false" customHeight="false" outlineLevel="0" collapsed="false">
      <c r="A59" s="5" t="s">
        <v>1179</v>
      </c>
      <c r="B59" s="16" t="n">
        <v>4</v>
      </c>
      <c r="C59" s="16" t="n">
        <v>0</v>
      </c>
      <c r="D59" s="13"/>
    </row>
    <row r="60" customFormat="false" ht="15" hidden="false" customHeight="false" outlineLevel="0" collapsed="false">
      <c r="A60" s="5" t="s">
        <v>1144</v>
      </c>
      <c r="B60" s="16" t="n">
        <v>3</v>
      </c>
      <c r="C60" s="16" t="n">
        <v>0</v>
      </c>
      <c r="D60" s="13"/>
    </row>
    <row r="61" customFormat="false" ht="15" hidden="false" customHeight="false" outlineLevel="0" collapsed="false">
      <c r="A61" s="5" t="s">
        <v>1180</v>
      </c>
      <c r="B61" s="16" t="n">
        <v>1</v>
      </c>
      <c r="C61" s="16" t="n">
        <v>0</v>
      </c>
      <c r="D61" s="13"/>
    </row>
    <row r="62" customFormat="false" ht="15" hidden="false" customHeight="false" outlineLevel="0" collapsed="false">
      <c r="A62" s="5" t="s">
        <v>1181</v>
      </c>
      <c r="B62" s="16" t="n">
        <v>2</v>
      </c>
      <c r="C62" s="16" t="n">
        <v>0</v>
      </c>
      <c r="D62" s="13"/>
    </row>
    <row r="63" customFormat="false" ht="15" hidden="false" customHeight="false" outlineLevel="0" collapsed="false">
      <c r="A63" s="5" t="s">
        <v>1182</v>
      </c>
      <c r="B63" s="16" t="n">
        <v>1</v>
      </c>
      <c r="C63" s="16" t="n">
        <v>0</v>
      </c>
      <c r="D63" s="13"/>
    </row>
    <row r="64" customFormat="false" ht="15" hidden="false" customHeight="false" outlineLevel="0" collapsed="false">
      <c r="A64" s="5" t="s">
        <v>1183</v>
      </c>
      <c r="B64" s="16" t="n">
        <v>1</v>
      </c>
      <c r="C64" s="16" t="n">
        <v>0</v>
      </c>
      <c r="D64" s="13"/>
    </row>
    <row r="65" customFormat="false" ht="15" hidden="false" customHeight="false" outlineLevel="0" collapsed="false">
      <c r="A65" s="5" t="s">
        <v>1184</v>
      </c>
      <c r="B65" s="16" t="n">
        <v>5</v>
      </c>
      <c r="C65" s="16" t="n">
        <v>0</v>
      </c>
      <c r="D65" s="13" t="s">
        <v>1183</v>
      </c>
    </row>
    <row r="66" customFormat="false" ht="15" hidden="false" customHeight="false" outlineLevel="0" collapsed="false">
      <c r="A66" s="5" t="s">
        <v>1185</v>
      </c>
      <c r="B66" s="16" t="n">
        <v>1</v>
      </c>
      <c r="C66" s="16" t="n">
        <v>0</v>
      </c>
      <c r="D66" s="13"/>
    </row>
    <row r="67" customFormat="false" ht="15" hidden="false" customHeight="false" outlineLevel="0" collapsed="false">
      <c r="A67" s="17" t="s">
        <v>69</v>
      </c>
      <c r="B67" s="18" t="n">
        <f aca="false">SUM(B5:B66)</f>
        <v>170</v>
      </c>
      <c r="C67" s="18" t="n">
        <f aca="false">SUM(C5:C66)</f>
        <v>14</v>
      </c>
      <c r="D67" s="17" t="str">
        <f aca="false">COUNTA(A5:A66)&amp;" teams"</f>
        <v>62 teams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34"/>
    <col collapsed="false" customWidth="true" hidden="false" outlineLevel="0" max="7" min="7" style="0" width="26"/>
    <col collapsed="false" customWidth="true" hidden="false" outlineLevel="0" max="8" min="8" style="0" width="22"/>
    <col collapsed="false" customWidth="true" hidden="false" outlineLevel="0" max="9" min="9" style="0" width="30"/>
    <col collapsed="false" customWidth="true" hidden="false" outlineLevel="0" max="10" min="10" style="0" width="28"/>
    <col collapsed="false" customWidth="true" hidden="false" outlineLevel="0" max="11" min="11" style="0" width="22"/>
    <col collapsed="false" customWidth="true" hidden="false" outlineLevel="0" max="23" min="12" style="0" width="10"/>
  </cols>
  <sheetData>
    <row r="1" customFormat="false" ht="17.35" hidden="false" customHeight="false" outlineLevel="0" collapsed="false">
      <c r="A1" s="1" t="s">
        <v>1186</v>
      </c>
    </row>
    <row r="2" customFormat="false" ht="15" hidden="false" customHeight="false" outlineLevel="0" collapsed="false">
      <c r="A2" s="2" t="s">
        <v>1187</v>
      </c>
    </row>
    <row r="4" customFormat="false" ht="30" hidden="false" customHeight="true" outlineLevel="0" collapsed="false">
      <c r="A4" s="4" t="s">
        <v>1188</v>
      </c>
      <c r="B4" s="4" t="s">
        <v>1189</v>
      </c>
      <c r="C4" s="4" t="s">
        <v>1190</v>
      </c>
      <c r="D4" s="4" t="s">
        <v>1191</v>
      </c>
      <c r="E4" s="4" t="s">
        <v>85</v>
      </c>
      <c r="F4" s="4" t="s">
        <v>1192</v>
      </c>
      <c r="G4" s="4" t="s">
        <v>1193</v>
      </c>
      <c r="H4" s="4" t="s">
        <v>58</v>
      </c>
      <c r="I4" s="4" t="s">
        <v>1194</v>
      </c>
      <c r="J4" s="4" t="s">
        <v>108</v>
      </c>
      <c r="K4" s="4" t="s">
        <v>1195</v>
      </c>
      <c r="L4" s="4" t="s">
        <v>1196</v>
      </c>
      <c r="M4" s="4" t="s">
        <v>9</v>
      </c>
      <c r="N4" s="4" t="s">
        <v>1197</v>
      </c>
      <c r="O4" s="4" t="s">
        <v>1198</v>
      </c>
      <c r="P4" s="4" t="s">
        <v>1199</v>
      </c>
      <c r="Q4" s="4" t="s">
        <v>73</v>
      </c>
      <c r="R4" s="4" t="s">
        <v>29</v>
      </c>
      <c r="S4" s="4" t="s">
        <v>32</v>
      </c>
      <c r="T4" s="4" t="s">
        <v>11</v>
      </c>
      <c r="U4" s="4" t="s">
        <v>12</v>
      </c>
      <c r="V4" s="4" t="s">
        <v>96</v>
      </c>
      <c r="W4" s="4" t="s">
        <v>97</v>
      </c>
    </row>
    <row r="5" customFormat="false" ht="15" hidden="false" customHeight="false" outlineLevel="0" collapsed="false">
      <c r="A5" s="37" t="s">
        <v>1200</v>
      </c>
      <c r="B5" s="38" t="n">
        <v>46295.9882986111</v>
      </c>
      <c r="C5" s="37" t="s">
        <v>1201</v>
      </c>
      <c r="D5" s="37" t="s">
        <v>171</v>
      </c>
      <c r="E5" s="37" t="s">
        <v>172</v>
      </c>
      <c r="F5" s="37" t="s">
        <v>555</v>
      </c>
      <c r="G5" s="37"/>
      <c r="H5" s="37" t="s">
        <v>61</v>
      </c>
      <c r="I5" s="37" t="s">
        <v>169</v>
      </c>
      <c r="J5" s="37" t="s">
        <v>170</v>
      </c>
      <c r="K5" s="37" t="s">
        <v>1202</v>
      </c>
      <c r="L5" s="39" t="n">
        <v>1394</v>
      </c>
      <c r="M5" s="39" t="n">
        <v>1382</v>
      </c>
      <c r="N5" s="39" t="n">
        <v>414</v>
      </c>
      <c r="O5" s="39" t="n">
        <v>18</v>
      </c>
      <c r="P5" s="39" t="n">
        <v>5</v>
      </c>
      <c r="Q5" s="39" t="n">
        <v>12</v>
      </c>
      <c r="R5" s="39" t="n">
        <v>9</v>
      </c>
      <c r="S5" s="39" t="n">
        <v>0</v>
      </c>
      <c r="T5" s="40" t="n">
        <f aca="false">IF(M5=0,0,N5/M5)</f>
        <v>0.299565846599132</v>
      </c>
      <c r="U5" s="40" t="n">
        <f aca="false">IF(M5=0,0,O5/M5)</f>
        <v>0.0130246020260492</v>
      </c>
      <c r="V5" s="41" t="n">
        <f aca="false">IF(M5=0,0,P5/M5)</f>
        <v>0.00361794500723589</v>
      </c>
      <c r="W5" s="40" t="n">
        <f aca="false">IF(L5=0,0,Q5/L5)</f>
        <v>0.00860832137733142</v>
      </c>
    </row>
    <row r="6" customFormat="false" ht="15" hidden="false" customHeight="false" outlineLevel="0" collapsed="false">
      <c r="A6" s="37" t="s">
        <v>1203</v>
      </c>
      <c r="B6" s="38" t="n">
        <v>46295.876712963</v>
      </c>
      <c r="C6" s="37" t="s">
        <v>1201</v>
      </c>
      <c r="D6" s="37" t="s">
        <v>152</v>
      </c>
      <c r="E6" s="37" t="s">
        <v>1204</v>
      </c>
      <c r="F6" s="37" t="s">
        <v>152</v>
      </c>
      <c r="G6" s="37"/>
      <c r="H6" s="37" t="s">
        <v>60</v>
      </c>
      <c r="I6" s="37"/>
      <c r="J6" s="37" t="s">
        <v>151</v>
      </c>
      <c r="K6" s="37" t="s">
        <v>1202</v>
      </c>
      <c r="L6" s="39" t="n">
        <v>37473</v>
      </c>
      <c r="M6" s="39" t="n">
        <v>37229</v>
      </c>
      <c r="N6" s="39" t="n">
        <v>8043</v>
      </c>
      <c r="O6" s="39" t="n">
        <v>612</v>
      </c>
      <c r="P6" s="39" t="n">
        <v>228</v>
      </c>
      <c r="Q6" s="39" t="n">
        <v>244</v>
      </c>
      <c r="R6" s="39" t="n">
        <v>98</v>
      </c>
      <c r="S6" s="39" t="n">
        <v>0</v>
      </c>
      <c r="T6" s="40" t="n">
        <f aca="false">IF(M6=0,0,N6/M6)</f>
        <v>0.216041258158962</v>
      </c>
      <c r="U6" s="40" t="n">
        <f aca="false">IF(M6=0,0,O6/M6)</f>
        <v>0.0164387977114615</v>
      </c>
      <c r="V6" s="41" t="n">
        <f aca="false">IF(M6=0,0,P6/M6)</f>
        <v>0.00612425797093664</v>
      </c>
      <c r="W6" s="40" t="n">
        <f aca="false">IF(L6=0,0,Q6/L6)</f>
        <v>0.00651135484215302</v>
      </c>
    </row>
    <row r="7" customFormat="false" ht="15" hidden="false" customHeight="false" outlineLevel="0" collapsed="false">
      <c r="A7" s="37" t="s">
        <v>1205</v>
      </c>
      <c r="B7" s="38" t="n">
        <v>46295.4807291667</v>
      </c>
      <c r="C7" s="37" t="s">
        <v>1201</v>
      </c>
      <c r="D7" s="37" t="s">
        <v>1206</v>
      </c>
      <c r="E7" s="37" t="s">
        <v>1206</v>
      </c>
      <c r="F7" s="37" t="s">
        <v>557</v>
      </c>
      <c r="G7" s="37" t="s">
        <v>1207</v>
      </c>
      <c r="H7" s="37" t="s">
        <v>60</v>
      </c>
      <c r="I7" s="37"/>
      <c r="J7" s="37" t="s">
        <v>430</v>
      </c>
      <c r="K7" s="37" t="s">
        <v>8</v>
      </c>
      <c r="L7" s="39" t="n">
        <v>608</v>
      </c>
      <c r="M7" s="39" t="n">
        <v>576</v>
      </c>
      <c r="N7" s="39" t="n">
        <v>181</v>
      </c>
      <c r="O7" s="39" t="n">
        <v>16</v>
      </c>
      <c r="P7" s="39" t="n">
        <v>3</v>
      </c>
      <c r="Q7" s="39" t="n">
        <v>32</v>
      </c>
      <c r="R7" s="39" t="n">
        <v>30</v>
      </c>
      <c r="S7" s="39" t="n">
        <v>0</v>
      </c>
      <c r="T7" s="40" t="n">
        <f aca="false">IF(M7=0,0,N7/M7)</f>
        <v>0.314236111111111</v>
      </c>
      <c r="U7" s="40" t="n">
        <f aca="false">IF(M7=0,0,O7/M7)</f>
        <v>0.0277777777777778</v>
      </c>
      <c r="V7" s="41" t="n">
        <f aca="false">IF(M7=0,0,P7/M7)</f>
        <v>0.00520833333333333</v>
      </c>
      <c r="W7" s="40" t="n">
        <f aca="false">IF(L7=0,0,Q7/L7)</f>
        <v>0.0526315789473684</v>
      </c>
    </row>
    <row r="8" customFormat="false" ht="15" hidden="false" customHeight="false" outlineLevel="0" collapsed="false">
      <c r="A8" s="37" t="s">
        <v>1208</v>
      </c>
      <c r="B8" s="38" t="n">
        <v>46295.3337384259</v>
      </c>
      <c r="C8" s="37" t="s">
        <v>1201</v>
      </c>
      <c r="D8" s="37" t="s">
        <v>297</v>
      </c>
      <c r="E8" s="37" t="s">
        <v>1209</v>
      </c>
      <c r="F8" s="37" t="s">
        <v>537</v>
      </c>
      <c r="G8" s="37"/>
      <c r="H8" s="37" t="s">
        <v>61</v>
      </c>
      <c r="I8" s="37" t="s">
        <v>294</v>
      </c>
      <c r="J8" s="37" t="s">
        <v>296</v>
      </c>
      <c r="K8" s="37" t="s">
        <v>1202</v>
      </c>
      <c r="L8" s="39" t="n">
        <v>619</v>
      </c>
      <c r="M8" s="39" t="n">
        <v>618</v>
      </c>
      <c r="N8" s="39" t="n">
        <v>75</v>
      </c>
      <c r="O8" s="39" t="n">
        <v>37</v>
      </c>
      <c r="P8" s="39" t="n">
        <v>0</v>
      </c>
      <c r="Q8" s="39" t="n">
        <v>1</v>
      </c>
      <c r="R8" s="39" t="n">
        <v>0</v>
      </c>
      <c r="S8" s="39" t="n">
        <v>0</v>
      </c>
      <c r="T8" s="40" t="n">
        <f aca="false">IF(M8=0,0,N8/M8)</f>
        <v>0.121359223300971</v>
      </c>
      <c r="U8" s="40" t="n">
        <f aca="false">IF(M8=0,0,O8/M8)</f>
        <v>0.0598705501618123</v>
      </c>
      <c r="V8" s="41" t="n">
        <f aca="false">IF(M8=0,0,P8/M8)</f>
        <v>0</v>
      </c>
      <c r="W8" s="40" t="n">
        <f aca="false">IF(L8=0,0,Q8/L8)</f>
        <v>0.00161550888529887</v>
      </c>
    </row>
    <row r="9" customFormat="false" ht="15" hidden="false" customHeight="false" outlineLevel="0" collapsed="false">
      <c r="A9" s="37" t="s">
        <v>1210</v>
      </c>
      <c r="B9" s="38" t="n">
        <v>46295.2704282407</v>
      </c>
      <c r="C9" s="37" t="s">
        <v>1201</v>
      </c>
      <c r="D9" s="37" t="s">
        <v>1211</v>
      </c>
      <c r="E9" s="37" t="s">
        <v>1212</v>
      </c>
      <c r="F9" s="37" t="s">
        <v>544</v>
      </c>
      <c r="G9" s="37"/>
      <c r="H9" s="37" t="s">
        <v>60</v>
      </c>
      <c r="I9" s="37"/>
      <c r="J9" s="37" t="s">
        <v>100</v>
      </c>
      <c r="K9" s="37" t="s">
        <v>1213</v>
      </c>
      <c r="L9" s="39" t="n">
        <v>124</v>
      </c>
      <c r="M9" s="39" t="n">
        <v>124</v>
      </c>
      <c r="N9" s="39" t="n">
        <v>56</v>
      </c>
      <c r="O9" s="39" t="n">
        <v>1</v>
      </c>
      <c r="P9" s="39" t="n">
        <v>0</v>
      </c>
      <c r="Q9" s="39" t="n">
        <v>0</v>
      </c>
      <c r="R9" s="39" t="n">
        <v>0</v>
      </c>
      <c r="S9" s="39" t="n">
        <v>0</v>
      </c>
      <c r="T9" s="40" t="n">
        <f aca="false">IF(M9=0,0,N9/M9)</f>
        <v>0.451612903225806</v>
      </c>
      <c r="U9" s="40" t="n">
        <f aca="false">IF(M9=0,0,O9/M9)</f>
        <v>0.00806451612903226</v>
      </c>
      <c r="V9" s="41" t="n">
        <f aca="false">IF(M9=0,0,P9/M9)</f>
        <v>0</v>
      </c>
      <c r="W9" s="40" t="n">
        <f aca="false">IF(L9=0,0,Q9/L9)</f>
        <v>0</v>
      </c>
    </row>
    <row r="10" customFormat="false" ht="15" hidden="false" customHeight="false" outlineLevel="0" collapsed="false">
      <c r="A10" s="37" t="s">
        <v>1214</v>
      </c>
      <c r="B10" s="38" t="n">
        <v>46295.1250810185</v>
      </c>
      <c r="C10" s="37" t="s">
        <v>1201</v>
      </c>
      <c r="D10" s="37" t="s">
        <v>110</v>
      </c>
      <c r="E10" s="37" t="s">
        <v>252</v>
      </c>
      <c r="F10" s="37" t="s">
        <v>555</v>
      </c>
      <c r="G10" s="37" t="s">
        <v>1215</v>
      </c>
      <c r="H10" s="37" t="s">
        <v>61</v>
      </c>
      <c r="I10" s="37" t="s">
        <v>107</v>
      </c>
      <c r="J10" s="37" t="s">
        <v>109</v>
      </c>
      <c r="K10" s="37" t="s">
        <v>1202</v>
      </c>
      <c r="L10" s="39" t="n">
        <v>6452</v>
      </c>
      <c r="M10" s="39" t="n">
        <v>6414</v>
      </c>
      <c r="N10" s="39" t="n">
        <v>1679</v>
      </c>
      <c r="O10" s="39" t="n">
        <v>55</v>
      </c>
      <c r="P10" s="39" t="n">
        <v>56</v>
      </c>
      <c r="Q10" s="39" t="n">
        <v>38</v>
      </c>
      <c r="R10" s="39" t="n">
        <v>13</v>
      </c>
      <c r="S10" s="39" t="n">
        <v>0</v>
      </c>
      <c r="T10" s="40" t="n">
        <f aca="false">IF(M10=0,0,N10/M10)</f>
        <v>0.261771125662613</v>
      </c>
      <c r="U10" s="40" t="n">
        <f aca="false">IF(M10=0,0,O10/M10)</f>
        <v>0.00857499220455254</v>
      </c>
      <c r="V10" s="41" t="n">
        <f aca="false">IF(M10=0,0,P10/M10)</f>
        <v>0.00873090115372622</v>
      </c>
      <c r="W10" s="40" t="n">
        <f aca="false">IF(L10=0,0,Q10/L10)</f>
        <v>0.00588964662120273</v>
      </c>
    </row>
    <row r="11" customFormat="false" ht="15" hidden="false" customHeight="false" outlineLevel="0" collapsed="false">
      <c r="A11" s="37" t="s">
        <v>1216</v>
      </c>
      <c r="B11" s="38" t="n">
        <v>46295.0941666667</v>
      </c>
      <c r="C11" s="37" t="s">
        <v>1201</v>
      </c>
      <c r="D11" s="37" t="s">
        <v>152</v>
      </c>
      <c r="E11" s="37" t="s">
        <v>1204</v>
      </c>
      <c r="F11" s="37" t="s">
        <v>152</v>
      </c>
      <c r="G11" s="37"/>
      <c r="H11" s="37" t="s">
        <v>61</v>
      </c>
      <c r="I11" s="37" t="s">
        <v>150</v>
      </c>
      <c r="J11" s="37" t="s">
        <v>151</v>
      </c>
      <c r="K11" s="37" t="s">
        <v>1202</v>
      </c>
      <c r="L11" s="39" t="n">
        <v>1109</v>
      </c>
      <c r="M11" s="39" t="n">
        <v>1108</v>
      </c>
      <c r="N11" s="39" t="n">
        <v>470</v>
      </c>
      <c r="O11" s="39" t="n">
        <v>63</v>
      </c>
      <c r="P11" s="39" t="n">
        <v>0</v>
      </c>
      <c r="Q11" s="39" t="n">
        <v>1</v>
      </c>
      <c r="R11" s="39" t="n">
        <v>1</v>
      </c>
      <c r="S11" s="39" t="n">
        <v>0</v>
      </c>
      <c r="T11" s="40" t="n">
        <f aca="false">IF(M11=0,0,N11/M11)</f>
        <v>0.424187725631769</v>
      </c>
      <c r="U11" s="40" t="n">
        <f aca="false">IF(M11=0,0,O11/M11)</f>
        <v>0.0568592057761733</v>
      </c>
      <c r="V11" s="41" t="n">
        <f aca="false">IF(M11=0,0,P11/M11)</f>
        <v>0</v>
      </c>
      <c r="W11" s="40" t="n">
        <f aca="false">IF(L11=0,0,Q11/L11)</f>
        <v>0.000901713255184851</v>
      </c>
    </row>
    <row r="12" customFormat="false" ht="15" hidden="false" customHeight="false" outlineLevel="0" collapsed="false">
      <c r="A12" s="37" t="s">
        <v>1217</v>
      </c>
      <c r="B12" s="38" t="n">
        <v>46295.0129861111</v>
      </c>
      <c r="C12" s="37" t="s">
        <v>1201</v>
      </c>
      <c r="D12" s="37" t="s">
        <v>1218</v>
      </c>
      <c r="E12" s="37" t="s">
        <v>1219</v>
      </c>
      <c r="F12" s="37" t="s">
        <v>544</v>
      </c>
      <c r="G12" s="37"/>
      <c r="H12" s="37" t="s">
        <v>60</v>
      </c>
      <c r="I12" s="37"/>
      <c r="J12" s="37" t="s">
        <v>375</v>
      </c>
      <c r="K12" s="37" t="s">
        <v>1202</v>
      </c>
      <c r="L12" s="39" t="n">
        <v>974</v>
      </c>
      <c r="M12" s="39" t="n">
        <v>958</v>
      </c>
      <c r="N12" s="39" t="n">
        <v>299</v>
      </c>
      <c r="O12" s="39" t="n">
        <v>79</v>
      </c>
      <c r="P12" s="39" t="n">
        <v>4</v>
      </c>
      <c r="Q12" s="39" t="n">
        <v>16</v>
      </c>
      <c r="R12" s="39" t="n">
        <v>5</v>
      </c>
      <c r="S12" s="39" t="n">
        <v>0</v>
      </c>
      <c r="T12" s="40" t="n">
        <f aca="false">IF(M12=0,0,N12/M12)</f>
        <v>0.312108559498956</v>
      </c>
      <c r="U12" s="40" t="n">
        <f aca="false">IF(M12=0,0,O12/M12)</f>
        <v>0.0824634655532359</v>
      </c>
      <c r="V12" s="41" t="n">
        <f aca="false">IF(M12=0,0,P12/M12)</f>
        <v>0.00417536534446764</v>
      </c>
      <c r="W12" s="40" t="n">
        <f aca="false">IF(L12=0,0,Q12/L12)</f>
        <v>0.0164271047227926</v>
      </c>
    </row>
    <row r="13" customFormat="false" ht="15" hidden="false" customHeight="false" outlineLevel="0" collapsed="false">
      <c r="A13" s="37" t="s">
        <v>1220</v>
      </c>
      <c r="B13" s="38" t="n">
        <v>46294.6339699074</v>
      </c>
      <c r="C13" s="37" t="s">
        <v>1201</v>
      </c>
      <c r="D13" s="37" t="s">
        <v>1211</v>
      </c>
      <c r="E13" s="37" t="s">
        <v>1212</v>
      </c>
      <c r="F13" s="37" t="s">
        <v>544</v>
      </c>
      <c r="G13" s="37"/>
      <c r="H13" s="37" t="s">
        <v>60</v>
      </c>
      <c r="I13" s="37"/>
      <c r="J13" s="37" t="s">
        <v>100</v>
      </c>
      <c r="K13" s="37" t="s">
        <v>1213</v>
      </c>
      <c r="L13" s="39" t="n">
        <v>124</v>
      </c>
      <c r="M13" s="39" t="n">
        <v>124</v>
      </c>
      <c r="N13" s="39" t="n">
        <v>81</v>
      </c>
      <c r="O13" s="39" t="n">
        <v>2</v>
      </c>
      <c r="P13" s="39" t="n">
        <v>0</v>
      </c>
      <c r="Q13" s="39" t="n">
        <v>0</v>
      </c>
      <c r="R13" s="39" t="n">
        <v>0</v>
      </c>
      <c r="S13" s="39" t="n">
        <v>0</v>
      </c>
      <c r="T13" s="40" t="n">
        <f aca="false">IF(M13=0,0,N13/M13)</f>
        <v>0.653225806451613</v>
      </c>
      <c r="U13" s="40" t="n">
        <f aca="false">IF(M13=0,0,O13/M13)</f>
        <v>0.0161290322580645</v>
      </c>
      <c r="V13" s="41" t="n">
        <f aca="false">IF(M13=0,0,P13/M13)</f>
        <v>0</v>
      </c>
      <c r="W13" s="40" t="n">
        <f aca="false">IF(L13=0,0,Q13/L13)</f>
        <v>0</v>
      </c>
    </row>
    <row r="14" customFormat="false" ht="15" hidden="false" customHeight="false" outlineLevel="0" collapsed="false">
      <c r="A14" s="37" t="s">
        <v>1221</v>
      </c>
      <c r="B14" s="38" t="n">
        <v>46294.5005439815</v>
      </c>
      <c r="C14" s="37" t="s">
        <v>1201</v>
      </c>
      <c r="D14" s="37" t="s">
        <v>101</v>
      </c>
      <c r="E14" s="37" t="s">
        <v>1222</v>
      </c>
      <c r="F14" s="37" t="s">
        <v>548</v>
      </c>
      <c r="G14" s="37" t="s">
        <v>1223</v>
      </c>
      <c r="H14" s="37" t="s">
        <v>61</v>
      </c>
      <c r="I14" s="37" t="s">
        <v>98</v>
      </c>
      <c r="J14" s="37" t="s">
        <v>100</v>
      </c>
      <c r="K14" s="37" t="s">
        <v>1202</v>
      </c>
      <c r="L14" s="39" t="n">
        <v>7063</v>
      </c>
      <c r="M14" s="39" t="n">
        <v>7029</v>
      </c>
      <c r="N14" s="39" t="n">
        <v>1255</v>
      </c>
      <c r="O14" s="39" t="n">
        <v>209</v>
      </c>
      <c r="P14" s="39" t="n">
        <v>29</v>
      </c>
      <c r="Q14" s="39" t="n">
        <v>34</v>
      </c>
      <c r="R14" s="39" t="n">
        <v>22</v>
      </c>
      <c r="S14" s="39" t="n">
        <v>0</v>
      </c>
      <c r="T14" s="40" t="n">
        <f aca="false">IF(M14=0,0,N14/M14)</f>
        <v>0.178546023616446</v>
      </c>
      <c r="U14" s="40" t="n">
        <f aca="false">IF(M14=0,0,O14/M14)</f>
        <v>0.0297339593114241</v>
      </c>
      <c r="V14" s="41" t="n">
        <f aca="false">IF(M14=0,0,P14/M14)</f>
        <v>0.00412576468914497</v>
      </c>
      <c r="W14" s="40" t="n">
        <f aca="false">IF(L14=0,0,Q14/L14)</f>
        <v>0.00481381849072632</v>
      </c>
    </row>
    <row r="15" customFormat="false" ht="15" hidden="false" customHeight="false" outlineLevel="0" collapsed="false">
      <c r="A15" s="37" t="s">
        <v>1224</v>
      </c>
      <c r="B15" s="38" t="n">
        <v>46294.3823263889</v>
      </c>
      <c r="C15" s="37" t="s">
        <v>1201</v>
      </c>
      <c r="D15" s="37" t="s">
        <v>116</v>
      </c>
      <c r="E15" s="37" t="s">
        <v>117</v>
      </c>
      <c r="F15" s="37" t="s">
        <v>555</v>
      </c>
      <c r="G15" s="37" t="s">
        <v>1118</v>
      </c>
      <c r="H15" s="37" t="s">
        <v>61</v>
      </c>
      <c r="I15" s="37" t="s">
        <v>114</v>
      </c>
      <c r="J15" s="37" t="s">
        <v>115</v>
      </c>
      <c r="K15" s="37" t="s">
        <v>1202</v>
      </c>
      <c r="L15" s="39" t="n">
        <v>4736</v>
      </c>
      <c r="M15" s="39" t="n">
        <v>4698</v>
      </c>
      <c r="N15" s="39" t="n">
        <v>1155</v>
      </c>
      <c r="O15" s="39" t="n">
        <v>123</v>
      </c>
      <c r="P15" s="39" t="n">
        <v>29</v>
      </c>
      <c r="Q15" s="39" t="n">
        <v>38</v>
      </c>
      <c r="R15" s="39" t="n">
        <v>19</v>
      </c>
      <c r="S15" s="39" t="n">
        <v>1</v>
      </c>
      <c r="T15" s="40" t="n">
        <f aca="false">IF(M15=0,0,N15/M15)</f>
        <v>0.245849297573436</v>
      </c>
      <c r="U15" s="40" t="n">
        <f aca="false">IF(M15=0,0,O15/M15)</f>
        <v>0.0261813537675607</v>
      </c>
      <c r="V15" s="41" t="n">
        <f aca="false">IF(M15=0,0,P15/M15)</f>
        <v>0.00617283950617284</v>
      </c>
      <c r="W15" s="40" t="n">
        <f aca="false">IF(L15=0,0,Q15/L15)</f>
        <v>0.00802364864864865</v>
      </c>
    </row>
    <row r="16" customFormat="false" ht="15" hidden="false" customHeight="false" outlineLevel="0" collapsed="false">
      <c r="A16" s="37" t="s">
        <v>1225</v>
      </c>
      <c r="B16" s="38" t="n">
        <v>46294.2713425926</v>
      </c>
      <c r="C16" s="37" t="s">
        <v>1201</v>
      </c>
      <c r="D16" s="37" t="s">
        <v>224</v>
      </c>
      <c r="E16" s="37" t="s">
        <v>225</v>
      </c>
      <c r="F16" s="37" t="s">
        <v>542</v>
      </c>
      <c r="G16" s="37"/>
      <c r="H16" s="37" t="s">
        <v>61</v>
      </c>
      <c r="I16" s="37" t="s">
        <v>222</v>
      </c>
      <c r="J16" s="37" t="s">
        <v>223</v>
      </c>
      <c r="K16" s="37" t="s">
        <v>1202</v>
      </c>
      <c r="L16" s="39" t="n">
        <v>114</v>
      </c>
      <c r="M16" s="39" t="n">
        <v>114</v>
      </c>
      <c r="N16" s="39" t="n">
        <v>29</v>
      </c>
      <c r="O16" s="39" t="n">
        <v>3</v>
      </c>
      <c r="P16" s="39" t="n">
        <v>0</v>
      </c>
      <c r="Q16" s="39" t="n">
        <v>0</v>
      </c>
      <c r="R16" s="39" t="n">
        <v>0</v>
      </c>
      <c r="S16" s="39" t="n">
        <v>0</v>
      </c>
      <c r="T16" s="40" t="n">
        <f aca="false">IF(M16=0,0,N16/M16)</f>
        <v>0.254385964912281</v>
      </c>
      <c r="U16" s="40" t="n">
        <f aca="false">IF(M16=0,0,O16/M16)</f>
        <v>0.0263157894736842</v>
      </c>
      <c r="V16" s="41" t="n">
        <f aca="false">IF(M16=0,0,P16/M16)</f>
        <v>0</v>
      </c>
      <c r="W16" s="40" t="n">
        <f aca="false">IF(L16=0,0,Q16/L16)</f>
        <v>0</v>
      </c>
    </row>
    <row r="17" customFormat="false" ht="15" hidden="false" customHeight="false" outlineLevel="0" collapsed="false">
      <c r="A17" s="37" t="s">
        <v>1226</v>
      </c>
      <c r="B17" s="38" t="n">
        <v>46293.9797685185</v>
      </c>
      <c r="C17" s="37" t="s">
        <v>1201</v>
      </c>
      <c r="D17" s="37" t="s">
        <v>1227</v>
      </c>
      <c r="E17" s="37" t="s">
        <v>1228</v>
      </c>
      <c r="F17" s="37" t="s">
        <v>555</v>
      </c>
      <c r="G17" s="37"/>
      <c r="H17" s="37" t="s">
        <v>60</v>
      </c>
      <c r="I17" s="37"/>
      <c r="J17" s="37" t="s">
        <v>417</v>
      </c>
      <c r="K17" s="37" t="s">
        <v>1202</v>
      </c>
      <c r="L17" s="39" t="n">
        <v>3728</v>
      </c>
      <c r="M17" s="39" t="n">
        <v>3663</v>
      </c>
      <c r="N17" s="39" t="n">
        <v>1067</v>
      </c>
      <c r="O17" s="39" t="n">
        <v>58</v>
      </c>
      <c r="P17" s="39" t="n">
        <v>33</v>
      </c>
      <c r="Q17" s="39" t="n">
        <v>65</v>
      </c>
      <c r="R17" s="39" t="n">
        <v>14</v>
      </c>
      <c r="S17" s="39" t="n">
        <v>0</v>
      </c>
      <c r="T17" s="40" t="n">
        <f aca="false">IF(M17=0,0,N17/M17)</f>
        <v>0.291291291291291</v>
      </c>
      <c r="U17" s="40" t="n">
        <f aca="false">IF(M17=0,0,O17/M17)</f>
        <v>0.0158340158340158</v>
      </c>
      <c r="V17" s="41" t="n">
        <f aca="false">IF(M17=0,0,P17/M17)</f>
        <v>0.00900900900900901</v>
      </c>
      <c r="W17" s="40" t="n">
        <f aca="false">IF(L17=0,0,Q17/L17)</f>
        <v>0.0174356223175966</v>
      </c>
    </row>
    <row r="18" customFormat="false" ht="15" hidden="false" customHeight="false" outlineLevel="0" collapsed="false">
      <c r="A18" s="37" t="s">
        <v>1229</v>
      </c>
      <c r="B18" s="38" t="n">
        <v>46293.277962963</v>
      </c>
      <c r="C18" s="37" t="s">
        <v>1201</v>
      </c>
      <c r="D18" s="37" t="s">
        <v>1230</v>
      </c>
      <c r="E18" s="37" t="s">
        <v>193</v>
      </c>
      <c r="F18" s="37" t="s">
        <v>544</v>
      </c>
      <c r="G18" s="37"/>
      <c r="H18" s="37" t="s">
        <v>60</v>
      </c>
      <c r="I18" s="37"/>
      <c r="J18" s="37" t="s">
        <v>357</v>
      </c>
      <c r="K18" s="37" t="s">
        <v>1202</v>
      </c>
      <c r="L18" s="39" t="n">
        <v>79</v>
      </c>
      <c r="M18" s="39" t="n">
        <v>79</v>
      </c>
      <c r="N18" s="39" t="n">
        <v>43</v>
      </c>
      <c r="O18" s="39" t="n">
        <v>0</v>
      </c>
      <c r="P18" s="39" t="n">
        <v>0</v>
      </c>
      <c r="Q18" s="39" t="n">
        <v>0</v>
      </c>
      <c r="R18" s="39" t="n">
        <v>0</v>
      </c>
      <c r="S18" s="39" t="n">
        <v>0</v>
      </c>
      <c r="T18" s="40" t="n">
        <f aca="false">IF(M18=0,0,N18/M18)</f>
        <v>0.544303797468354</v>
      </c>
      <c r="U18" s="40" t="n">
        <f aca="false">IF(M18=0,0,O18/M18)</f>
        <v>0</v>
      </c>
      <c r="V18" s="41" t="n">
        <f aca="false">IF(M18=0,0,P18/M18)</f>
        <v>0</v>
      </c>
      <c r="W18" s="40" t="n">
        <f aca="false">IF(L18=0,0,Q18/L18)</f>
        <v>0</v>
      </c>
    </row>
    <row r="19" customFormat="false" ht="15" hidden="false" customHeight="false" outlineLevel="0" collapsed="false">
      <c r="A19" s="37" t="s">
        <v>1231</v>
      </c>
      <c r="B19" s="38" t="n">
        <v>46290.4377430556</v>
      </c>
      <c r="C19" s="37" t="s">
        <v>1201</v>
      </c>
      <c r="D19" s="37" t="s">
        <v>1211</v>
      </c>
      <c r="E19" s="37" t="s">
        <v>1212</v>
      </c>
      <c r="F19" s="37" t="s">
        <v>544</v>
      </c>
      <c r="G19" s="37"/>
      <c r="H19" s="37" t="s">
        <v>60</v>
      </c>
      <c r="I19" s="37"/>
      <c r="J19" s="37" t="s">
        <v>100</v>
      </c>
      <c r="K19" s="37" t="s">
        <v>1213</v>
      </c>
      <c r="L19" s="39" t="n">
        <v>124</v>
      </c>
      <c r="M19" s="39" t="n">
        <v>124</v>
      </c>
      <c r="N19" s="39" t="n">
        <v>69</v>
      </c>
      <c r="O19" s="39" t="n">
        <v>8</v>
      </c>
      <c r="P19" s="39" t="n">
        <v>0</v>
      </c>
      <c r="Q19" s="39" t="n">
        <v>0</v>
      </c>
      <c r="R19" s="39" t="n">
        <v>0</v>
      </c>
      <c r="S19" s="39" t="n">
        <v>0</v>
      </c>
      <c r="T19" s="40" t="n">
        <f aca="false">IF(M19=0,0,N19/M19)</f>
        <v>0.556451612903226</v>
      </c>
      <c r="U19" s="40" t="n">
        <f aca="false">IF(M19=0,0,O19/M19)</f>
        <v>0.0645161290322581</v>
      </c>
      <c r="V19" s="41" t="n">
        <f aca="false">IF(M19=0,0,P19/M19)</f>
        <v>0</v>
      </c>
      <c r="W19" s="40" t="n">
        <f aca="false">IF(L19=0,0,Q19/L19)</f>
        <v>0</v>
      </c>
    </row>
    <row r="20" customFormat="false" ht="15" hidden="false" customHeight="false" outlineLevel="0" collapsed="false">
      <c r="A20" s="37" t="s">
        <v>1232</v>
      </c>
      <c r="B20" s="38" t="n">
        <v>46289.4766203704</v>
      </c>
      <c r="C20" s="37" t="s">
        <v>1201</v>
      </c>
      <c r="D20" s="37" t="s">
        <v>1233</v>
      </c>
      <c r="E20" s="37" t="s">
        <v>1233</v>
      </c>
      <c r="F20" s="37" t="s">
        <v>544</v>
      </c>
      <c r="G20" s="37"/>
      <c r="H20" s="37" t="s">
        <v>60</v>
      </c>
      <c r="I20" s="37"/>
      <c r="J20" s="37" t="s">
        <v>100</v>
      </c>
      <c r="K20" s="37" t="s">
        <v>1213</v>
      </c>
      <c r="L20" s="39" t="n">
        <v>70</v>
      </c>
      <c r="M20" s="39" t="n">
        <v>70</v>
      </c>
      <c r="N20" s="39" t="n">
        <v>34</v>
      </c>
      <c r="O20" s="39" t="n">
        <v>3</v>
      </c>
      <c r="P20" s="39" t="n">
        <v>0</v>
      </c>
      <c r="Q20" s="39" t="n">
        <v>0</v>
      </c>
      <c r="R20" s="39" t="n">
        <v>0</v>
      </c>
      <c r="S20" s="39" t="n">
        <v>0</v>
      </c>
      <c r="T20" s="40" t="n">
        <f aca="false">IF(M20=0,0,N20/M20)</f>
        <v>0.485714285714286</v>
      </c>
      <c r="U20" s="40" t="n">
        <f aca="false">IF(M20=0,0,O20/M20)</f>
        <v>0.0428571428571429</v>
      </c>
      <c r="V20" s="41" t="n">
        <f aca="false">IF(M20=0,0,P20/M20)</f>
        <v>0</v>
      </c>
      <c r="W20" s="40" t="n">
        <f aca="false">IF(L20=0,0,Q20/L20)</f>
        <v>0</v>
      </c>
    </row>
    <row r="21" customFormat="false" ht="15" hidden="false" customHeight="false" outlineLevel="0" collapsed="false">
      <c r="A21" s="37" t="s">
        <v>1234</v>
      </c>
      <c r="B21" s="38" t="n">
        <v>46289.2508564815</v>
      </c>
      <c r="C21" s="37" t="s">
        <v>1201</v>
      </c>
      <c r="D21" s="37" t="s">
        <v>1211</v>
      </c>
      <c r="E21" s="37" t="s">
        <v>1212</v>
      </c>
      <c r="F21" s="37" t="s">
        <v>544</v>
      </c>
      <c r="G21" s="37"/>
      <c r="H21" s="37" t="s">
        <v>60</v>
      </c>
      <c r="I21" s="37"/>
      <c r="J21" s="37" t="s">
        <v>100</v>
      </c>
      <c r="K21" s="37" t="s">
        <v>1213</v>
      </c>
      <c r="L21" s="39" t="n">
        <v>125</v>
      </c>
      <c r="M21" s="39" t="n">
        <v>125</v>
      </c>
      <c r="N21" s="39" t="n">
        <v>83</v>
      </c>
      <c r="O21" s="39" t="n">
        <v>24</v>
      </c>
      <c r="P21" s="39" t="n">
        <v>0</v>
      </c>
      <c r="Q21" s="39" t="n">
        <v>0</v>
      </c>
      <c r="R21" s="39" t="n">
        <v>0</v>
      </c>
      <c r="S21" s="39" t="n">
        <v>0</v>
      </c>
      <c r="T21" s="40" t="n">
        <f aca="false">IF(M21=0,0,N21/M21)</f>
        <v>0.664</v>
      </c>
      <c r="U21" s="40" t="n">
        <f aca="false">IF(M21=0,0,O21/M21)</f>
        <v>0.192</v>
      </c>
      <c r="V21" s="41" t="n">
        <f aca="false">IF(M21=0,0,P21/M21)</f>
        <v>0</v>
      </c>
      <c r="W21" s="40" t="n">
        <f aca="false">IF(L21=0,0,Q21/L21)</f>
        <v>0</v>
      </c>
    </row>
    <row r="22" customFormat="false" ht="15" hidden="false" customHeight="false" outlineLevel="0" collapsed="false">
      <c r="A22" s="37" t="s">
        <v>1235</v>
      </c>
      <c r="B22" s="38" t="n">
        <v>46288.5068518519</v>
      </c>
      <c r="C22" s="37" t="s">
        <v>1201</v>
      </c>
      <c r="D22" s="37" t="s">
        <v>203</v>
      </c>
      <c r="E22" s="37" t="s">
        <v>203</v>
      </c>
      <c r="F22" s="37" t="s">
        <v>202</v>
      </c>
      <c r="G22" s="37"/>
      <c r="H22" s="37" t="s">
        <v>61</v>
      </c>
      <c r="I22" s="37" t="s">
        <v>202</v>
      </c>
      <c r="J22" s="37" t="s">
        <v>191</v>
      </c>
      <c r="K22" s="37" t="s">
        <v>1202</v>
      </c>
      <c r="L22" s="39" t="n">
        <v>8724</v>
      </c>
      <c r="M22" s="39" t="n">
        <v>8611</v>
      </c>
      <c r="N22" s="39" t="n">
        <v>3094</v>
      </c>
      <c r="O22" s="39" t="n">
        <v>59</v>
      </c>
      <c r="P22" s="39" t="n">
        <v>122</v>
      </c>
      <c r="Q22" s="39" t="n">
        <v>113</v>
      </c>
      <c r="R22" s="39" t="n">
        <v>65</v>
      </c>
      <c r="S22" s="39" t="n">
        <v>0</v>
      </c>
      <c r="T22" s="40" t="n">
        <f aca="false">IF(M22=0,0,N22/M22)</f>
        <v>0.35930786203693</v>
      </c>
      <c r="U22" s="40" t="n">
        <f aca="false">IF(M22=0,0,O22/M22)</f>
        <v>0.006851701312275</v>
      </c>
      <c r="V22" s="41" t="n">
        <f aca="false">IF(M22=0,0,P22/M22)</f>
        <v>0.0141679247474161</v>
      </c>
      <c r="W22" s="40" t="n">
        <f aca="false">IF(L22=0,0,Q22/L22)</f>
        <v>0.0129527739569005</v>
      </c>
    </row>
    <row r="23" customFormat="false" ht="15" hidden="false" customHeight="false" outlineLevel="0" collapsed="false">
      <c r="A23" s="37" t="s">
        <v>1236</v>
      </c>
      <c r="B23" s="38" t="n">
        <v>46288.4671875</v>
      </c>
      <c r="C23" s="37" t="s">
        <v>1201</v>
      </c>
      <c r="D23" s="37" t="s">
        <v>1237</v>
      </c>
      <c r="E23" s="37" t="s">
        <v>1237</v>
      </c>
      <c r="F23" s="37" t="s">
        <v>555</v>
      </c>
      <c r="G23" s="37"/>
      <c r="H23" s="37" t="s">
        <v>60</v>
      </c>
      <c r="I23" s="37"/>
      <c r="J23" s="37" t="s">
        <v>394</v>
      </c>
      <c r="K23" s="37" t="s">
        <v>1202</v>
      </c>
      <c r="L23" s="39" t="n">
        <v>4339</v>
      </c>
      <c r="M23" s="39" t="n">
        <v>4295</v>
      </c>
      <c r="N23" s="39" t="n">
        <v>1181</v>
      </c>
      <c r="O23" s="39" t="n">
        <v>85</v>
      </c>
      <c r="P23" s="39" t="n">
        <v>26</v>
      </c>
      <c r="Q23" s="39" t="n">
        <v>44</v>
      </c>
      <c r="R23" s="39" t="n">
        <v>21</v>
      </c>
      <c r="S23" s="39" t="n">
        <v>0</v>
      </c>
      <c r="T23" s="40" t="n">
        <f aca="false">IF(M23=0,0,N23/M23)</f>
        <v>0.274970896391153</v>
      </c>
      <c r="U23" s="40" t="n">
        <f aca="false">IF(M23=0,0,O23/M23)</f>
        <v>0.019790454016298</v>
      </c>
      <c r="V23" s="41" t="n">
        <f aca="false">IF(M23=0,0,P23/M23)</f>
        <v>0.0060535506402794</v>
      </c>
      <c r="W23" s="40" t="n">
        <f aca="false">IF(L23=0,0,Q23/L23)</f>
        <v>0.0101405853883383</v>
      </c>
    </row>
    <row r="24" customFormat="false" ht="15" hidden="false" customHeight="false" outlineLevel="0" collapsed="false">
      <c r="A24" s="37" t="s">
        <v>1238</v>
      </c>
      <c r="B24" s="38" t="n">
        <v>46288.3721296296</v>
      </c>
      <c r="C24" s="37" t="s">
        <v>1201</v>
      </c>
      <c r="D24" s="37" t="s">
        <v>1211</v>
      </c>
      <c r="E24" s="37" t="s">
        <v>1212</v>
      </c>
      <c r="F24" s="37" t="s">
        <v>544</v>
      </c>
      <c r="G24" s="37"/>
      <c r="H24" s="37" t="s">
        <v>60</v>
      </c>
      <c r="I24" s="37"/>
      <c r="J24" s="37" t="s">
        <v>100</v>
      </c>
      <c r="K24" s="37" t="s">
        <v>1213</v>
      </c>
      <c r="L24" s="39" t="n">
        <v>126</v>
      </c>
      <c r="M24" s="39" t="n">
        <v>126</v>
      </c>
      <c r="N24" s="39" t="n">
        <v>63</v>
      </c>
      <c r="O24" s="39" t="n">
        <v>7</v>
      </c>
      <c r="P24" s="39" t="n">
        <v>0</v>
      </c>
      <c r="Q24" s="39" t="n">
        <v>0</v>
      </c>
      <c r="R24" s="39" t="n">
        <v>0</v>
      </c>
      <c r="S24" s="39" t="n">
        <v>0</v>
      </c>
      <c r="T24" s="40" t="n">
        <f aca="false">IF(M24=0,0,N24/M24)</f>
        <v>0.5</v>
      </c>
      <c r="U24" s="40" t="n">
        <f aca="false">IF(M24=0,0,O24/M24)</f>
        <v>0.0555555555555556</v>
      </c>
      <c r="V24" s="41" t="n">
        <f aca="false">IF(M24=0,0,P24/M24)</f>
        <v>0</v>
      </c>
      <c r="W24" s="40" t="n">
        <f aca="false">IF(L24=0,0,Q24/L24)</f>
        <v>0</v>
      </c>
    </row>
    <row r="25" customFormat="false" ht="15" hidden="false" customHeight="false" outlineLevel="0" collapsed="false">
      <c r="A25" s="37" t="s">
        <v>1239</v>
      </c>
      <c r="B25" s="38" t="n">
        <v>46287.8125925926</v>
      </c>
      <c r="C25" s="37" t="s">
        <v>1201</v>
      </c>
      <c r="D25" s="37" t="s">
        <v>127</v>
      </c>
      <c r="E25" s="37" t="s">
        <v>128</v>
      </c>
      <c r="F25" s="37" t="s">
        <v>127</v>
      </c>
      <c r="G25" s="37"/>
      <c r="H25" s="37" t="s">
        <v>61</v>
      </c>
      <c r="I25" s="37" t="s">
        <v>125</v>
      </c>
      <c r="J25" s="37" t="s">
        <v>126</v>
      </c>
      <c r="K25" s="37" t="s">
        <v>1202</v>
      </c>
      <c r="L25" s="39" t="n">
        <v>2806</v>
      </c>
      <c r="M25" s="39" t="n">
        <v>2789</v>
      </c>
      <c r="N25" s="39" t="n">
        <v>909</v>
      </c>
      <c r="O25" s="39" t="n">
        <v>96</v>
      </c>
      <c r="P25" s="39" t="n">
        <v>10</v>
      </c>
      <c r="Q25" s="39" t="n">
        <v>17</v>
      </c>
      <c r="R25" s="39" t="n">
        <v>15</v>
      </c>
      <c r="S25" s="39" t="n">
        <v>0</v>
      </c>
      <c r="T25" s="40" t="n">
        <f aca="false">IF(M25=0,0,N25/M25)</f>
        <v>0.325923269989244</v>
      </c>
      <c r="U25" s="40" t="n">
        <f aca="false">IF(M25=0,0,O25/M25)</f>
        <v>0.0344209394048046</v>
      </c>
      <c r="V25" s="41" t="n">
        <f aca="false">IF(M25=0,0,P25/M25)</f>
        <v>0.00358551452133381</v>
      </c>
      <c r="W25" s="40" t="n">
        <f aca="false">IF(L25=0,0,Q25/L25)</f>
        <v>0.00605844618674269</v>
      </c>
    </row>
    <row r="26" customFormat="false" ht="15" hidden="false" customHeight="false" outlineLevel="0" collapsed="false">
      <c r="A26" s="37" t="s">
        <v>1240</v>
      </c>
      <c r="B26" s="38" t="n">
        <v>46287.401099537</v>
      </c>
      <c r="C26" s="37" t="s">
        <v>1241</v>
      </c>
      <c r="D26" s="37" t="s">
        <v>1242</v>
      </c>
      <c r="E26" s="37" t="s">
        <v>1115</v>
      </c>
      <c r="F26" s="37" t="s">
        <v>555</v>
      </c>
      <c r="G26" s="37"/>
      <c r="H26" s="37" t="s">
        <v>65</v>
      </c>
      <c r="I26" s="37"/>
      <c r="J26" s="37" t="s">
        <v>354</v>
      </c>
      <c r="K26" s="37" t="s">
        <v>1202</v>
      </c>
      <c r="L26" s="39" t="n">
        <v>2</v>
      </c>
      <c r="M26" s="39" t="n">
        <v>2</v>
      </c>
      <c r="N26" s="39" t="n">
        <v>2</v>
      </c>
      <c r="O26" s="39" t="n">
        <v>1</v>
      </c>
      <c r="P26" s="39" t="n">
        <v>0</v>
      </c>
      <c r="Q26" s="39" t="n">
        <v>0</v>
      </c>
      <c r="R26" s="39" t="n">
        <v>0</v>
      </c>
      <c r="S26" s="39" t="n">
        <v>0</v>
      </c>
      <c r="T26" s="40" t="n">
        <f aca="false">IF(M26=0,0,N26/M26)</f>
        <v>1</v>
      </c>
      <c r="U26" s="40" t="n">
        <f aca="false">IF(M26=0,0,O26/M26)</f>
        <v>0.5</v>
      </c>
      <c r="V26" s="41" t="n">
        <f aca="false">IF(M26=0,0,P26/M26)</f>
        <v>0</v>
      </c>
      <c r="W26" s="40" t="n">
        <f aca="false">IF(L26=0,0,Q26/L26)</f>
        <v>0</v>
      </c>
    </row>
    <row r="27" customFormat="false" ht="15" hidden="false" customHeight="false" outlineLevel="0" collapsed="false">
      <c r="A27" s="37" t="s">
        <v>1243</v>
      </c>
      <c r="B27" s="38" t="n">
        <v>46287.2446296296</v>
      </c>
      <c r="C27" s="37" t="s">
        <v>1201</v>
      </c>
      <c r="D27" s="37" t="s">
        <v>1230</v>
      </c>
      <c r="E27" s="37" t="s">
        <v>193</v>
      </c>
      <c r="F27" s="37" t="s">
        <v>544</v>
      </c>
      <c r="G27" s="37"/>
      <c r="H27" s="37" t="s">
        <v>60</v>
      </c>
      <c r="I27" s="37"/>
      <c r="J27" s="37" t="s">
        <v>357</v>
      </c>
      <c r="K27" s="37" t="s">
        <v>1202</v>
      </c>
      <c r="L27" s="39" t="n">
        <v>79</v>
      </c>
      <c r="M27" s="39" t="n">
        <v>79</v>
      </c>
      <c r="N27" s="39" t="n">
        <v>43</v>
      </c>
      <c r="O27" s="39" t="n">
        <v>17</v>
      </c>
      <c r="P27" s="39" t="n">
        <v>0</v>
      </c>
      <c r="Q27" s="39" t="n">
        <v>0</v>
      </c>
      <c r="R27" s="39" t="n">
        <v>0</v>
      </c>
      <c r="S27" s="39" t="n">
        <v>0</v>
      </c>
      <c r="T27" s="40" t="n">
        <f aca="false">IF(M27=0,0,N27/M27)</f>
        <v>0.544303797468354</v>
      </c>
      <c r="U27" s="40" t="n">
        <f aca="false">IF(M27=0,0,O27/M27)</f>
        <v>0.215189873417722</v>
      </c>
      <c r="V27" s="41" t="n">
        <f aca="false">IF(M27=0,0,P27/M27)</f>
        <v>0</v>
      </c>
      <c r="W27" s="40" t="n">
        <f aca="false">IF(L27=0,0,Q27/L27)</f>
        <v>0</v>
      </c>
    </row>
    <row r="28" customFormat="false" ht="15" hidden="false" customHeight="false" outlineLevel="0" collapsed="false">
      <c r="A28" s="37" t="s">
        <v>1244</v>
      </c>
      <c r="B28" s="38" t="n">
        <v>46287.2387847222</v>
      </c>
      <c r="C28" s="37" t="s">
        <v>1201</v>
      </c>
      <c r="D28" s="37" t="s">
        <v>1211</v>
      </c>
      <c r="E28" s="37" t="s">
        <v>1212</v>
      </c>
      <c r="F28" s="37" t="s">
        <v>544</v>
      </c>
      <c r="G28" s="37"/>
      <c r="H28" s="37" t="s">
        <v>65</v>
      </c>
      <c r="I28" s="37"/>
      <c r="J28" s="37" t="s">
        <v>100</v>
      </c>
      <c r="K28" s="37" t="s">
        <v>1213</v>
      </c>
      <c r="L28" s="39" t="n">
        <v>126</v>
      </c>
      <c r="M28" s="39" t="n">
        <v>126</v>
      </c>
      <c r="N28" s="39" t="n">
        <v>72</v>
      </c>
      <c r="O28" s="39" t="n">
        <v>2</v>
      </c>
      <c r="P28" s="39" t="n">
        <v>0</v>
      </c>
      <c r="Q28" s="39" t="n">
        <v>0</v>
      </c>
      <c r="R28" s="39" t="n">
        <v>0</v>
      </c>
      <c r="S28" s="39" t="n">
        <v>0</v>
      </c>
      <c r="T28" s="40" t="n">
        <f aca="false">IF(M28=0,0,N28/M28)</f>
        <v>0.571428571428571</v>
      </c>
      <c r="U28" s="40" t="n">
        <f aca="false">IF(M28=0,0,O28/M28)</f>
        <v>0.0158730158730159</v>
      </c>
      <c r="V28" s="41" t="n">
        <f aca="false">IF(M28=0,0,P28/M28)</f>
        <v>0</v>
      </c>
      <c r="W28" s="40" t="n">
        <f aca="false">IF(L28=0,0,Q28/L28)</f>
        <v>0</v>
      </c>
    </row>
    <row r="29" customFormat="false" ht="15" hidden="false" customHeight="false" outlineLevel="0" collapsed="false">
      <c r="A29" s="37" t="s">
        <v>1245</v>
      </c>
      <c r="B29" s="38" t="n">
        <v>46283.3439236111</v>
      </c>
      <c r="C29" s="37" t="s">
        <v>1246</v>
      </c>
      <c r="D29" s="37" t="s">
        <v>623</v>
      </c>
      <c r="E29" s="37" t="s">
        <v>166</v>
      </c>
      <c r="F29" s="37" t="s">
        <v>555</v>
      </c>
      <c r="G29" s="37" t="s">
        <v>1247</v>
      </c>
      <c r="H29" s="37" t="s">
        <v>61</v>
      </c>
      <c r="I29" s="37" t="s">
        <v>163</v>
      </c>
      <c r="J29" s="37" t="s">
        <v>164</v>
      </c>
      <c r="K29" s="37" t="s">
        <v>1202</v>
      </c>
      <c r="L29" s="39" t="n">
        <v>1440</v>
      </c>
      <c r="M29" s="39" t="n">
        <v>1430</v>
      </c>
      <c r="N29" s="39" t="n">
        <v>586</v>
      </c>
      <c r="O29" s="39" t="n">
        <v>18</v>
      </c>
      <c r="P29" s="39" t="n">
        <v>8</v>
      </c>
      <c r="Q29" s="39" t="n">
        <v>10</v>
      </c>
      <c r="R29" s="39" t="n">
        <v>7</v>
      </c>
      <c r="S29" s="39" t="n">
        <v>0</v>
      </c>
      <c r="T29" s="40" t="n">
        <f aca="false">IF(M29=0,0,N29/M29)</f>
        <v>0.40979020979021</v>
      </c>
      <c r="U29" s="40" t="n">
        <f aca="false">IF(M29=0,0,O29/M29)</f>
        <v>0.0125874125874126</v>
      </c>
      <c r="V29" s="41" t="n">
        <f aca="false">IF(M29=0,0,P29/M29)</f>
        <v>0.00559440559440559</v>
      </c>
      <c r="W29" s="40" t="n">
        <f aca="false">IF(L29=0,0,Q29/L29)</f>
        <v>0.00694444444444444</v>
      </c>
    </row>
    <row r="30" customFormat="false" ht="15" hidden="false" customHeight="false" outlineLevel="0" collapsed="false">
      <c r="A30" s="37" t="s">
        <v>74</v>
      </c>
      <c r="B30" s="38" t="n">
        <v>46283.0417476852</v>
      </c>
      <c r="C30" s="37" t="s">
        <v>1201</v>
      </c>
      <c r="D30" s="37" t="s">
        <v>152</v>
      </c>
      <c r="E30" s="37" t="s">
        <v>1204</v>
      </c>
      <c r="F30" s="37" t="s">
        <v>152</v>
      </c>
      <c r="G30" s="37"/>
      <c r="H30" s="37" t="s">
        <v>61</v>
      </c>
      <c r="I30" s="37"/>
      <c r="J30" s="37" t="s">
        <v>151</v>
      </c>
      <c r="K30" s="37" t="s">
        <v>1202</v>
      </c>
      <c r="L30" s="39" t="n">
        <v>41961</v>
      </c>
      <c r="M30" s="39" t="n">
        <v>38385</v>
      </c>
      <c r="N30" s="39" t="n">
        <v>8777</v>
      </c>
      <c r="O30" s="39" t="n">
        <v>119</v>
      </c>
      <c r="P30" s="39" t="n">
        <v>732</v>
      </c>
      <c r="Q30" s="39" t="n">
        <v>3576</v>
      </c>
      <c r="R30" s="39" t="n">
        <v>3421</v>
      </c>
      <c r="S30" s="39" t="n">
        <v>0</v>
      </c>
      <c r="T30" s="40" t="n">
        <f aca="false">IF(M30=0,0,N30/M30)</f>
        <v>0.228657027484695</v>
      </c>
      <c r="U30" s="40" t="n">
        <f aca="false">IF(M30=0,0,O30/M30)</f>
        <v>0.00310016933698059</v>
      </c>
      <c r="V30" s="41" t="n">
        <f aca="false">IF(M30=0,0,P30/M30)</f>
        <v>0.0190699491989058</v>
      </c>
      <c r="W30" s="40" t="n">
        <f aca="false">IF(L30=0,0,Q30/L30)</f>
        <v>0.0852219918495746</v>
      </c>
    </row>
    <row r="31" customFormat="false" ht="15" hidden="false" customHeight="false" outlineLevel="0" collapsed="false">
      <c r="A31" s="37" t="s">
        <v>1248</v>
      </c>
      <c r="B31" s="38" t="n">
        <v>46282.6779398148</v>
      </c>
      <c r="C31" s="37" t="s">
        <v>1201</v>
      </c>
      <c r="D31" s="37" t="s">
        <v>1206</v>
      </c>
      <c r="E31" s="37" t="s">
        <v>1206</v>
      </c>
      <c r="F31" s="37" t="s">
        <v>557</v>
      </c>
      <c r="G31" s="37"/>
      <c r="H31" s="37" t="s">
        <v>60</v>
      </c>
      <c r="I31" s="37"/>
      <c r="J31" s="37" t="s">
        <v>430</v>
      </c>
      <c r="K31" s="37" t="s">
        <v>8</v>
      </c>
      <c r="L31" s="39" t="n">
        <v>1593</v>
      </c>
      <c r="M31" s="39" t="n">
        <v>1545</v>
      </c>
      <c r="N31" s="39" t="n">
        <v>538</v>
      </c>
      <c r="O31" s="39" t="n">
        <v>23</v>
      </c>
      <c r="P31" s="39" t="n">
        <v>25</v>
      </c>
      <c r="Q31" s="39" t="n">
        <v>48</v>
      </c>
      <c r="R31" s="39" t="n">
        <v>44</v>
      </c>
      <c r="S31" s="39" t="n">
        <v>0</v>
      </c>
      <c r="T31" s="40" t="n">
        <f aca="false">IF(M31=0,0,N31/M31)</f>
        <v>0.348220064724919</v>
      </c>
      <c r="U31" s="40" t="n">
        <f aca="false">IF(M31=0,0,O31/M31)</f>
        <v>0.0148867313915858</v>
      </c>
      <c r="V31" s="41" t="n">
        <f aca="false">IF(M31=0,0,P31/M31)</f>
        <v>0.0161812297734628</v>
      </c>
      <c r="W31" s="40" t="n">
        <f aca="false">IF(L31=0,0,Q31/L31)</f>
        <v>0.0301318267419962</v>
      </c>
    </row>
    <row r="32" customFormat="false" ht="15" hidden="false" customHeight="false" outlineLevel="0" collapsed="false">
      <c r="A32" s="37" t="s">
        <v>1249</v>
      </c>
      <c r="B32" s="38" t="n">
        <v>46282.6262731482</v>
      </c>
      <c r="C32" s="37" t="s">
        <v>1241</v>
      </c>
      <c r="D32" s="37" t="s">
        <v>1242</v>
      </c>
      <c r="E32" s="37" t="s">
        <v>1250</v>
      </c>
      <c r="F32" s="37" t="s">
        <v>555</v>
      </c>
      <c r="G32" s="37"/>
      <c r="H32" s="37" t="s">
        <v>65</v>
      </c>
      <c r="I32" s="37"/>
      <c r="J32" s="37" t="s">
        <v>354</v>
      </c>
      <c r="K32" s="37" t="s">
        <v>1202</v>
      </c>
      <c r="L32" s="39" t="n">
        <v>57</v>
      </c>
      <c r="M32" s="39" t="n">
        <v>56</v>
      </c>
      <c r="N32" s="39" t="n">
        <v>25</v>
      </c>
      <c r="O32" s="39" t="n">
        <v>6</v>
      </c>
      <c r="P32" s="39" t="n">
        <v>0</v>
      </c>
      <c r="Q32" s="39" t="n">
        <v>1</v>
      </c>
      <c r="R32" s="39" t="n">
        <v>1</v>
      </c>
      <c r="S32" s="39" t="n">
        <v>0</v>
      </c>
      <c r="T32" s="40" t="n">
        <f aca="false">IF(M32=0,0,N32/M32)</f>
        <v>0.446428571428571</v>
      </c>
      <c r="U32" s="40" t="n">
        <f aca="false">IF(M32=0,0,O32/M32)</f>
        <v>0.107142857142857</v>
      </c>
      <c r="V32" s="41" t="n">
        <f aca="false">IF(M32=0,0,P32/M32)</f>
        <v>0</v>
      </c>
      <c r="W32" s="40" t="n">
        <f aca="false">IF(L32=0,0,Q32/L32)</f>
        <v>0.0175438596491228</v>
      </c>
    </row>
    <row r="33" customFormat="false" ht="15" hidden="false" customHeight="false" outlineLevel="0" collapsed="false">
      <c r="A33" s="37" t="s">
        <v>1251</v>
      </c>
      <c r="B33" s="38" t="n">
        <v>46282.3235185185</v>
      </c>
      <c r="C33" s="37" t="s">
        <v>1252</v>
      </c>
      <c r="D33" s="37" t="s">
        <v>166</v>
      </c>
      <c r="E33" s="37" t="s">
        <v>166</v>
      </c>
      <c r="F33" s="37" t="s">
        <v>544</v>
      </c>
      <c r="G33" s="37"/>
      <c r="H33" s="37" t="s">
        <v>60</v>
      </c>
      <c r="I33" s="37"/>
      <c r="J33" s="37" t="s">
        <v>164</v>
      </c>
      <c r="K33" s="37" t="s">
        <v>1202</v>
      </c>
      <c r="L33" s="39" t="n">
        <v>109</v>
      </c>
      <c r="M33" s="39" t="n">
        <v>108</v>
      </c>
      <c r="N33" s="39" t="n">
        <v>51</v>
      </c>
      <c r="O33" s="39" t="n">
        <v>3</v>
      </c>
      <c r="P33" s="39" t="n">
        <v>0</v>
      </c>
      <c r="Q33" s="39" t="n">
        <v>1</v>
      </c>
      <c r="R33" s="39" t="n">
        <v>1</v>
      </c>
      <c r="S33" s="39" t="n">
        <v>0</v>
      </c>
      <c r="T33" s="40" t="n">
        <f aca="false">IF(M33=0,0,N33/M33)</f>
        <v>0.472222222222222</v>
      </c>
      <c r="U33" s="40" t="n">
        <f aca="false">IF(M33=0,0,O33/M33)</f>
        <v>0.0277777777777778</v>
      </c>
      <c r="V33" s="41" t="n">
        <f aca="false">IF(M33=0,0,P33/M33)</f>
        <v>0</v>
      </c>
      <c r="W33" s="40" t="n">
        <f aca="false">IF(L33=0,0,Q33/L33)</f>
        <v>0.00917431192660551</v>
      </c>
    </row>
    <row r="34" customFormat="false" ht="15" hidden="false" customHeight="false" outlineLevel="0" collapsed="false">
      <c r="A34" s="37" t="s">
        <v>1253</v>
      </c>
      <c r="B34" s="38" t="n">
        <v>46282.322974537</v>
      </c>
      <c r="C34" s="37" t="s">
        <v>1252</v>
      </c>
      <c r="D34" s="37" t="s">
        <v>166</v>
      </c>
      <c r="E34" s="37" t="s">
        <v>166</v>
      </c>
      <c r="F34" s="37" t="s">
        <v>544</v>
      </c>
      <c r="G34" s="37"/>
      <c r="H34" s="37" t="s">
        <v>60</v>
      </c>
      <c r="I34" s="37"/>
      <c r="J34" s="37" t="s">
        <v>164</v>
      </c>
      <c r="K34" s="37" t="s">
        <v>1202</v>
      </c>
      <c r="L34" s="39" t="n">
        <v>72</v>
      </c>
      <c r="M34" s="39" t="n">
        <v>72</v>
      </c>
      <c r="N34" s="39" t="n">
        <v>47</v>
      </c>
      <c r="O34" s="39" t="n">
        <v>15</v>
      </c>
      <c r="P34" s="39" t="n">
        <v>0</v>
      </c>
      <c r="Q34" s="39" t="n">
        <v>0</v>
      </c>
      <c r="R34" s="39" t="n">
        <v>0</v>
      </c>
      <c r="S34" s="39" t="n">
        <v>0</v>
      </c>
      <c r="T34" s="40" t="n">
        <f aca="false">IF(M34=0,0,N34/M34)</f>
        <v>0.652777777777778</v>
      </c>
      <c r="U34" s="40" t="n">
        <f aca="false">IF(M34=0,0,O34/M34)</f>
        <v>0.208333333333333</v>
      </c>
      <c r="V34" s="41" t="n">
        <f aca="false">IF(M34=0,0,P34/M34)</f>
        <v>0</v>
      </c>
      <c r="W34" s="40" t="n">
        <f aca="false">IF(L34=0,0,Q34/L34)</f>
        <v>0</v>
      </c>
    </row>
    <row r="35" customFormat="false" ht="15" hidden="false" customHeight="false" outlineLevel="0" collapsed="false">
      <c r="A35" s="37" t="s">
        <v>1254</v>
      </c>
      <c r="B35" s="38" t="n">
        <v>46282.1130902778</v>
      </c>
      <c r="C35" s="37" t="s">
        <v>1201</v>
      </c>
      <c r="D35" s="37" t="s">
        <v>122</v>
      </c>
      <c r="E35" s="37" t="s">
        <v>1255</v>
      </c>
      <c r="F35" s="37" t="s">
        <v>555</v>
      </c>
      <c r="G35" s="37" t="s">
        <v>1256</v>
      </c>
      <c r="H35" s="37" t="s">
        <v>61</v>
      </c>
      <c r="I35" s="37" t="s">
        <v>120</v>
      </c>
      <c r="J35" s="37" t="s">
        <v>121</v>
      </c>
      <c r="K35" s="37" t="s">
        <v>1202</v>
      </c>
      <c r="L35" s="39" t="n">
        <v>7359</v>
      </c>
      <c r="M35" s="39" t="n">
        <v>7259</v>
      </c>
      <c r="N35" s="39" t="n">
        <v>1913</v>
      </c>
      <c r="O35" s="39" t="n">
        <v>73</v>
      </c>
      <c r="P35" s="39" t="n">
        <v>63</v>
      </c>
      <c r="Q35" s="39" t="n">
        <v>100</v>
      </c>
      <c r="R35" s="39" t="n">
        <v>70</v>
      </c>
      <c r="S35" s="39" t="n">
        <v>0</v>
      </c>
      <c r="T35" s="40" t="n">
        <f aca="false">IF(M35=0,0,N35/M35)</f>
        <v>0.263534922165588</v>
      </c>
      <c r="U35" s="40" t="n">
        <f aca="false">IF(M35=0,0,O35/M35)</f>
        <v>0.0100564816090371</v>
      </c>
      <c r="V35" s="41" t="n">
        <f aca="false">IF(M35=0,0,P35/M35)</f>
        <v>0.00867888138862102</v>
      </c>
      <c r="W35" s="40" t="n">
        <f aca="false">IF(L35=0,0,Q35/L35)</f>
        <v>0.013588802826471</v>
      </c>
    </row>
    <row r="36" customFormat="false" ht="15" hidden="false" customHeight="false" outlineLevel="0" collapsed="false">
      <c r="A36" s="37" t="s">
        <v>1257</v>
      </c>
      <c r="B36" s="38" t="n">
        <v>46281.0215162037</v>
      </c>
      <c r="C36" s="37" t="s">
        <v>1201</v>
      </c>
      <c r="D36" s="37" t="s">
        <v>152</v>
      </c>
      <c r="E36" s="37" t="s">
        <v>1204</v>
      </c>
      <c r="F36" s="37" t="s">
        <v>152</v>
      </c>
      <c r="G36" s="37"/>
      <c r="H36" s="37" t="s">
        <v>61</v>
      </c>
      <c r="I36" s="37" t="s">
        <v>150</v>
      </c>
      <c r="J36" s="37" t="s">
        <v>151</v>
      </c>
      <c r="K36" s="37" t="s">
        <v>1202</v>
      </c>
      <c r="L36" s="39" t="n">
        <v>888</v>
      </c>
      <c r="M36" s="39" t="n">
        <v>887</v>
      </c>
      <c r="N36" s="39" t="n">
        <v>233</v>
      </c>
      <c r="O36" s="39" t="n">
        <v>54</v>
      </c>
      <c r="P36" s="39" t="n">
        <v>2</v>
      </c>
      <c r="Q36" s="39" t="n">
        <v>1</v>
      </c>
      <c r="R36" s="39" t="n">
        <v>1</v>
      </c>
      <c r="S36" s="39" t="n">
        <v>0</v>
      </c>
      <c r="T36" s="40" t="n">
        <f aca="false">IF(M36=0,0,N36/M36)</f>
        <v>0.262683201803833</v>
      </c>
      <c r="U36" s="40" t="n">
        <f aca="false">IF(M36=0,0,O36/M36)</f>
        <v>0.0608793686583991</v>
      </c>
      <c r="V36" s="41" t="n">
        <f aca="false">IF(M36=0,0,P36/M36)</f>
        <v>0.00225479143179256</v>
      </c>
      <c r="W36" s="40" t="n">
        <f aca="false">IF(L36=0,0,Q36/L36)</f>
        <v>0.00112612612612613</v>
      </c>
    </row>
    <row r="37" customFormat="false" ht="15" hidden="false" customHeight="false" outlineLevel="0" collapsed="false">
      <c r="A37" s="37" t="s">
        <v>1258</v>
      </c>
      <c r="B37" s="38" t="n">
        <v>46281.0190277778</v>
      </c>
      <c r="C37" s="37" t="s">
        <v>1201</v>
      </c>
      <c r="D37" s="37" t="s">
        <v>1259</v>
      </c>
      <c r="E37" s="37" t="s">
        <v>1259</v>
      </c>
      <c r="F37" s="37" t="s">
        <v>127</v>
      </c>
      <c r="G37" s="37"/>
      <c r="H37" s="37" t="s">
        <v>60</v>
      </c>
      <c r="I37" s="37"/>
      <c r="J37" s="37" t="s">
        <v>126</v>
      </c>
      <c r="K37" s="37" t="s">
        <v>1202</v>
      </c>
      <c r="L37" s="39" t="n">
        <v>44</v>
      </c>
      <c r="M37" s="39" t="n">
        <v>44</v>
      </c>
      <c r="N37" s="39" t="n">
        <v>20</v>
      </c>
      <c r="O37" s="39" t="n">
        <v>5</v>
      </c>
      <c r="P37" s="39" t="n">
        <v>0</v>
      </c>
      <c r="Q37" s="39" t="n">
        <v>0</v>
      </c>
      <c r="R37" s="39" t="n">
        <v>0</v>
      </c>
      <c r="S37" s="39" t="n">
        <v>0</v>
      </c>
      <c r="T37" s="40" t="n">
        <f aca="false">IF(M37=0,0,N37/M37)</f>
        <v>0.454545454545455</v>
      </c>
      <c r="U37" s="40" t="n">
        <f aca="false">IF(M37=0,0,O37/M37)</f>
        <v>0.113636363636364</v>
      </c>
      <c r="V37" s="41" t="n">
        <f aca="false">IF(M37=0,0,P37/M37)</f>
        <v>0</v>
      </c>
      <c r="W37" s="40" t="n">
        <f aca="false">IF(L37=0,0,Q37/L37)</f>
        <v>0</v>
      </c>
    </row>
    <row r="38" customFormat="false" ht="15" hidden="false" customHeight="false" outlineLevel="0" collapsed="false">
      <c r="A38" s="37" t="s">
        <v>1260</v>
      </c>
      <c r="B38" s="38" t="n">
        <v>46280.7085300926</v>
      </c>
      <c r="C38" s="37" t="s">
        <v>1252</v>
      </c>
      <c r="D38" s="37" t="s">
        <v>1230</v>
      </c>
      <c r="E38" s="37" t="s">
        <v>193</v>
      </c>
      <c r="F38" s="37" t="s">
        <v>555</v>
      </c>
      <c r="G38" s="37"/>
      <c r="H38" s="37" t="s">
        <v>64</v>
      </c>
      <c r="I38" s="37"/>
      <c r="J38" s="37" t="s">
        <v>357</v>
      </c>
      <c r="K38" s="37" t="s">
        <v>1202</v>
      </c>
      <c r="L38" s="39" t="n">
        <v>9</v>
      </c>
      <c r="M38" s="39" t="n">
        <v>9</v>
      </c>
      <c r="N38" s="39" t="n">
        <v>8</v>
      </c>
      <c r="O38" s="39" t="n">
        <v>5</v>
      </c>
      <c r="P38" s="39" t="n">
        <v>0</v>
      </c>
      <c r="Q38" s="39" t="n">
        <v>0</v>
      </c>
      <c r="R38" s="39" t="n">
        <v>0</v>
      </c>
      <c r="S38" s="39" t="n">
        <v>0</v>
      </c>
      <c r="T38" s="40" t="n">
        <f aca="false">IF(M38=0,0,N38/M38)</f>
        <v>0.888888888888889</v>
      </c>
      <c r="U38" s="40" t="n">
        <f aca="false">IF(M38=0,0,O38/M38)</f>
        <v>0.555555555555556</v>
      </c>
      <c r="V38" s="41" t="n">
        <f aca="false">IF(M38=0,0,P38/M38)</f>
        <v>0</v>
      </c>
      <c r="W38" s="40" t="n">
        <f aca="false">IF(L38=0,0,Q38/L38)</f>
        <v>0</v>
      </c>
    </row>
    <row r="39" customFormat="false" ht="15" hidden="false" customHeight="false" outlineLevel="0" collapsed="false">
      <c r="A39" s="37" t="s">
        <v>1261</v>
      </c>
      <c r="B39" s="38" t="n">
        <v>46280.343599537</v>
      </c>
      <c r="C39" s="37" t="s">
        <v>1241</v>
      </c>
      <c r="D39" s="37" t="s">
        <v>1242</v>
      </c>
      <c r="E39" s="37" t="s">
        <v>1250</v>
      </c>
      <c r="F39" s="37" t="s">
        <v>555</v>
      </c>
      <c r="G39" s="37"/>
      <c r="H39" s="37" t="s">
        <v>65</v>
      </c>
      <c r="I39" s="37"/>
      <c r="J39" s="37" t="s">
        <v>354</v>
      </c>
      <c r="K39" s="37" t="s">
        <v>1202</v>
      </c>
      <c r="L39" s="39" t="n">
        <v>1019</v>
      </c>
      <c r="M39" s="39" t="n">
        <v>1008</v>
      </c>
      <c r="N39" s="39" t="n">
        <v>605</v>
      </c>
      <c r="O39" s="39" t="n">
        <v>476</v>
      </c>
      <c r="P39" s="39" t="n">
        <v>4</v>
      </c>
      <c r="Q39" s="39" t="n">
        <v>11</v>
      </c>
      <c r="R39" s="39" t="n">
        <v>10</v>
      </c>
      <c r="S39" s="39" t="n">
        <v>0</v>
      </c>
      <c r="T39" s="40" t="n">
        <f aca="false">IF(M39=0,0,N39/M39)</f>
        <v>0.600198412698413</v>
      </c>
      <c r="U39" s="40" t="n">
        <f aca="false">IF(M39=0,0,O39/M39)</f>
        <v>0.472222222222222</v>
      </c>
      <c r="V39" s="41" t="n">
        <f aca="false">IF(M39=0,0,P39/M39)</f>
        <v>0.00396825396825397</v>
      </c>
      <c r="W39" s="40" t="n">
        <f aca="false">IF(L39=0,0,Q39/L39)</f>
        <v>0.0107948969578018</v>
      </c>
    </row>
    <row r="40" customFormat="false" ht="15" hidden="false" customHeight="false" outlineLevel="0" collapsed="false">
      <c r="A40" s="37" t="s">
        <v>1262</v>
      </c>
      <c r="B40" s="38" t="n">
        <v>46280.3433101852</v>
      </c>
      <c r="C40" s="37" t="s">
        <v>1241</v>
      </c>
      <c r="D40" s="37" t="s">
        <v>1242</v>
      </c>
      <c r="E40" s="37" t="s">
        <v>1250</v>
      </c>
      <c r="F40" s="37" t="s">
        <v>555</v>
      </c>
      <c r="G40" s="37"/>
      <c r="H40" s="37" t="s">
        <v>65</v>
      </c>
      <c r="I40" s="37"/>
      <c r="J40" s="37" t="s">
        <v>354</v>
      </c>
      <c r="K40" s="37" t="s">
        <v>1202</v>
      </c>
      <c r="L40" s="39" t="n">
        <v>596</v>
      </c>
      <c r="M40" s="39" t="n">
        <v>585</v>
      </c>
      <c r="N40" s="39" t="n">
        <v>338</v>
      </c>
      <c r="O40" s="39" t="n">
        <v>279</v>
      </c>
      <c r="P40" s="39" t="n">
        <v>3</v>
      </c>
      <c r="Q40" s="39" t="n">
        <v>11</v>
      </c>
      <c r="R40" s="39" t="n">
        <v>10</v>
      </c>
      <c r="S40" s="39" t="n">
        <v>0</v>
      </c>
      <c r="T40" s="40" t="n">
        <f aca="false">IF(M40=0,0,N40/M40)</f>
        <v>0.577777777777778</v>
      </c>
      <c r="U40" s="40" t="n">
        <f aca="false">IF(M40=0,0,O40/M40)</f>
        <v>0.476923076923077</v>
      </c>
      <c r="V40" s="41" t="n">
        <f aca="false">IF(M40=0,0,P40/M40)</f>
        <v>0.00512820512820513</v>
      </c>
      <c r="W40" s="40" t="n">
        <f aca="false">IF(L40=0,0,Q40/L40)</f>
        <v>0.0184563758389262</v>
      </c>
    </row>
    <row r="41" customFormat="false" ht="15" hidden="false" customHeight="false" outlineLevel="0" collapsed="false">
      <c r="A41" s="37" t="s">
        <v>1263</v>
      </c>
      <c r="B41" s="38" t="n">
        <v>46280.3430324074</v>
      </c>
      <c r="C41" s="37" t="s">
        <v>1241</v>
      </c>
      <c r="D41" s="37" t="s">
        <v>1242</v>
      </c>
      <c r="E41" s="37" t="s">
        <v>1115</v>
      </c>
      <c r="F41" s="37" t="s">
        <v>555</v>
      </c>
      <c r="G41" s="37" t="s">
        <v>1264</v>
      </c>
      <c r="H41" s="37" t="s">
        <v>65</v>
      </c>
      <c r="I41" s="37"/>
      <c r="J41" s="37" t="s">
        <v>354</v>
      </c>
      <c r="K41" s="37" t="s">
        <v>1202</v>
      </c>
      <c r="L41" s="39" t="n">
        <v>172</v>
      </c>
      <c r="M41" s="39" t="n">
        <v>172</v>
      </c>
      <c r="N41" s="39" t="n">
        <v>66</v>
      </c>
      <c r="O41" s="39" t="n">
        <v>17</v>
      </c>
      <c r="P41" s="39" t="n">
        <v>1</v>
      </c>
      <c r="Q41" s="39" t="n">
        <v>0</v>
      </c>
      <c r="R41" s="39" t="n">
        <v>0</v>
      </c>
      <c r="S41" s="39" t="n">
        <v>0</v>
      </c>
      <c r="T41" s="40" t="n">
        <f aca="false">IF(M41=0,0,N41/M41)</f>
        <v>0.383720930232558</v>
      </c>
      <c r="U41" s="40" t="n">
        <f aca="false">IF(M41=0,0,O41/M41)</f>
        <v>0.0988372093023256</v>
      </c>
      <c r="V41" s="41" t="n">
        <f aca="false">IF(M41=0,0,P41/M41)</f>
        <v>0.00581395348837209</v>
      </c>
      <c r="W41" s="40" t="n">
        <f aca="false">IF(L41=0,0,Q41/L41)</f>
        <v>0</v>
      </c>
    </row>
    <row r="42" customFormat="false" ht="15" hidden="false" customHeight="false" outlineLevel="0" collapsed="false">
      <c r="A42" s="37" t="s">
        <v>1265</v>
      </c>
      <c r="B42" s="38" t="n">
        <v>46280.3426273148</v>
      </c>
      <c r="C42" s="37" t="s">
        <v>1241</v>
      </c>
      <c r="D42" s="37" t="s">
        <v>1242</v>
      </c>
      <c r="E42" s="37" t="s">
        <v>1250</v>
      </c>
      <c r="F42" s="37" t="s">
        <v>555</v>
      </c>
      <c r="G42" s="37"/>
      <c r="H42" s="37" t="s">
        <v>65</v>
      </c>
      <c r="I42" s="37"/>
      <c r="J42" s="37" t="s">
        <v>354</v>
      </c>
      <c r="K42" s="37" t="s">
        <v>1202</v>
      </c>
      <c r="L42" s="39" t="n">
        <v>31</v>
      </c>
      <c r="M42" s="39" t="n">
        <v>30</v>
      </c>
      <c r="N42" s="39" t="n">
        <v>14</v>
      </c>
      <c r="O42" s="39" t="n">
        <v>3</v>
      </c>
      <c r="P42" s="39" t="n">
        <v>0</v>
      </c>
      <c r="Q42" s="39" t="n">
        <v>1</v>
      </c>
      <c r="R42" s="39" t="n">
        <v>1</v>
      </c>
      <c r="S42" s="39" t="n">
        <v>0</v>
      </c>
      <c r="T42" s="40" t="n">
        <f aca="false">IF(M42=0,0,N42/M42)</f>
        <v>0.466666666666667</v>
      </c>
      <c r="U42" s="40" t="n">
        <f aca="false">IF(M42=0,0,O42/M42)</f>
        <v>0.1</v>
      </c>
      <c r="V42" s="41" t="n">
        <f aca="false">IF(M42=0,0,P42/M42)</f>
        <v>0</v>
      </c>
      <c r="W42" s="40" t="n">
        <f aca="false">IF(L42=0,0,Q42/L42)</f>
        <v>0.032258064516129</v>
      </c>
    </row>
    <row r="43" customFormat="false" ht="15" hidden="false" customHeight="false" outlineLevel="0" collapsed="false">
      <c r="A43" s="37" t="s">
        <v>1266</v>
      </c>
      <c r="B43" s="38" t="n">
        <v>46280.342337963</v>
      </c>
      <c r="C43" s="37" t="s">
        <v>1241</v>
      </c>
      <c r="D43" s="37" t="s">
        <v>1242</v>
      </c>
      <c r="E43" s="37" t="s">
        <v>1267</v>
      </c>
      <c r="F43" s="37" t="s">
        <v>555</v>
      </c>
      <c r="G43" s="37"/>
      <c r="H43" s="37" t="s">
        <v>65</v>
      </c>
      <c r="I43" s="37"/>
      <c r="J43" s="37" t="s">
        <v>354</v>
      </c>
      <c r="K43" s="37" t="s">
        <v>1202</v>
      </c>
      <c r="L43" s="39" t="n">
        <v>79</v>
      </c>
      <c r="M43" s="39" t="n">
        <v>78</v>
      </c>
      <c r="N43" s="39" t="n">
        <v>31</v>
      </c>
      <c r="O43" s="39" t="n">
        <v>17</v>
      </c>
      <c r="P43" s="39" t="n">
        <v>0</v>
      </c>
      <c r="Q43" s="39" t="n">
        <v>1</v>
      </c>
      <c r="R43" s="39" t="n">
        <v>1</v>
      </c>
      <c r="S43" s="39" t="n">
        <v>0</v>
      </c>
      <c r="T43" s="40" t="n">
        <f aca="false">IF(M43=0,0,N43/M43)</f>
        <v>0.397435897435897</v>
      </c>
      <c r="U43" s="40" t="n">
        <f aca="false">IF(M43=0,0,O43/M43)</f>
        <v>0.217948717948718</v>
      </c>
      <c r="V43" s="41" t="n">
        <f aca="false">IF(M43=0,0,P43/M43)</f>
        <v>0</v>
      </c>
      <c r="W43" s="40" t="n">
        <f aca="false">IF(L43=0,0,Q43/L43)</f>
        <v>0.0126582278481013</v>
      </c>
    </row>
    <row r="44" customFormat="false" ht="15" hidden="false" customHeight="false" outlineLevel="0" collapsed="false">
      <c r="A44" s="37" t="s">
        <v>1268</v>
      </c>
      <c r="B44" s="38" t="n">
        <v>46280.3419328704</v>
      </c>
      <c r="C44" s="37" t="s">
        <v>1241</v>
      </c>
      <c r="D44" s="37" t="s">
        <v>1242</v>
      </c>
      <c r="E44" s="37" t="s">
        <v>1267</v>
      </c>
      <c r="F44" s="37" t="s">
        <v>555</v>
      </c>
      <c r="G44" s="37"/>
      <c r="H44" s="37" t="s">
        <v>65</v>
      </c>
      <c r="I44" s="37"/>
      <c r="J44" s="37" t="s">
        <v>354</v>
      </c>
      <c r="K44" s="37" t="s">
        <v>1202</v>
      </c>
      <c r="L44" s="39" t="n">
        <v>135</v>
      </c>
      <c r="M44" s="39" t="n">
        <v>135</v>
      </c>
      <c r="N44" s="39" t="n">
        <v>60</v>
      </c>
      <c r="O44" s="39" t="n">
        <v>13</v>
      </c>
      <c r="P44" s="39" t="n">
        <v>2</v>
      </c>
      <c r="Q44" s="39" t="n">
        <v>0</v>
      </c>
      <c r="R44" s="39" t="n">
        <v>0</v>
      </c>
      <c r="S44" s="39" t="n">
        <v>0</v>
      </c>
      <c r="T44" s="40" t="n">
        <f aca="false">IF(M44=0,0,N44/M44)</f>
        <v>0.444444444444444</v>
      </c>
      <c r="U44" s="40" t="n">
        <f aca="false">IF(M44=0,0,O44/M44)</f>
        <v>0.0962962962962963</v>
      </c>
      <c r="V44" s="41" t="n">
        <f aca="false">IF(M44=0,0,P44/M44)</f>
        <v>0.0148148148148148</v>
      </c>
      <c r="W44" s="40" t="n">
        <f aca="false">IF(L44=0,0,Q44/L44)</f>
        <v>0</v>
      </c>
    </row>
    <row r="45" customFormat="false" ht="15" hidden="false" customHeight="false" outlineLevel="0" collapsed="false">
      <c r="A45" s="37" t="s">
        <v>1269</v>
      </c>
      <c r="B45" s="38" t="n">
        <v>46280.3414467593</v>
      </c>
      <c r="C45" s="37" t="s">
        <v>1241</v>
      </c>
      <c r="D45" s="37" t="s">
        <v>1242</v>
      </c>
      <c r="E45" s="37" t="s">
        <v>1250</v>
      </c>
      <c r="F45" s="37" t="s">
        <v>555</v>
      </c>
      <c r="G45" s="37"/>
      <c r="H45" s="37" t="s">
        <v>65</v>
      </c>
      <c r="I45" s="37"/>
      <c r="J45" s="37" t="s">
        <v>354</v>
      </c>
      <c r="K45" s="37" t="s">
        <v>1202</v>
      </c>
      <c r="L45" s="39" t="n">
        <v>436</v>
      </c>
      <c r="M45" s="39" t="n">
        <v>424</v>
      </c>
      <c r="N45" s="39" t="n">
        <v>135</v>
      </c>
      <c r="O45" s="39" t="n">
        <v>37</v>
      </c>
      <c r="P45" s="39" t="n">
        <v>5</v>
      </c>
      <c r="Q45" s="39" t="n">
        <v>12</v>
      </c>
      <c r="R45" s="39" t="n">
        <v>12</v>
      </c>
      <c r="S45" s="39" t="n">
        <v>0</v>
      </c>
      <c r="T45" s="40" t="n">
        <f aca="false">IF(M45=0,0,N45/M45)</f>
        <v>0.318396226415094</v>
      </c>
      <c r="U45" s="40" t="n">
        <f aca="false">IF(M45=0,0,O45/M45)</f>
        <v>0.0872641509433962</v>
      </c>
      <c r="V45" s="41" t="n">
        <f aca="false">IF(M45=0,0,P45/M45)</f>
        <v>0.0117924528301887</v>
      </c>
      <c r="W45" s="40" t="n">
        <f aca="false">IF(L45=0,0,Q45/L45)</f>
        <v>0.0275229357798165</v>
      </c>
    </row>
    <row r="46" customFormat="false" ht="15" hidden="false" customHeight="false" outlineLevel="0" collapsed="false">
      <c r="A46" s="37" t="s">
        <v>1270</v>
      </c>
      <c r="B46" s="38" t="n">
        <v>46280.1206481482</v>
      </c>
      <c r="C46" s="37" t="s">
        <v>1201</v>
      </c>
      <c r="D46" s="37" t="s">
        <v>1230</v>
      </c>
      <c r="E46" s="37" t="s">
        <v>193</v>
      </c>
      <c r="F46" s="37" t="s">
        <v>544</v>
      </c>
      <c r="G46" s="37"/>
      <c r="H46" s="37" t="s">
        <v>60</v>
      </c>
      <c r="I46" s="37"/>
      <c r="J46" s="37" t="s">
        <v>357</v>
      </c>
      <c r="K46" s="37" t="s">
        <v>1202</v>
      </c>
      <c r="L46" s="39" t="n">
        <v>91</v>
      </c>
      <c r="M46" s="39" t="n">
        <v>90</v>
      </c>
      <c r="N46" s="39" t="n">
        <v>30</v>
      </c>
      <c r="O46" s="39" t="n">
        <v>8</v>
      </c>
      <c r="P46" s="39" t="n">
        <v>0</v>
      </c>
      <c r="Q46" s="39" t="n">
        <v>1</v>
      </c>
      <c r="R46" s="39" t="n">
        <v>1</v>
      </c>
      <c r="S46" s="39" t="n">
        <v>0</v>
      </c>
      <c r="T46" s="40" t="n">
        <f aca="false">IF(M46=0,0,N46/M46)</f>
        <v>0.333333333333333</v>
      </c>
      <c r="U46" s="40" t="n">
        <f aca="false">IF(M46=0,0,O46/M46)</f>
        <v>0.0888888888888889</v>
      </c>
      <c r="V46" s="41" t="n">
        <f aca="false">IF(M46=0,0,P46/M46)</f>
        <v>0</v>
      </c>
      <c r="W46" s="40" t="n">
        <f aca="false">IF(L46=0,0,Q46/L46)</f>
        <v>0.010989010989011</v>
      </c>
    </row>
    <row r="47" customFormat="false" ht="15" hidden="false" customHeight="false" outlineLevel="0" collapsed="false">
      <c r="A47" s="37" t="s">
        <v>1271</v>
      </c>
      <c r="B47" s="38" t="n">
        <v>46280.1201157407</v>
      </c>
      <c r="C47" s="37" t="s">
        <v>1201</v>
      </c>
      <c r="D47" s="37" t="s">
        <v>1230</v>
      </c>
      <c r="E47" s="37" t="s">
        <v>193</v>
      </c>
      <c r="F47" s="37" t="s">
        <v>544</v>
      </c>
      <c r="G47" s="37"/>
      <c r="H47" s="37" t="s">
        <v>60</v>
      </c>
      <c r="I47" s="37"/>
      <c r="J47" s="37" t="s">
        <v>357</v>
      </c>
      <c r="K47" s="37" t="s">
        <v>1202</v>
      </c>
      <c r="L47" s="39" t="n">
        <v>73</v>
      </c>
      <c r="M47" s="39" t="n">
        <v>73</v>
      </c>
      <c r="N47" s="39" t="n">
        <v>34</v>
      </c>
      <c r="O47" s="39" t="n">
        <v>8</v>
      </c>
      <c r="P47" s="39" t="n">
        <v>0</v>
      </c>
      <c r="Q47" s="39" t="n">
        <v>0</v>
      </c>
      <c r="R47" s="39" t="n">
        <v>0</v>
      </c>
      <c r="S47" s="39" t="n">
        <v>0</v>
      </c>
      <c r="T47" s="40" t="n">
        <f aca="false">IF(M47=0,0,N47/M47)</f>
        <v>0.465753424657534</v>
      </c>
      <c r="U47" s="40" t="n">
        <f aca="false">IF(M47=0,0,O47/M47)</f>
        <v>0.10958904109589</v>
      </c>
      <c r="V47" s="41" t="n">
        <f aca="false">IF(M47=0,0,P47/M47)</f>
        <v>0</v>
      </c>
      <c r="W47" s="40" t="n">
        <f aca="false">IF(L47=0,0,Q47/L47)</f>
        <v>0</v>
      </c>
    </row>
    <row r="48" customFormat="false" ht="15" hidden="false" customHeight="false" outlineLevel="0" collapsed="false">
      <c r="A48" s="37" t="s">
        <v>1272</v>
      </c>
      <c r="B48" s="38" t="n">
        <v>46280.0568171296</v>
      </c>
      <c r="C48" s="37" t="s">
        <v>1201</v>
      </c>
      <c r="D48" s="37" t="s">
        <v>1230</v>
      </c>
      <c r="E48" s="37" t="s">
        <v>193</v>
      </c>
      <c r="F48" s="37" t="s">
        <v>555</v>
      </c>
      <c r="G48" s="37"/>
      <c r="H48" s="37" t="s">
        <v>64</v>
      </c>
      <c r="I48" s="37"/>
      <c r="J48" s="37" t="s">
        <v>357</v>
      </c>
      <c r="K48" s="37" t="s">
        <v>1202</v>
      </c>
      <c r="L48" s="39" t="n">
        <v>9</v>
      </c>
      <c r="M48" s="39" t="n">
        <v>9</v>
      </c>
      <c r="N48" s="39" t="n">
        <v>8</v>
      </c>
      <c r="O48" s="39" t="n">
        <v>7</v>
      </c>
      <c r="P48" s="39" t="n">
        <v>0</v>
      </c>
      <c r="Q48" s="39" t="n">
        <v>0</v>
      </c>
      <c r="R48" s="39" t="n">
        <v>0</v>
      </c>
      <c r="S48" s="39" t="n">
        <v>0</v>
      </c>
      <c r="T48" s="40" t="n">
        <f aca="false">IF(M48=0,0,N48/M48)</f>
        <v>0.888888888888889</v>
      </c>
      <c r="U48" s="40" t="n">
        <f aca="false">IF(M48=0,0,O48/M48)</f>
        <v>0.777777777777778</v>
      </c>
      <c r="V48" s="41" t="n">
        <f aca="false">IF(M48=0,0,P48/M48)</f>
        <v>0</v>
      </c>
      <c r="W48" s="40" t="n">
        <f aca="false">IF(L48=0,0,Q48/L48)</f>
        <v>0</v>
      </c>
    </row>
    <row r="49" customFormat="false" ht="15" hidden="false" customHeight="false" outlineLevel="0" collapsed="false">
      <c r="A49" s="37" t="s">
        <v>1273</v>
      </c>
      <c r="B49" s="38" t="n">
        <v>46279.868125</v>
      </c>
      <c r="C49" s="37" t="s">
        <v>1201</v>
      </c>
      <c r="D49" s="37" t="s">
        <v>1211</v>
      </c>
      <c r="E49" s="37" t="s">
        <v>1212</v>
      </c>
      <c r="F49" s="37" t="s">
        <v>544</v>
      </c>
      <c r="G49" s="37"/>
      <c r="H49" s="37" t="s">
        <v>60</v>
      </c>
      <c r="I49" s="37"/>
      <c r="J49" s="37" t="s">
        <v>100</v>
      </c>
      <c r="K49" s="37" t="s">
        <v>1213</v>
      </c>
      <c r="L49" s="39" t="n">
        <v>123</v>
      </c>
      <c r="M49" s="39" t="n">
        <v>123</v>
      </c>
      <c r="N49" s="39" t="n">
        <v>63</v>
      </c>
      <c r="O49" s="39" t="n">
        <v>7</v>
      </c>
      <c r="P49" s="39" t="n">
        <v>0</v>
      </c>
      <c r="Q49" s="39" t="n">
        <v>0</v>
      </c>
      <c r="R49" s="39" t="n">
        <v>0</v>
      </c>
      <c r="S49" s="39" t="n">
        <v>0</v>
      </c>
      <c r="T49" s="40" t="n">
        <f aca="false">IF(M49=0,0,N49/M49)</f>
        <v>0.51219512195122</v>
      </c>
      <c r="U49" s="40" t="n">
        <f aca="false">IF(M49=0,0,O49/M49)</f>
        <v>0.0569105691056911</v>
      </c>
      <c r="V49" s="41" t="n">
        <f aca="false">IF(M49=0,0,P49/M49)</f>
        <v>0</v>
      </c>
      <c r="W49" s="40" t="n">
        <f aca="false">IF(L49=0,0,Q49/L49)</f>
        <v>0</v>
      </c>
    </row>
    <row r="50" customFormat="false" ht="15" hidden="false" customHeight="false" outlineLevel="0" collapsed="false">
      <c r="A50" s="37" t="s">
        <v>1274</v>
      </c>
      <c r="B50" s="38" t="n">
        <v>46279.5744444444</v>
      </c>
      <c r="C50" s="37" t="s">
        <v>1201</v>
      </c>
      <c r="D50" s="37" t="s">
        <v>230</v>
      </c>
      <c r="E50" s="37" t="s">
        <v>134</v>
      </c>
      <c r="F50" s="37" t="s">
        <v>555</v>
      </c>
      <c r="G50" s="37"/>
      <c r="H50" s="37" t="s">
        <v>61</v>
      </c>
      <c r="I50" s="37"/>
      <c r="J50" s="37" t="s">
        <v>229</v>
      </c>
      <c r="K50" s="37" t="s">
        <v>1202</v>
      </c>
      <c r="L50" s="39" t="n">
        <v>7</v>
      </c>
      <c r="M50" s="39" t="n">
        <v>7</v>
      </c>
      <c r="N50" s="39" t="n">
        <v>6</v>
      </c>
      <c r="O50" s="39" t="n">
        <v>0</v>
      </c>
      <c r="P50" s="39" t="n">
        <v>0</v>
      </c>
      <c r="Q50" s="39" t="n">
        <v>0</v>
      </c>
      <c r="R50" s="39" t="n">
        <v>0</v>
      </c>
      <c r="S50" s="39" t="n">
        <v>0</v>
      </c>
      <c r="T50" s="40" t="n">
        <f aca="false">IF(M50=0,0,N50/M50)</f>
        <v>0.857142857142857</v>
      </c>
      <c r="U50" s="40" t="n">
        <f aca="false">IF(M50=0,0,O50/M50)</f>
        <v>0</v>
      </c>
      <c r="V50" s="41" t="n">
        <f aca="false">IF(M50=0,0,P50/M50)</f>
        <v>0</v>
      </c>
      <c r="W50" s="40" t="n">
        <f aca="false">IF(L50=0,0,Q50/L50)</f>
        <v>0</v>
      </c>
    </row>
    <row r="51" customFormat="false" ht="15" hidden="false" customHeight="false" outlineLevel="0" collapsed="false">
      <c r="A51" s="37" t="s">
        <v>1275</v>
      </c>
      <c r="B51" s="38" t="n">
        <v>46279.473587963</v>
      </c>
      <c r="C51" s="37" t="s">
        <v>1201</v>
      </c>
      <c r="D51" s="37" t="s">
        <v>288</v>
      </c>
      <c r="E51" s="37" t="s">
        <v>288</v>
      </c>
      <c r="F51" s="37" t="s">
        <v>548</v>
      </c>
      <c r="G51" s="37"/>
      <c r="H51" s="37" t="s">
        <v>61</v>
      </c>
      <c r="I51" s="37"/>
      <c r="J51" s="37" t="s">
        <v>287</v>
      </c>
      <c r="K51" s="37" t="s">
        <v>1213</v>
      </c>
      <c r="L51" s="39" t="n">
        <v>178</v>
      </c>
      <c r="M51" s="39" t="n">
        <v>177</v>
      </c>
      <c r="N51" s="39" t="n">
        <v>91</v>
      </c>
      <c r="O51" s="39" t="n">
        <v>33</v>
      </c>
      <c r="P51" s="39" t="n">
        <v>0</v>
      </c>
      <c r="Q51" s="39" t="n">
        <v>1</v>
      </c>
      <c r="R51" s="39" t="n">
        <v>1</v>
      </c>
      <c r="S51" s="39" t="n">
        <v>0</v>
      </c>
      <c r="T51" s="40" t="n">
        <f aca="false">IF(M51=0,0,N51/M51)</f>
        <v>0.514124293785311</v>
      </c>
      <c r="U51" s="40" t="n">
        <f aca="false">IF(M51=0,0,O51/M51)</f>
        <v>0.186440677966102</v>
      </c>
      <c r="V51" s="41" t="n">
        <f aca="false">IF(M51=0,0,P51/M51)</f>
        <v>0</v>
      </c>
      <c r="W51" s="40" t="n">
        <f aca="false">IF(L51=0,0,Q51/L51)</f>
        <v>0.00561797752808989</v>
      </c>
    </row>
    <row r="52" customFormat="false" ht="15" hidden="false" customHeight="false" outlineLevel="0" collapsed="false">
      <c r="A52" s="37" t="s">
        <v>1276</v>
      </c>
      <c r="B52" s="38" t="n">
        <v>46279.2851967593</v>
      </c>
      <c r="C52" s="37" t="s">
        <v>1201</v>
      </c>
      <c r="D52" s="37" t="s">
        <v>1211</v>
      </c>
      <c r="E52" s="37" t="s">
        <v>1212</v>
      </c>
      <c r="F52" s="37" t="s">
        <v>544</v>
      </c>
      <c r="G52" s="37"/>
      <c r="H52" s="37" t="s">
        <v>60</v>
      </c>
      <c r="I52" s="37"/>
      <c r="J52" s="37" t="s">
        <v>100</v>
      </c>
      <c r="K52" s="37" t="s">
        <v>1213</v>
      </c>
      <c r="L52" s="39" t="n">
        <v>123</v>
      </c>
      <c r="M52" s="39" t="n">
        <v>123</v>
      </c>
      <c r="N52" s="39" t="n">
        <v>66</v>
      </c>
      <c r="O52" s="39" t="n">
        <v>6</v>
      </c>
      <c r="P52" s="39" t="n">
        <v>0</v>
      </c>
      <c r="Q52" s="39" t="n">
        <v>0</v>
      </c>
      <c r="R52" s="39" t="n">
        <v>0</v>
      </c>
      <c r="S52" s="39" t="n">
        <v>0</v>
      </c>
      <c r="T52" s="40" t="n">
        <f aca="false">IF(M52=0,0,N52/M52)</f>
        <v>0.536585365853659</v>
      </c>
      <c r="U52" s="40" t="n">
        <f aca="false">IF(M52=0,0,O52/M52)</f>
        <v>0.0487804878048781</v>
      </c>
      <c r="V52" s="41" t="n">
        <f aca="false">IF(M52=0,0,P52/M52)</f>
        <v>0</v>
      </c>
      <c r="W52" s="40" t="n">
        <f aca="false">IF(L52=0,0,Q52/L52)</f>
        <v>0</v>
      </c>
    </row>
    <row r="53" customFormat="false" ht="15" hidden="false" customHeight="false" outlineLevel="0" collapsed="false">
      <c r="A53" s="37" t="s">
        <v>1277</v>
      </c>
      <c r="B53" s="38" t="n">
        <v>46279.2336342593</v>
      </c>
      <c r="C53" s="37" t="s">
        <v>1201</v>
      </c>
      <c r="D53" s="37" t="s">
        <v>1230</v>
      </c>
      <c r="E53" s="37" t="s">
        <v>193</v>
      </c>
      <c r="F53" s="37" t="s">
        <v>555</v>
      </c>
      <c r="G53" s="37"/>
      <c r="H53" s="37" t="s">
        <v>63</v>
      </c>
      <c r="I53" s="37"/>
      <c r="J53" s="37" t="s">
        <v>357</v>
      </c>
      <c r="K53" s="37" t="s">
        <v>1202</v>
      </c>
      <c r="L53" s="39" t="n">
        <v>8</v>
      </c>
      <c r="M53" s="39" t="n">
        <v>8</v>
      </c>
      <c r="N53" s="39" t="n">
        <v>7</v>
      </c>
      <c r="O53" s="39" t="n">
        <v>0</v>
      </c>
      <c r="P53" s="39" t="n">
        <v>0</v>
      </c>
      <c r="Q53" s="39" t="n">
        <v>0</v>
      </c>
      <c r="R53" s="39" t="n">
        <v>0</v>
      </c>
      <c r="S53" s="39" t="n">
        <v>0</v>
      </c>
      <c r="T53" s="40" t="n">
        <f aca="false">IF(M53=0,0,N53/M53)</f>
        <v>0.875</v>
      </c>
      <c r="U53" s="40" t="n">
        <f aca="false">IF(M53=0,0,O53/M53)</f>
        <v>0</v>
      </c>
      <c r="V53" s="41" t="n">
        <f aca="false">IF(M53=0,0,P53/M53)</f>
        <v>0</v>
      </c>
      <c r="W53" s="40" t="n">
        <f aca="false">IF(L53=0,0,Q53/L53)</f>
        <v>0</v>
      </c>
    </row>
    <row r="54" customFormat="false" ht="15" hidden="false" customHeight="false" outlineLevel="0" collapsed="false">
      <c r="A54" s="37" t="s">
        <v>1278</v>
      </c>
      <c r="B54" s="38" t="n">
        <v>46279.2311921296</v>
      </c>
      <c r="C54" s="37" t="s">
        <v>1201</v>
      </c>
      <c r="D54" s="37" t="s">
        <v>1230</v>
      </c>
      <c r="E54" s="37" t="s">
        <v>193</v>
      </c>
      <c r="F54" s="37" t="s">
        <v>544</v>
      </c>
      <c r="G54" s="37"/>
      <c r="H54" s="37" t="s">
        <v>60</v>
      </c>
      <c r="I54" s="37"/>
      <c r="J54" s="37" t="s">
        <v>357</v>
      </c>
      <c r="K54" s="37" t="s">
        <v>1202</v>
      </c>
      <c r="L54" s="39" t="n">
        <v>12</v>
      </c>
      <c r="M54" s="39" t="n">
        <v>12</v>
      </c>
      <c r="N54" s="39" t="n">
        <v>11</v>
      </c>
      <c r="O54" s="39" t="n">
        <v>2</v>
      </c>
      <c r="P54" s="39" t="n">
        <v>0</v>
      </c>
      <c r="Q54" s="39" t="n">
        <v>0</v>
      </c>
      <c r="R54" s="39" t="n">
        <v>0</v>
      </c>
      <c r="S54" s="39" t="n">
        <v>0</v>
      </c>
      <c r="T54" s="40" t="n">
        <f aca="false">IF(M54=0,0,N54/M54)</f>
        <v>0.916666666666667</v>
      </c>
      <c r="U54" s="40" t="n">
        <f aca="false">IF(M54=0,0,O54/M54)</f>
        <v>0.166666666666667</v>
      </c>
      <c r="V54" s="41" t="n">
        <f aca="false">IF(M54=0,0,P54/M54)</f>
        <v>0</v>
      </c>
      <c r="W54" s="40" t="n">
        <f aca="false">IF(L54=0,0,Q54/L54)</f>
        <v>0</v>
      </c>
    </row>
    <row r="55" customFormat="false" ht="15" hidden="false" customHeight="false" outlineLevel="0" collapsed="false">
      <c r="A55" s="37" t="s">
        <v>1279</v>
      </c>
      <c r="B55" s="38" t="n">
        <v>46279.2305092593</v>
      </c>
      <c r="C55" s="37" t="s">
        <v>1201</v>
      </c>
      <c r="D55" s="37" t="s">
        <v>1230</v>
      </c>
      <c r="E55" s="37" t="s">
        <v>193</v>
      </c>
      <c r="F55" s="37" t="s">
        <v>544</v>
      </c>
      <c r="G55" s="37"/>
      <c r="H55" s="37" t="s">
        <v>64</v>
      </c>
      <c r="I55" s="37"/>
      <c r="J55" s="37" t="s">
        <v>357</v>
      </c>
      <c r="K55" s="37" t="s">
        <v>1202</v>
      </c>
      <c r="L55" s="39" t="n">
        <v>82</v>
      </c>
      <c r="M55" s="39" t="n">
        <v>81</v>
      </c>
      <c r="N55" s="39" t="n">
        <v>58</v>
      </c>
      <c r="O55" s="39" t="n">
        <v>8</v>
      </c>
      <c r="P55" s="39" t="n">
        <v>1</v>
      </c>
      <c r="Q55" s="39" t="n">
        <v>1</v>
      </c>
      <c r="R55" s="39" t="n">
        <v>0</v>
      </c>
      <c r="S55" s="39" t="n">
        <v>0</v>
      </c>
      <c r="T55" s="40" t="n">
        <f aca="false">IF(M55=0,0,N55/M55)</f>
        <v>0.716049382716049</v>
      </c>
      <c r="U55" s="40" t="n">
        <f aca="false">IF(M55=0,0,O55/M55)</f>
        <v>0.0987654320987654</v>
      </c>
      <c r="V55" s="41" t="n">
        <f aca="false">IF(M55=0,0,P55/M55)</f>
        <v>0.0123456790123457</v>
      </c>
      <c r="W55" s="40" t="n">
        <f aca="false">IF(L55=0,0,Q55/L55)</f>
        <v>0.0121951219512195</v>
      </c>
    </row>
    <row r="56" customFormat="false" ht="15" hidden="false" customHeight="false" outlineLevel="0" collapsed="false">
      <c r="A56" s="37" t="s">
        <v>1280</v>
      </c>
      <c r="B56" s="38" t="n">
        <v>46276.5127083333</v>
      </c>
      <c r="C56" s="37" t="s">
        <v>1201</v>
      </c>
      <c r="D56" s="37" t="s">
        <v>224</v>
      </c>
      <c r="E56" s="37" t="s">
        <v>225</v>
      </c>
      <c r="F56" s="37" t="s">
        <v>542</v>
      </c>
      <c r="G56" s="37"/>
      <c r="H56" s="37" t="s">
        <v>61</v>
      </c>
      <c r="I56" s="37" t="s">
        <v>222</v>
      </c>
      <c r="J56" s="37" t="s">
        <v>223</v>
      </c>
      <c r="K56" s="37" t="s">
        <v>1202</v>
      </c>
      <c r="L56" s="39" t="n">
        <v>148</v>
      </c>
      <c r="M56" s="39" t="n">
        <v>148</v>
      </c>
      <c r="N56" s="39" t="n">
        <v>41</v>
      </c>
      <c r="O56" s="39" t="n">
        <v>4</v>
      </c>
      <c r="P56" s="39" t="n">
        <v>1</v>
      </c>
      <c r="Q56" s="39" t="n">
        <v>0</v>
      </c>
      <c r="R56" s="39" t="n">
        <v>0</v>
      </c>
      <c r="S56" s="39" t="n">
        <v>1</v>
      </c>
      <c r="T56" s="40" t="n">
        <f aca="false">IF(M56=0,0,N56/M56)</f>
        <v>0.277027027027027</v>
      </c>
      <c r="U56" s="40" t="n">
        <f aca="false">IF(M56=0,0,O56/M56)</f>
        <v>0.027027027027027</v>
      </c>
      <c r="V56" s="41" t="n">
        <f aca="false">IF(M56=0,0,P56/M56)</f>
        <v>0.00675675675675676</v>
      </c>
      <c r="W56" s="40" t="n">
        <f aca="false">IF(L56=0,0,Q56/L56)</f>
        <v>0</v>
      </c>
    </row>
    <row r="57" customFormat="false" ht="15" hidden="false" customHeight="false" outlineLevel="0" collapsed="false">
      <c r="A57" s="37" t="s">
        <v>1281</v>
      </c>
      <c r="B57" s="38" t="n">
        <v>46275.6397685185</v>
      </c>
      <c r="C57" s="37" t="s">
        <v>1246</v>
      </c>
      <c r="D57" s="37" t="s">
        <v>224</v>
      </c>
      <c r="E57" s="37" t="s">
        <v>225</v>
      </c>
      <c r="F57" s="37" t="s">
        <v>550</v>
      </c>
      <c r="G57" s="37"/>
      <c r="H57" s="37" t="s">
        <v>61</v>
      </c>
      <c r="I57" s="37" t="s">
        <v>222</v>
      </c>
      <c r="J57" s="37" t="s">
        <v>223</v>
      </c>
      <c r="K57" s="37" t="s">
        <v>1202</v>
      </c>
      <c r="L57" s="39" t="n">
        <v>117</v>
      </c>
      <c r="M57" s="39" t="n">
        <v>117</v>
      </c>
      <c r="N57" s="39" t="n">
        <v>32</v>
      </c>
      <c r="O57" s="39" t="n">
        <v>5</v>
      </c>
      <c r="P57" s="39" t="n">
        <v>1</v>
      </c>
      <c r="Q57" s="39" t="n">
        <v>0</v>
      </c>
      <c r="R57" s="39" t="n">
        <v>0</v>
      </c>
      <c r="S57" s="39" t="n">
        <v>0</v>
      </c>
      <c r="T57" s="40" t="n">
        <f aca="false">IF(M57=0,0,N57/M57)</f>
        <v>0.273504273504274</v>
      </c>
      <c r="U57" s="40" t="n">
        <f aca="false">IF(M57=0,0,O57/M57)</f>
        <v>0.0427350427350427</v>
      </c>
      <c r="V57" s="41" t="n">
        <f aca="false">IF(M57=0,0,P57/M57)</f>
        <v>0.00854700854700855</v>
      </c>
      <c r="W57" s="40" t="n">
        <f aca="false">IF(L57=0,0,Q57/L57)</f>
        <v>0</v>
      </c>
    </row>
    <row r="58" customFormat="false" ht="15" hidden="false" customHeight="false" outlineLevel="0" collapsed="false">
      <c r="A58" s="37" t="s">
        <v>1282</v>
      </c>
      <c r="B58" s="38" t="n">
        <v>46275.3169328704</v>
      </c>
      <c r="C58" s="37" t="s">
        <v>1201</v>
      </c>
      <c r="D58" s="37" t="s">
        <v>1211</v>
      </c>
      <c r="E58" s="37" t="s">
        <v>1212</v>
      </c>
      <c r="F58" s="37" t="s">
        <v>544</v>
      </c>
      <c r="G58" s="37"/>
      <c r="H58" s="37" t="s">
        <v>60</v>
      </c>
      <c r="I58" s="37"/>
      <c r="J58" s="37" t="s">
        <v>100</v>
      </c>
      <c r="K58" s="37" t="s">
        <v>1213</v>
      </c>
      <c r="L58" s="39" t="n">
        <v>123</v>
      </c>
      <c r="M58" s="39" t="n">
        <v>123</v>
      </c>
      <c r="N58" s="39" t="n">
        <v>60</v>
      </c>
      <c r="O58" s="39" t="n">
        <v>7</v>
      </c>
      <c r="P58" s="39" t="n">
        <v>0</v>
      </c>
      <c r="Q58" s="39" t="n">
        <v>0</v>
      </c>
      <c r="R58" s="39" t="n">
        <v>0</v>
      </c>
      <c r="S58" s="39" t="n">
        <v>0</v>
      </c>
      <c r="T58" s="40" t="n">
        <f aca="false">IF(M58=0,0,N58/M58)</f>
        <v>0.487804878048781</v>
      </c>
      <c r="U58" s="40" t="n">
        <f aca="false">IF(M58=0,0,O58/M58)</f>
        <v>0.0569105691056911</v>
      </c>
      <c r="V58" s="41" t="n">
        <f aca="false">IF(M58=0,0,P58/M58)</f>
        <v>0</v>
      </c>
      <c r="W58" s="40" t="n">
        <f aca="false">IF(L58=0,0,Q58/L58)</f>
        <v>0</v>
      </c>
    </row>
    <row r="59" customFormat="false" ht="15" hidden="false" customHeight="false" outlineLevel="0" collapsed="false">
      <c r="A59" s="37" t="s">
        <v>1283</v>
      </c>
      <c r="B59" s="38" t="n">
        <v>46274.4946180556</v>
      </c>
      <c r="C59" s="37" t="s">
        <v>1201</v>
      </c>
      <c r="D59" s="37" t="s">
        <v>1211</v>
      </c>
      <c r="E59" s="37" t="s">
        <v>1212</v>
      </c>
      <c r="F59" s="37" t="s">
        <v>544</v>
      </c>
      <c r="G59" s="37"/>
      <c r="H59" s="37" t="s">
        <v>60</v>
      </c>
      <c r="I59" s="37"/>
      <c r="J59" s="37" t="s">
        <v>100</v>
      </c>
      <c r="K59" s="37" t="s">
        <v>1213</v>
      </c>
      <c r="L59" s="39" t="n">
        <v>124</v>
      </c>
      <c r="M59" s="39" t="n">
        <v>124</v>
      </c>
      <c r="N59" s="39" t="n">
        <v>72</v>
      </c>
      <c r="O59" s="39" t="n">
        <v>7</v>
      </c>
      <c r="P59" s="39" t="n">
        <v>0</v>
      </c>
      <c r="Q59" s="39" t="n">
        <v>0</v>
      </c>
      <c r="R59" s="39" t="n">
        <v>0</v>
      </c>
      <c r="S59" s="39" t="n">
        <v>0</v>
      </c>
      <c r="T59" s="40" t="n">
        <f aca="false">IF(M59=0,0,N59/M59)</f>
        <v>0.580645161290323</v>
      </c>
      <c r="U59" s="40" t="n">
        <f aca="false">IF(M59=0,0,O59/M59)</f>
        <v>0.0564516129032258</v>
      </c>
      <c r="V59" s="41" t="n">
        <f aca="false">IF(M59=0,0,P59/M59)</f>
        <v>0</v>
      </c>
      <c r="W59" s="40" t="n">
        <f aca="false">IF(L59=0,0,Q59/L59)</f>
        <v>0</v>
      </c>
    </row>
    <row r="60" customFormat="false" ht="15" hidden="false" customHeight="false" outlineLevel="0" collapsed="false">
      <c r="A60" s="37" t="s">
        <v>1284</v>
      </c>
      <c r="B60" s="38" t="n">
        <v>46273.4901041667</v>
      </c>
      <c r="C60" s="37" t="s">
        <v>1201</v>
      </c>
      <c r="D60" s="37" t="s">
        <v>1211</v>
      </c>
      <c r="E60" s="37" t="s">
        <v>1212</v>
      </c>
      <c r="F60" s="37" t="s">
        <v>544</v>
      </c>
      <c r="G60" s="37"/>
      <c r="H60" s="37" t="s">
        <v>60</v>
      </c>
      <c r="I60" s="37"/>
      <c r="J60" s="37" t="s">
        <v>100</v>
      </c>
      <c r="K60" s="37" t="s">
        <v>1202</v>
      </c>
      <c r="L60" s="39" t="n">
        <v>124</v>
      </c>
      <c r="M60" s="39" t="n">
        <v>124</v>
      </c>
      <c r="N60" s="39" t="n">
        <v>85</v>
      </c>
      <c r="O60" s="39" t="n">
        <v>8</v>
      </c>
      <c r="P60" s="39" t="n">
        <v>0</v>
      </c>
      <c r="Q60" s="39" t="n">
        <v>0</v>
      </c>
      <c r="R60" s="39" t="n">
        <v>0</v>
      </c>
      <c r="S60" s="39" t="n">
        <v>0</v>
      </c>
      <c r="T60" s="40" t="n">
        <f aca="false">IF(M60=0,0,N60/M60)</f>
        <v>0.685483870967742</v>
      </c>
      <c r="U60" s="40" t="n">
        <f aca="false">IF(M60=0,0,O60/M60)</f>
        <v>0.0645161290322581</v>
      </c>
      <c r="V60" s="41" t="n">
        <f aca="false">IF(M60=0,0,P60/M60)</f>
        <v>0</v>
      </c>
      <c r="W60" s="40" t="n">
        <f aca="false">IF(L60=0,0,Q60/L60)</f>
        <v>0</v>
      </c>
    </row>
    <row r="61" customFormat="false" ht="15" hidden="false" customHeight="false" outlineLevel="0" collapsed="false">
      <c r="A61" s="37" t="s">
        <v>1285</v>
      </c>
      <c r="B61" s="38" t="n">
        <v>46273.4086574074</v>
      </c>
      <c r="C61" s="37" t="s">
        <v>1201</v>
      </c>
      <c r="D61" s="37" t="s">
        <v>1286</v>
      </c>
      <c r="E61" s="37" t="s">
        <v>166</v>
      </c>
      <c r="F61" s="37" t="s">
        <v>555</v>
      </c>
      <c r="G61" s="37" t="s">
        <v>1287</v>
      </c>
      <c r="H61" s="37" t="s">
        <v>66</v>
      </c>
      <c r="I61" s="37"/>
      <c r="J61" s="37" t="s">
        <v>164</v>
      </c>
      <c r="K61" s="37" t="s">
        <v>1202</v>
      </c>
      <c r="L61" s="39" t="n">
        <v>101</v>
      </c>
      <c r="M61" s="39" t="n">
        <v>101</v>
      </c>
      <c r="N61" s="39" t="n">
        <v>55</v>
      </c>
      <c r="O61" s="39" t="n">
        <v>11</v>
      </c>
      <c r="P61" s="39" t="n">
        <v>0</v>
      </c>
      <c r="Q61" s="39" t="n">
        <v>0</v>
      </c>
      <c r="R61" s="39" t="n">
        <v>0</v>
      </c>
      <c r="S61" s="39" t="n">
        <v>0</v>
      </c>
      <c r="T61" s="40" t="n">
        <f aca="false">IF(M61=0,0,N61/M61)</f>
        <v>0.544554455445545</v>
      </c>
      <c r="U61" s="40" t="n">
        <f aca="false">IF(M61=0,0,O61/M61)</f>
        <v>0.108910891089109</v>
      </c>
      <c r="V61" s="41" t="n">
        <f aca="false">IF(M61=0,0,P61/M61)</f>
        <v>0</v>
      </c>
      <c r="W61" s="40" t="n">
        <f aca="false">IF(L61=0,0,Q61/L61)</f>
        <v>0</v>
      </c>
    </row>
    <row r="62" customFormat="false" ht="15" hidden="false" customHeight="false" outlineLevel="0" collapsed="false">
      <c r="A62" s="37" t="s">
        <v>1288</v>
      </c>
      <c r="B62" s="38" t="n">
        <v>46273.3337731482</v>
      </c>
      <c r="C62" s="37" t="s">
        <v>1201</v>
      </c>
      <c r="D62" s="37" t="s">
        <v>230</v>
      </c>
      <c r="E62" s="37" t="s">
        <v>231</v>
      </c>
      <c r="F62" s="37" t="s">
        <v>550</v>
      </c>
      <c r="G62" s="37"/>
      <c r="H62" s="37" t="s">
        <v>61</v>
      </c>
      <c r="I62" s="37" t="s">
        <v>228</v>
      </c>
      <c r="J62" s="37" t="s">
        <v>229</v>
      </c>
      <c r="K62" s="37" t="s">
        <v>1202</v>
      </c>
      <c r="L62" s="39" t="n">
        <v>54</v>
      </c>
      <c r="M62" s="39" t="n">
        <v>54</v>
      </c>
      <c r="N62" s="39" t="n">
        <v>14</v>
      </c>
      <c r="O62" s="39" t="n">
        <v>5</v>
      </c>
      <c r="P62" s="39" t="n">
        <v>0</v>
      </c>
      <c r="Q62" s="39" t="n">
        <v>0</v>
      </c>
      <c r="R62" s="39" t="n">
        <v>0</v>
      </c>
      <c r="S62" s="39" t="n">
        <v>0</v>
      </c>
      <c r="T62" s="40" t="n">
        <f aca="false">IF(M62=0,0,N62/M62)</f>
        <v>0.259259259259259</v>
      </c>
      <c r="U62" s="40" t="n">
        <f aca="false">IF(M62=0,0,O62/M62)</f>
        <v>0.0925925925925926</v>
      </c>
      <c r="V62" s="41" t="n">
        <f aca="false">IF(M62=0,0,P62/M62)</f>
        <v>0</v>
      </c>
      <c r="W62" s="40" t="n">
        <f aca="false">IF(L62=0,0,Q62/L62)</f>
        <v>0</v>
      </c>
    </row>
    <row r="63" customFormat="false" ht="15" hidden="false" customHeight="false" outlineLevel="0" collapsed="false">
      <c r="A63" s="37" t="s">
        <v>1289</v>
      </c>
      <c r="B63" s="38" t="n">
        <v>46273.3310648148</v>
      </c>
      <c r="C63" s="37" t="s">
        <v>1241</v>
      </c>
      <c r="D63" s="37" t="s">
        <v>1290</v>
      </c>
      <c r="E63" s="37" t="s">
        <v>1115</v>
      </c>
      <c r="F63" s="37" t="s">
        <v>555</v>
      </c>
      <c r="G63" s="37"/>
      <c r="H63" s="37" t="s">
        <v>64</v>
      </c>
      <c r="I63" s="37"/>
      <c r="J63" s="37" t="s">
        <v>109</v>
      </c>
      <c r="K63" s="37" t="s">
        <v>1202</v>
      </c>
      <c r="L63" s="39" t="n">
        <v>108</v>
      </c>
      <c r="M63" s="39" t="n">
        <v>108</v>
      </c>
      <c r="N63" s="39" t="n">
        <v>58</v>
      </c>
      <c r="O63" s="39" t="n">
        <v>0</v>
      </c>
      <c r="P63" s="39" t="n">
        <v>0</v>
      </c>
      <c r="Q63" s="39" t="n">
        <v>0</v>
      </c>
      <c r="R63" s="39" t="n">
        <v>0</v>
      </c>
      <c r="S63" s="39" t="n">
        <v>0</v>
      </c>
      <c r="T63" s="40" t="n">
        <f aca="false">IF(M63=0,0,N63/M63)</f>
        <v>0.537037037037037</v>
      </c>
      <c r="U63" s="40" t="n">
        <f aca="false">IF(M63=0,0,O63/M63)</f>
        <v>0</v>
      </c>
      <c r="V63" s="41" t="n">
        <f aca="false">IF(M63=0,0,P63/M63)</f>
        <v>0</v>
      </c>
      <c r="W63" s="40" t="n">
        <f aca="false">IF(L63=0,0,Q63/L63)</f>
        <v>0</v>
      </c>
    </row>
    <row r="64" customFormat="false" ht="15" hidden="false" customHeight="false" outlineLevel="0" collapsed="false">
      <c r="A64" s="37" t="s">
        <v>1291</v>
      </c>
      <c r="B64" s="38" t="n">
        <v>46273.2266435185</v>
      </c>
      <c r="C64" s="37" t="s">
        <v>1201</v>
      </c>
      <c r="D64" s="37" t="s">
        <v>1292</v>
      </c>
      <c r="E64" s="37" t="s">
        <v>1293</v>
      </c>
      <c r="F64" s="37" t="s">
        <v>555</v>
      </c>
      <c r="G64" s="37" t="s">
        <v>1294</v>
      </c>
      <c r="H64" s="37" t="s">
        <v>63</v>
      </c>
      <c r="I64" s="37"/>
      <c r="J64" s="37" t="s">
        <v>386</v>
      </c>
      <c r="K64" s="37" t="s">
        <v>1202</v>
      </c>
      <c r="L64" s="39" t="n">
        <v>27</v>
      </c>
      <c r="M64" s="39" t="n">
        <v>27</v>
      </c>
      <c r="N64" s="39" t="n">
        <v>23</v>
      </c>
      <c r="O64" s="39" t="n">
        <v>21</v>
      </c>
      <c r="P64" s="39" t="n">
        <v>0</v>
      </c>
      <c r="Q64" s="39" t="n">
        <v>0</v>
      </c>
      <c r="R64" s="39" t="n">
        <v>0</v>
      </c>
      <c r="S64" s="39" t="n">
        <v>0</v>
      </c>
      <c r="T64" s="40" t="n">
        <f aca="false">IF(M64=0,0,N64/M64)</f>
        <v>0.851851851851852</v>
      </c>
      <c r="U64" s="40" t="n">
        <f aca="false">IF(M64=0,0,O64/M64)</f>
        <v>0.777777777777778</v>
      </c>
      <c r="V64" s="41" t="n">
        <f aca="false">IF(M64=0,0,P64/M64)</f>
        <v>0</v>
      </c>
      <c r="W64" s="40" t="n">
        <f aca="false">IF(L64=0,0,Q64/L64)</f>
        <v>0</v>
      </c>
    </row>
    <row r="65" customFormat="false" ht="15" hidden="false" customHeight="false" outlineLevel="0" collapsed="false">
      <c r="A65" s="37" t="s">
        <v>1295</v>
      </c>
      <c r="B65" s="38" t="n">
        <v>46273.2247222222</v>
      </c>
      <c r="C65" s="37" t="s">
        <v>1201</v>
      </c>
      <c r="D65" s="37" t="s">
        <v>1292</v>
      </c>
      <c r="E65" s="37" t="s">
        <v>1293</v>
      </c>
      <c r="F65" s="37" t="s">
        <v>555</v>
      </c>
      <c r="G65" s="37" t="s">
        <v>1294</v>
      </c>
      <c r="H65" s="37" t="s">
        <v>60</v>
      </c>
      <c r="I65" s="37"/>
      <c r="J65" s="37" t="s">
        <v>386</v>
      </c>
      <c r="K65" s="37" t="s">
        <v>1202</v>
      </c>
      <c r="L65" s="39" t="n">
        <v>173</v>
      </c>
      <c r="M65" s="39" t="n">
        <v>173</v>
      </c>
      <c r="N65" s="39" t="n">
        <v>124</v>
      </c>
      <c r="O65" s="39" t="n">
        <v>106</v>
      </c>
      <c r="P65" s="39" t="n">
        <v>1</v>
      </c>
      <c r="Q65" s="39" t="n">
        <v>0</v>
      </c>
      <c r="R65" s="39" t="n">
        <v>0</v>
      </c>
      <c r="S65" s="39" t="n">
        <v>0</v>
      </c>
      <c r="T65" s="40" t="n">
        <f aca="false">IF(M65=0,0,N65/M65)</f>
        <v>0.716763005780347</v>
      </c>
      <c r="U65" s="40" t="n">
        <f aca="false">IF(M65=0,0,O65/M65)</f>
        <v>0.61271676300578</v>
      </c>
      <c r="V65" s="41" t="n">
        <f aca="false">IF(M65=0,0,P65/M65)</f>
        <v>0.00578034682080925</v>
      </c>
      <c r="W65" s="40" t="n">
        <f aca="false">IF(L65=0,0,Q65/L65)</f>
        <v>0</v>
      </c>
    </row>
    <row r="66" customFormat="false" ht="15" hidden="false" customHeight="false" outlineLevel="0" collapsed="false">
      <c r="A66" s="37" t="s">
        <v>1296</v>
      </c>
      <c r="B66" s="38" t="n">
        <v>46271.9796296296</v>
      </c>
      <c r="C66" s="37" t="s">
        <v>1201</v>
      </c>
      <c r="D66" s="37" t="s">
        <v>237</v>
      </c>
      <c r="E66" s="37" t="s">
        <v>238</v>
      </c>
      <c r="F66" s="37" t="s">
        <v>559</v>
      </c>
      <c r="G66" s="37" t="s">
        <v>1297</v>
      </c>
      <c r="H66" s="37" t="s">
        <v>60</v>
      </c>
      <c r="I66" s="37" t="s">
        <v>234</v>
      </c>
      <c r="J66" s="37" t="s">
        <v>236</v>
      </c>
      <c r="K66" s="37" t="s">
        <v>1202</v>
      </c>
      <c r="L66" s="39" t="n">
        <v>4429</v>
      </c>
      <c r="M66" s="39" t="n">
        <v>4384</v>
      </c>
      <c r="N66" s="39" t="n">
        <v>976</v>
      </c>
      <c r="O66" s="39" t="n">
        <v>94</v>
      </c>
      <c r="P66" s="39" t="n">
        <v>15</v>
      </c>
      <c r="Q66" s="39" t="n">
        <v>45</v>
      </c>
      <c r="R66" s="39" t="n">
        <v>37</v>
      </c>
      <c r="S66" s="39" t="n">
        <v>0</v>
      </c>
      <c r="T66" s="40" t="n">
        <f aca="false">IF(M66=0,0,N66/M66)</f>
        <v>0.222627737226277</v>
      </c>
      <c r="U66" s="40" t="n">
        <f aca="false">IF(M66=0,0,O66/M66)</f>
        <v>0.0214416058394161</v>
      </c>
      <c r="V66" s="41" t="n">
        <f aca="false">IF(M66=0,0,P66/M66)</f>
        <v>0.00342153284671533</v>
      </c>
      <c r="W66" s="40" t="n">
        <f aca="false">IF(L66=0,0,Q66/L66)</f>
        <v>0.010160307067058</v>
      </c>
    </row>
    <row r="67" customFormat="false" ht="15" hidden="false" customHeight="false" outlineLevel="0" collapsed="false">
      <c r="A67" s="37" t="s">
        <v>1298</v>
      </c>
      <c r="B67" s="38" t="n">
        <v>46269.3458101852</v>
      </c>
      <c r="C67" s="37" t="s">
        <v>1201</v>
      </c>
      <c r="D67" s="37" t="s">
        <v>1211</v>
      </c>
      <c r="E67" s="37" t="s">
        <v>1212</v>
      </c>
      <c r="F67" s="37" t="s">
        <v>544</v>
      </c>
      <c r="G67" s="37"/>
      <c r="H67" s="37" t="s">
        <v>63</v>
      </c>
      <c r="I67" s="37"/>
      <c r="J67" s="37" t="s">
        <v>100</v>
      </c>
      <c r="K67" s="37" t="s">
        <v>1213</v>
      </c>
      <c r="L67" s="39" t="n">
        <v>125</v>
      </c>
      <c r="M67" s="39" t="n">
        <v>125</v>
      </c>
      <c r="N67" s="39" t="n">
        <v>69</v>
      </c>
      <c r="O67" s="39" t="n">
        <v>5</v>
      </c>
      <c r="P67" s="39" t="n">
        <v>0</v>
      </c>
      <c r="Q67" s="39" t="n">
        <v>0</v>
      </c>
      <c r="R67" s="39" t="n">
        <v>0</v>
      </c>
      <c r="S67" s="39" t="n">
        <v>0</v>
      </c>
      <c r="T67" s="40" t="n">
        <f aca="false">IF(M67=0,0,N67/M67)</f>
        <v>0.552</v>
      </c>
      <c r="U67" s="40" t="n">
        <f aca="false">IF(M67=0,0,O67/M67)</f>
        <v>0.04</v>
      </c>
      <c r="V67" s="41" t="n">
        <f aca="false">IF(M67=0,0,P67/M67)</f>
        <v>0</v>
      </c>
      <c r="W67" s="40" t="n">
        <f aca="false">IF(L67=0,0,Q67/L67)</f>
        <v>0</v>
      </c>
    </row>
    <row r="68" customFormat="false" ht="15" hidden="false" customHeight="false" outlineLevel="0" collapsed="false">
      <c r="A68" s="37" t="s">
        <v>1299</v>
      </c>
      <c r="B68" s="38" t="n">
        <v>46269.1877430556</v>
      </c>
      <c r="C68" s="37" t="s">
        <v>1201</v>
      </c>
      <c r="D68" s="37" t="s">
        <v>1227</v>
      </c>
      <c r="E68" s="37" t="s">
        <v>1228</v>
      </c>
      <c r="F68" s="37" t="s">
        <v>555</v>
      </c>
      <c r="G68" s="37"/>
      <c r="H68" s="37" t="s">
        <v>60</v>
      </c>
      <c r="I68" s="37"/>
      <c r="J68" s="37" t="s">
        <v>417</v>
      </c>
      <c r="K68" s="37" t="s">
        <v>1202</v>
      </c>
      <c r="L68" s="39" t="n">
        <v>335</v>
      </c>
      <c r="M68" s="39" t="n">
        <v>309</v>
      </c>
      <c r="N68" s="39" t="n">
        <v>116</v>
      </c>
      <c r="O68" s="39" t="n">
        <v>32</v>
      </c>
      <c r="P68" s="39" t="n">
        <v>6</v>
      </c>
      <c r="Q68" s="39" t="n">
        <v>26</v>
      </c>
      <c r="R68" s="39" t="n">
        <v>25</v>
      </c>
      <c r="S68" s="39" t="n">
        <v>0</v>
      </c>
      <c r="T68" s="40" t="n">
        <f aca="false">IF(M68=0,0,N68/M68)</f>
        <v>0.375404530744337</v>
      </c>
      <c r="U68" s="40" t="n">
        <f aca="false">IF(M68=0,0,O68/M68)</f>
        <v>0.103559870550162</v>
      </c>
      <c r="V68" s="41" t="n">
        <f aca="false">IF(M68=0,0,P68/M68)</f>
        <v>0.0194174757281553</v>
      </c>
      <c r="W68" s="40" t="n">
        <f aca="false">IF(L68=0,0,Q68/L68)</f>
        <v>0.0776119402985075</v>
      </c>
    </row>
    <row r="69" customFormat="false" ht="15" hidden="false" customHeight="false" outlineLevel="0" collapsed="false">
      <c r="A69" s="37" t="s">
        <v>1300</v>
      </c>
      <c r="B69" s="38" t="n">
        <v>46269.0834490741</v>
      </c>
      <c r="C69" s="37" t="s">
        <v>1201</v>
      </c>
      <c r="D69" s="37" t="s">
        <v>1301</v>
      </c>
      <c r="E69" s="37" t="s">
        <v>1302</v>
      </c>
      <c r="F69" s="37" t="s">
        <v>555</v>
      </c>
      <c r="G69" s="37"/>
      <c r="H69" s="37" t="s">
        <v>61</v>
      </c>
      <c r="I69" s="37" t="s">
        <v>143</v>
      </c>
      <c r="J69" s="37" t="s">
        <v>144</v>
      </c>
      <c r="K69" s="37" t="s">
        <v>1202</v>
      </c>
      <c r="L69" s="39" t="n">
        <v>3377</v>
      </c>
      <c r="M69" s="39" t="n">
        <v>3302</v>
      </c>
      <c r="N69" s="39" t="n">
        <v>841</v>
      </c>
      <c r="O69" s="39" t="n">
        <v>50</v>
      </c>
      <c r="P69" s="39" t="n">
        <v>25</v>
      </c>
      <c r="Q69" s="39" t="n">
        <v>75</v>
      </c>
      <c r="R69" s="39" t="n">
        <v>21</v>
      </c>
      <c r="S69" s="39" t="n">
        <v>0</v>
      </c>
      <c r="T69" s="40" t="n">
        <f aca="false">IF(M69=0,0,N69/M69)</f>
        <v>0.254694124772865</v>
      </c>
      <c r="U69" s="40" t="n">
        <f aca="false">IF(M69=0,0,O69/M69)</f>
        <v>0.0151423379769836</v>
      </c>
      <c r="V69" s="41" t="n">
        <f aca="false">IF(M69=0,0,P69/M69)</f>
        <v>0.00757116898849182</v>
      </c>
      <c r="W69" s="40" t="n">
        <f aca="false">IF(L69=0,0,Q69/L69)</f>
        <v>0.0222090612970092</v>
      </c>
    </row>
    <row r="70" customFormat="false" ht="15" hidden="false" customHeight="false" outlineLevel="0" collapsed="false">
      <c r="A70" s="37" t="s">
        <v>1303</v>
      </c>
      <c r="B70" s="38" t="n">
        <v>46268.5075925926</v>
      </c>
      <c r="C70" s="37" t="s">
        <v>1201</v>
      </c>
      <c r="D70" s="37" t="s">
        <v>288</v>
      </c>
      <c r="E70" s="37" t="s">
        <v>288</v>
      </c>
      <c r="F70" s="37" t="s">
        <v>548</v>
      </c>
      <c r="G70" s="37"/>
      <c r="H70" s="37" t="s">
        <v>60</v>
      </c>
      <c r="I70" s="37" t="s">
        <v>291</v>
      </c>
      <c r="J70" s="37" t="s">
        <v>287</v>
      </c>
      <c r="K70" s="37" t="s">
        <v>1202</v>
      </c>
      <c r="L70" s="39" t="n">
        <v>26</v>
      </c>
      <c r="M70" s="39" t="n">
        <v>26</v>
      </c>
      <c r="N70" s="39" t="n">
        <v>17</v>
      </c>
      <c r="O70" s="39" t="n">
        <v>12</v>
      </c>
      <c r="P70" s="39" t="n">
        <v>0</v>
      </c>
      <c r="Q70" s="39" t="n">
        <v>0</v>
      </c>
      <c r="R70" s="39" t="n">
        <v>0</v>
      </c>
      <c r="S70" s="39" t="n">
        <v>0</v>
      </c>
      <c r="T70" s="40" t="n">
        <f aca="false">IF(M70=0,0,N70/M70)</f>
        <v>0.653846153846154</v>
      </c>
      <c r="U70" s="40" t="n">
        <f aca="false">IF(M70=0,0,O70/M70)</f>
        <v>0.461538461538462</v>
      </c>
      <c r="V70" s="41" t="n">
        <f aca="false">IF(M70=0,0,P70/M70)</f>
        <v>0</v>
      </c>
      <c r="W70" s="40" t="n">
        <f aca="false">IF(L70=0,0,Q70/L70)</f>
        <v>0</v>
      </c>
    </row>
    <row r="71" customFormat="false" ht="15" hidden="false" customHeight="false" outlineLevel="0" collapsed="false">
      <c r="A71" s="37" t="s">
        <v>1304</v>
      </c>
      <c r="B71" s="38" t="n">
        <v>46268.5040393519</v>
      </c>
      <c r="C71" s="37" t="s">
        <v>1201</v>
      </c>
      <c r="D71" s="37" t="s">
        <v>288</v>
      </c>
      <c r="E71" s="37" t="s">
        <v>288</v>
      </c>
      <c r="F71" s="37" t="s">
        <v>548</v>
      </c>
      <c r="G71" s="37"/>
      <c r="H71" s="37" t="s">
        <v>60</v>
      </c>
      <c r="I71" s="37" t="s">
        <v>286</v>
      </c>
      <c r="J71" s="37" t="s">
        <v>287</v>
      </c>
      <c r="K71" s="37" t="s">
        <v>1213</v>
      </c>
      <c r="L71" s="39" t="n">
        <v>22</v>
      </c>
      <c r="M71" s="39" t="n">
        <v>22</v>
      </c>
      <c r="N71" s="39" t="n">
        <v>15</v>
      </c>
      <c r="O71" s="39" t="n">
        <v>10</v>
      </c>
      <c r="P71" s="39" t="n">
        <v>0</v>
      </c>
      <c r="Q71" s="39" t="n">
        <v>0</v>
      </c>
      <c r="R71" s="39" t="n">
        <v>0</v>
      </c>
      <c r="S71" s="39" t="n">
        <v>0</v>
      </c>
      <c r="T71" s="40" t="n">
        <f aca="false">IF(M71=0,0,N71/M71)</f>
        <v>0.681818181818182</v>
      </c>
      <c r="U71" s="40" t="n">
        <f aca="false">IF(M71=0,0,O71/M71)</f>
        <v>0.454545454545455</v>
      </c>
      <c r="V71" s="41" t="n">
        <f aca="false">IF(M71=0,0,P71/M71)</f>
        <v>0</v>
      </c>
      <c r="W71" s="40" t="n">
        <f aca="false">IF(L71=0,0,Q71/L71)</f>
        <v>0</v>
      </c>
    </row>
    <row r="72" customFormat="false" ht="15" hidden="false" customHeight="false" outlineLevel="0" collapsed="false">
      <c r="A72" s="37" t="s">
        <v>1305</v>
      </c>
      <c r="B72" s="38" t="n">
        <v>46268.3641319444</v>
      </c>
      <c r="C72" s="37" t="s">
        <v>1201</v>
      </c>
      <c r="D72" s="37" t="s">
        <v>251</v>
      </c>
      <c r="E72" s="37" t="s">
        <v>252</v>
      </c>
      <c r="F72" s="37" t="s">
        <v>544</v>
      </c>
      <c r="G72" s="37"/>
      <c r="H72" s="37" t="s">
        <v>60</v>
      </c>
      <c r="I72" s="37" t="s">
        <v>250</v>
      </c>
      <c r="J72" s="37" t="s">
        <v>109</v>
      </c>
      <c r="K72" s="37" t="s">
        <v>1202</v>
      </c>
      <c r="L72" s="39" t="n">
        <v>31</v>
      </c>
      <c r="M72" s="39" t="n">
        <v>31</v>
      </c>
      <c r="N72" s="39" t="n">
        <v>19</v>
      </c>
      <c r="O72" s="39" t="n">
        <v>2</v>
      </c>
      <c r="P72" s="39" t="n">
        <v>0</v>
      </c>
      <c r="Q72" s="39" t="n">
        <v>0</v>
      </c>
      <c r="R72" s="39" t="n">
        <v>0</v>
      </c>
      <c r="S72" s="39" t="n">
        <v>0</v>
      </c>
      <c r="T72" s="40" t="n">
        <f aca="false">IF(M72=0,0,N72/M72)</f>
        <v>0.612903225806452</v>
      </c>
      <c r="U72" s="40" t="n">
        <f aca="false">IF(M72=0,0,O72/M72)</f>
        <v>0.0645161290322581</v>
      </c>
      <c r="V72" s="41" t="n">
        <f aca="false">IF(M72=0,0,P72/M72)</f>
        <v>0</v>
      </c>
      <c r="W72" s="40" t="n">
        <f aca="false">IF(L72=0,0,Q72/L72)</f>
        <v>0</v>
      </c>
    </row>
    <row r="73" customFormat="false" ht="15" hidden="false" customHeight="false" outlineLevel="0" collapsed="false">
      <c r="A73" s="37" t="s">
        <v>1306</v>
      </c>
      <c r="B73" s="38" t="n">
        <v>46267.4931944445</v>
      </c>
      <c r="C73" s="37" t="s">
        <v>1201</v>
      </c>
      <c r="D73" s="37" t="s">
        <v>1206</v>
      </c>
      <c r="E73" s="37" t="s">
        <v>1206</v>
      </c>
      <c r="F73" s="37" t="s">
        <v>548</v>
      </c>
      <c r="G73" s="37"/>
      <c r="H73" s="37" t="s">
        <v>60</v>
      </c>
      <c r="I73" s="37"/>
      <c r="J73" s="37" t="s">
        <v>430</v>
      </c>
      <c r="K73" s="37" t="s">
        <v>8</v>
      </c>
      <c r="L73" s="39" t="n">
        <v>59</v>
      </c>
      <c r="M73" s="39" t="n">
        <v>59</v>
      </c>
      <c r="N73" s="39" t="n">
        <v>24</v>
      </c>
      <c r="O73" s="39" t="n">
        <v>7</v>
      </c>
      <c r="P73" s="39" t="n">
        <v>0</v>
      </c>
      <c r="Q73" s="39" t="n">
        <v>0</v>
      </c>
      <c r="R73" s="39" t="n">
        <v>0</v>
      </c>
      <c r="S73" s="39" t="n">
        <v>0</v>
      </c>
      <c r="T73" s="40" t="n">
        <f aca="false">IF(M73=0,0,N73/M73)</f>
        <v>0.406779661016949</v>
      </c>
      <c r="U73" s="40" t="n">
        <f aca="false">IF(M73=0,0,O73/M73)</f>
        <v>0.11864406779661</v>
      </c>
      <c r="V73" s="41" t="n">
        <f aca="false">IF(M73=0,0,P73/M73)</f>
        <v>0</v>
      </c>
      <c r="W73" s="40" t="n">
        <f aca="false">IF(L73=0,0,Q73/L73)</f>
        <v>0</v>
      </c>
    </row>
    <row r="74" customFormat="false" ht="15" hidden="false" customHeight="false" outlineLevel="0" collapsed="false">
      <c r="A74" s="37" t="s">
        <v>1307</v>
      </c>
      <c r="B74" s="38" t="n">
        <v>46267.4172685185</v>
      </c>
      <c r="C74" s="37" t="s">
        <v>1252</v>
      </c>
      <c r="D74" s="37" t="s">
        <v>101</v>
      </c>
      <c r="E74" s="37" t="s">
        <v>1115</v>
      </c>
      <c r="F74" s="37" t="s">
        <v>548</v>
      </c>
      <c r="G74" s="37"/>
      <c r="H74" s="37" t="s">
        <v>60</v>
      </c>
      <c r="I74" s="37"/>
      <c r="J74" s="37" t="s">
        <v>100</v>
      </c>
      <c r="K74" s="37" t="s">
        <v>1213</v>
      </c>
      <c r="L74" s="39" t="n">
        <v>1337</v>
      </c>
      <c r="M74" s="39" t="n">
        <v>1329</v>
      </c>
      <c r="N74" s="39" t="n">
        <v>344</v>
      </c>
      <c r="O74" s="39" t="n">
        <v>35</v>
      </c>
      <c r="P74" s="39" t="n">
        <v>11</v>
      </c>
      <c r="Q74" s="39" t="n">
        <v>8</v>
      </c>
      <c r="R74" s="39" t="n">
        <v>2</v>
      </c>
      <c r="S74" s="39" t="n">
        <v>0</v>
      </c>
      <c r="T74" s="40" t="n">
        <f aca="false">IF(M74=0,0,N74/M74)</f>
        <v>0.258841234010534</v>
      </c>
      <c r="U74" s="40" t="n">
        <f aca="false">IF(M74=0,0,O74/M74)</f>
        <v>0.0263355906696765</v>
      </c>
      <c r="V74" s="41" t="n">
        <f aca="false">IF(M74=0,0,P74/M74)</f>
        <v>0.00827689992475546</v>
      </c>
      <c r="W74" s="40" t="n">
        <f aca="false">IF(L74=0,0,Q74/L74)</f>
        <v>0.00598354525056096</v>
      </c>
    </row>
    <row r="75" customFormat="false" ht="15" hidden="false" customHeight="false" outlineLevel="0" collapsed="false">
      <c r="A75" s="37" t="s">
        <v>1308</v>
      </c>
      <c r="B75" s="38" t="n">
        <v>46267.2856944444</v>
      </c>
      <c r="C75" s="37" t="s">
        <v>1201</v>
      </c>
      <c r="D75" s="37" t="s">
        <v>1211</v>
      </c>
      <c r="E75" s="37" t="s">
        <v>1212</v>
      </c>
      <c r="F75" s="37" t="s">
        <v>544</v>
      </c>
      <c r="G75" s="37"/>
      <c r="H75" s="37" t="s">
        <v>60</v>
      </c>
      <c r="I75" s="37"/>
      <c r="J75" s="37" t="s">
        <v>100</v>
      </c>
      <c r="K75" s="37" t="s">
        <v>1213</v>
      </c>
      <c r="L75" s="39" t="n">
        <v>125</v>
      </c>
      <c r="M75" s="39" t="n">
        <v>125</v>
      </c>
      <c r="N75" s="39" t="n">
        <v>74</v>
      </c>
      <c r="O75" s="39" t="n">
        <v>16</v>
      </c>
      <c r="P75" s="39" t="n">
        <v>0</v>
      </c>
      <c r="Q75" s="39" t="n">
        <v>0</v>
      </c>
      <c r="R75" s="39" t="n">
        <v>0</v>
      </c>
      <c r="S75" s="39" t="n">
        <v>0</v>
      </c>
      <c r="T75" s="40" t="n">
        <f aca="false">IF(M75=0,0,N75/M75)</f>
        <v>0.592</v>
      </c>
      <c r="U75" s="40" t="n">
        <f aca="false">IF(M75=0,0,O75/M75)</f>
        <v>0.128</v>
      </c>
      <c r="V75" s="41" t="n">
        <f aca="false">IF(M75=0,0,P75/M75)</f>
        <v>0</v>
      </c>
      <c r="W75" s="40" t="n">
        <f aca="false">IF(L75=0,0,Q75/L75)</f>
        <v>0</v>
      </c>
    </row>
    <row r="76" customFormat="false" ht="15" hidden="false" customHeight="false" outlineLevel="0" collapsed="false">
      <c r="A76" s="37" t="s">
        <v>1309</v>
      </c>
      <c r="B76" s="38" t="n">
        <v>46267.1965972222</v>
      </c>
      <c r="C76" s="37" t="s">
        <v>1201</v>
      </c>
      <c r="D76" s="37" t="s">
        <v>1310</v>
      </c>
      <c r="E76" s="37" t="s">
        <v>1293</v>
      </c>
      <c r="F76" s="37" t="s">
        <v>555</v>
      </c>
      <c r="G76" s="37" t="s">
        <v>1294</v>
      </c>
      <c r="H76" s="37" t="s">
        <v>60</v>
      </c>
      <c r="I76" s="37"/>
      <c r="J76" s="37" t="s">
        <v>386</v>
      </c>
      <c r="K76" s="37" t="s">
        <v>1202</v>
      </c>
      <c r="L76" s="39" t="n">
        <v>1352</v>
      </c>
      <c r="M76" s="39" t="n">
        <v>1346</v>
      </c>
      <c r="N76" s="39" t="n">
        <v>333</v>
      </c>
      <c r="O76" s="39" t="n">
        <v>33</v>
      </c>
      <c r="P76" s="39" t="n">
        <v>11</v>
      </c>
      <c r="Q76" s="39" t="n">
        <v>6</v>
      </c>
      <c r="R76" s="39" t="n">
        <v>4</v>
      </c>
      <c r="S76" s="39" t="n">
        <v>1</v>
      </c>
      <c r="T76" s="40" t="n">
        <f aca="false">IF(M76=0,0,N76/M76)</f>
        <v>0.24739970282318</v>
      </c>
      <c r="U76" s="40" t="n">
        <f aca="false">IF(M76=0,0,O76/M76)</f>
        <v>0.024517087667162</v>
      </c>
      <c r="V76" s="41" t="n">
        <f aca="false">IF(M76=0,0,P76/M76)</f>
        <v>0.00817236255572065</v>
      </c>
      <c r="W76" s="40" t="n">
        <f aca="false">IF(L76=0,0,Q76/L76)</f>
        <v>0.00443786982248521</v>
      </c>
    </row>
    <row r="77" customFormat="false" ht="15" hidden="false" customHeight="false" outlineLevel="0" collapsed="false">
      <c r="A77" s="37" t="s">
        <v>1311</v>
      </c>
      <c r="B77" s="38" t="n">
        <v>46267.19625</v>
      </c>
      <c r="C77" s="37" t="s">
        <v>1201</v>
      </c>
      <c r="D77" s="37" t="s">
        <v>1292</v>
      </c>
      <c r="E77" s="37" t="s">
        <v>1293</v>
      </c>
      <c r="F77" s="37" t="s">
        <v>555</v>
      </c>
      <c r="G77" s="37" t="s">
        <v>1294</v>
      </c>
      <c r="H77" s="37" t="s">
        <v>68</v>
      </c>
      <c r="I77" s="37"/>
      <c r="J77" s="37" t="s">
        <v>386</v>
      </c>
      <c r="K77" s="37" t="s">
        <v>1202</v>
      </c>
      <c r="L77" s="39" t="n">
        <v>3510</v>
      </c>
      <c r="M77" s="39" t="n">
        <v>3448</v>
      </c>
      <c r="N77" s="39" t="n">
        <v>785</v>
      </c>
      <c r="O77" s="39" t="n">
        <v>36</v>
      </c>
      <c r="P77" s="39" t="n">
        <v>58</v>
      </c>
      <c r="Q77" s="39" t="n">
        <v>62</v>
      </c>
      <c r="R77" s="39" t="n">
        <v>34</v>
      </c>
      <c r="S77" s="39" t="n">
        <v>2</v>
      </c>
      <c r="T77" s="40" t="n">
        <f aca="false">IF(M77=0,0,N77/M77)</f>
        <v>0.227668213457077</v>
      </c>
      <c r="U77" s="40" t="n">
        <f aca="false">IF(M77=0,0,O77/M77)</f>
        <v>0.0104408352668213</v>
      </c>
      <c r="V77" s="41" t="n">
        <f aca="false">IF(M77=0,0,P77/M77)</f>
        <v>0.0168213457076566</v>
      </c>
      <c r="W77" s="40" t="n">
        <f aca="false">IF(L77=0,0,Q77/L77)</f>
        <v>0.0176638176638177</v>
      </c>
    </row>
    <row r="78" customFormat="false" ht="15" hidden="false" customHeight="false" outlineLevel="0" collapsed="false">
      <c r="A78" s="37" t="s">
        <v>1312</v>
      </c>
      <c r="B78" s="38" t="n">
        <v>46267.1260532407</v>
      </c>
      <c r="C78" s="37" t="s">
        <v>1201</v>
      </c>
      <c r="D78" s="37" t="s">
        <v>110</v>
      </c>
      <c r="E78" s="37" t="s">
        <v>252</v>
      </c>
      <c r="F78" s="37" t="s">
        <v>555</v>
      </c>
      <c r="G78" s="37" t="s">
        <v>1215</v>
      </c>
      <c r="H78" s="37" t="s">
        <v>61</v>
      </c>
      <c r="I78" s="37" t="s">
        <v>107</v>
      </c>
      <c r="J78" s="37" t="s">
        <v>109</v>
      </c>
      <c r="K78" s="37" t="s">
        <v>1202</v>
      </c>
      <c r="L78" s="39" t="n">
        <v>6588</v>
      </c>
      <c r="M78" s="39" t="n">
        <v>6534</v>
      </c>
      <c r="N78" s="39" t="n">
        <v>1723</v>
      </c>
      <c r="O78" s="39" t="n">
        <v>79</v>
      </c>
      <c r="P78" s="39" t="n">
        <v>71</v>
      </c>
      <c r="Q78" s="39" t="n">
        <v>54</v>
      </c>
      <c r="R78" s="39" t="n">
        <v>29</v>
      </c>
      <c r="S78" s="39" t="n">
        <v>2</v>
      </c>
      <c r="T78" s="40" t="n">
        <f aca="false">IF(M78=0,0,N78/M78)</f>
        <v>0.2636975818794</v>
      </c>
      <c r="U78" s="40" t="n">
        <f aca="false">IF(M78=0,0,O78/M78)</f>
        <v>0.0120906029996939</v>
      </c>
      <c r="V78" s="41" t="n">
        <f aca="false">IF(M78=0,0,P78/M78)</f>
        <v>0.0108662381389654</v>
      </c>
      <c r="W78" s="40" t="n">
        <f aca="false">IF(L78=0,0,Q78/L78)</f>
        <v>0.00819672131147541</v>
      </c>
    </row>
    <row r="79" customFormat="false" ht="15" hidden="false" customHeight="false" outlineLevel="0" collapsed="false">
      <c r="A79" s="37" t="s">
        <v>1313</v>
      </c>
      <c r="B79" s="38" t="n">
        <v>46266.9168287037</v>
      </c>
      <c r="C79" s="37" t="s">
        <v>1201</v>
      </c>
      <c r="D79" s="37" t="s">
        <v>152</v>
      </c>
      <c r="E79" s="37" t="s">
        <v>1204</v>
      </c>
      <c r="F79" s="37" t="s">
        <v>152</v>
      </c>
      <c r="G79" s="37"/>
      <c r="H79" s="37" t="s">
        <v>60</v>
      </c>
      <c r="I79" s="37" t="s">
        <v>150</v>
      </c>
      <c r="J79" s="37" t="s">
        <v>151</v>
      </c>
      <c r="K79" s="37" t="s">
        <v>1202</v>
      </c>
      <c r="L79" s="39" t="n">
        <v>986</v>
      </c>
      <c r="M79" s="39" t="n">
        <v>982</v>
      </c>
      <c r="N79" s="39" t="n">
        <v>370</v>
      </c>
      <c r="O79" s="39" t="n">
        <v>64</v>
      </c>
      <c r="P79" s="39" t="n">
        <v>0</v>
      </c>
      <c r="Q79" s="39" t="n">
        <v>4</v>
      </c>
      <c r="R79" s="39" t="n">
        <v>3</v>
      </c>
      <c r="S79" s="39" t="n">
        <v>0</v>
      </c>
      <c r="T79" s="40" t="n">
        <f aca="false">IF(M79=0,0,N79/M79)</f>
        <v>0.376782077393075</v>
      </c>
      <c r="U79" s="40" t="n">
        <f aca="false">IF(M79=0,0,O79/M79)</f>
        <v>0.065173116089613</v>
      </c>
      <c r="V79" s="41" t="n">
        <f aca="false">IF(M79=0,0,P79/M79)</f>
        <v>0</v>
      </c>
      <c r="W79" s="40" t="n">
        <f aca="false">IF(L79=0,0,Q79/L79)</f>
        <v>0.00405679513184584</v>
      </c>
    </row>
    <row r="80" customFormat="false" ht="15" hidden="false" customHeight="false" outlineLevel="0" collapsed="false">
      <c r="A80" s="37" t="s">
        <v>1314</v>
      </c>
      <c r="B80" s="38" t="n">
        <v>46266.4452662037</v>
      </c>
      <c r="C80" s="37" t="s">
        <v>1201</v>
      </c>
      <c r="D80" s="37" t="s">
        <v>160</v>
      </c>
      <c r="E80" s="37" t="s">
        <v>160</v>
      </c>
      <c r="F80" s="37" t="s">
        <v>555</v>
      </c>
      <c r="G80" s="37" t="s">
        <v>1114</v>
      </c>
      <c r="H80" s="37" t="s">
        <v>61</v>
      </c>
      <c r="I80" s="37" t="s">
        <v>157</v>
      </c>
      <c r="J80" s="37" t="s">
        <v>158</v>
      </c>
      <c r="K80" s="37" t="s">
        <v>1202</v>
      </c>
      <c r="L80" s="39" t="n">
        <v>1800</v>
      </c>
      <c r="M80" s="39" t="n">
        <v>1787</v>
      </c>
      <c r="N80" s="39" t="n">
        <v>491</v>
      </c>
      <c r="O80" s="39" t="n">
        <v>39</v>
      </c>
      <c r="P80" s="39" t="n">
        <v>10</v>
      </c>
      <c r="Q80" s="39" t="n">
        <v>13</v>
      </c>
      <c r="R80" s="39" t="n">
        <v>9</v>
      </c>
      <c r="S80" s="39" t="n">
        <v>0</v>
      </c>
      <c r="T80" s="40" t="n">
        <f aca="false">IF(M80=0,0,N80/M80)</f>
        <v>0.27476217123671</v>
      </c>
      <c r="U80" s="40" t="n">
        <f aca="false">IF(M80=0,0,O80/M80)</f>
        <v>0.0218242865137101</v>
      </c>
      <c r="V80" s="41" t="n">
        <f aca="false">IF(M80=0,0,P80/M80)</f>
        <v>0.00559597090095132</v>
      </c>
      <c r="W80" s="40" t="n">
        <f aca="false">IF(L80=0,0,Q80/L80)</f>
        <v>0.00722222222222222</v>
      </c>
    </row>
    <row r="81" customFormat="false" ht="15" hidden="false" customHeight="false" outlineLevel="0" collapsed="false">
      <c r="A81" s="37" t="s">
        <v>1315</v>
      </c>
      <c r="B81" s="38" t="n">
        <v>46266.4167592593</v>
      </c>
      <c r="C81" s="37" t="s">
        <v>1252</v>
      </c>
      <c r="D81" s="37" t="s">
        <v>101</v>
      </c>
      <c r="E81" s="37" t="s">
        <v>1115</v>
      </c>
      <c r="F81" s="37" t="s">
        <v>548</v>
      </c>
      <c r="G81" s="37"/>
      <c r="H81" s="37" t="s">
        <v>60</v>
      </c>
      <c r="I81" s="37"/>
      <c r="J81" s="37" t="s">
        <v>100</v>
      </c>
      <c r="K81" s="37" t="s">
        <v>1213</v>
      </c>
      <c r="L81" s="39" t="n">
        <v>623</v>
      </c>
      <c r="M81" s="39" t="n">
        <v>618</v>
      </c>
      <c r="N81" s="39" t="n">
        <v>160</v>
      </c>
      <c r="O81" s="39" t="n">
        <v>26</v>
      </c>
      <c r="P81" s="39" t="n">
        <v>9</v>
      </c>
      <c r="Q81" s="39" t="n">
        <v>5</v>
      </c>
      <c r="R81" s="39" t="n">
        <v>4</v>
      </c>
      <c r="S81" s="39" t="n">
        <v>0</v>
      </c>
      <c r="T81" s="40" t="n">
        <f aca="false">IF(M81=0,0,N81/M81)</f>
        <v>0.258899676375405</v>
      </c>
      <c r="U81" s="40" t="n">
        <f aca="false">IF(M81=0,0,O81/M81)</f>
        <v>0.0420711974110032</v>
      </c>
      <c r="V81" s="41" t="n">
        <f aca="false">IF(M81=0,0,P81/M81)</f>
        <v>0.0145631067961165</v>
      </c>
      <c r="W81" s="40" t="n">
        <f aca="false">IF(L81=0,0,Q81/L81)</f>
        <v>0.00802568218298555</v>
      </c>
    </row>
    <row r="82" customFormat="false" ht="15" hidden="false" customHeight="false" outlineLevel="0" collapsed="false">
      <c r="A82" s="37" t="s">
        <v>1316</v>
      </c>
      <c r="B82" s="38" t="n">
        <v>46265.5214236111</v>
      </c>
      <c r="C82" s="37" t="s">
        <v>1201</v>
      </c>
      <c r="D82" s="37" t="s">
        <v>297</v>
      </c>
      <c r="E82" s="37" t="s">
        <v>1209</v>
      </c>
      <c r="F82" s="37" t="s">
        <v>537</v>
      </c>
      <c r="G82" s="37"/>
      <c r="H82" s="37" t="s">
        <v>61</v>
      </c>
      <c r="I82" s="37" t="s">
        <v>294</v>
      </c>
      <c r="J82" s="37" t="s">
        <v>296</v>
      </c>
      <c r="K82" s="37" t="s">
        <v>1202</v>
      </c>
      <c r="L82" s="39" t="n">
        <v>667</v>
      </c>
      <c r="M82" s="39" t="n">
        <v>664</v>
      </c>
      <c r="N82" s="39" t="n">
        <v>478</v>
      </c>
      <c r="O82" s="39" t="n">
        <v>54</v>
      </c>
      <c r="P82" s="39" t="n">
        <v>0</v>
      </c>
      <c r="Q82" s="39" t="n">
        <v>3</v>
      </c>
      <c r="R82" s="39" t="n">
        <v>3</v>
      </c>
      <c r="S82" s="39" t="n">
        <v>0</v>
      </c>
      <c r="T82" s="40" t="n">
        <f aca="false">IF(M82=0,0,N82/M82)</f>
        <v>0.719879518072289</v>
      </c>
      <c r="U82" s="40" t="n">
        <f aca="false">IF(M82=0,0,O82/M82)</f>
        <v>0.0813253012048193</v>
      </c>
      <c r="V82" s="41" t="n">
        <f aca="false">IF(M82=0,0,P82/M82)</f>
        <v>0</v>
      </c>
      <c r="W82" s="40" t="n">
        <f aca="false">IF(L82=0,0,Q82/L82)</f>
        <v>0.00449775112443778</v>
      </c>
    </row>
    <row r="83" customFormat="false" ht="15" hidden="false" customHeight="false" outlineLevel="0" collapsed="false">
      <c r="A83" s="37" t="s">
        <v>1317</v>
      </c>
      <c r="B83" s="38" t="n">
        <v>46265.3375925926</v>
      </c>
      <c r="C83" s="37" t="s">
        <v>1201</v>
      </c>
      <c r="D83" s="37" t="s">
        <v>1222</v>
      </c>
      <c r="E83" s="37" t="s">
        <v>1222</v>
      </c>
      <c r="F83" s="37" t="s">
        <v>555</v>
      </c>
      <c r="G83" s="37"/>
      <c r="H83" s="37" t="s">
        <v>66</v>
      </c>
      <c r="I83" s="37"/>
      <c r="J83" s="37" t="s">
        <v>430</v>
      </c>
      <c r="K83" s="37" t="s">
        <v>8</v>
      </c>
      <c r="L83" s="39" t="n">
        <v>12884</v>
      </c>
      <c r="M83" s="39" t="n">
        <v>12792</v>
      </c>
      <c r="N83" s="39" t="n">
        <v>3382</v>
      </c>
      <c r="O83" s="39" t="n">
        <v>87</v>
      </c>
      <c r="P83" s="39" t="n">
        <v>202</v>
      </c>
      <c r="Q83" s="39" t="n">
        <v>92</v>
      </c>
      <c r="R83" s="39" t="n">
        <v>14</v>
      </c>
      <c r="S83" s="39" t="n">
        <v>2</v>
      </c>
      <c r="T83" s="40" t="n">
        <f aca="false">IF(M83=0,0,N83/M83)</f>
        <v>0.264383989993746</v>
      </c>
      <c r="U83" s="40" t="n">
        <f aca="false">IF(M83=0,0,O83/M83)</f>
        <v>0.00680112570356473</v>
      </c>
      <c r="V83" s="41" t="n">
        <f aca="false">IF(M83=0,0,P83/M83)</f>
        <v>0.015791119449656</v>
      </c>
      <c r="W83" s="40" t="n">
        <f aca="false">IF(L83=0,0,Q83/L83)</f>
        <v>0.00714063955293387</v>
      </c>
    </row>
    <row r="84" customFormat="false" ht="15" hidden="false" customHeight="false" outlineLevel="0" collapsed="false">
      <c r="A84" s="37" t="s">
        <v>1318</v>
      </c>
      <c r="B84" s="38" t="n">
        <v>46265.3136689815</v>
      </c>
      <c r="C84" s="37" t="s">
        <v>1201</v>
      </c>
      <c r="D84" s="37" t="s">
        <v>171</v>
      </c>
      <c r="E84" s="37" t="s">
        <v>172</v>
      </c>
      <c r="F84" s="37" t="s">
        <v>555</v>
      </c>
      <c r="G84" s="37"/>
      <c r="H84" s="37" t="s">
        <v>61</v>
      </c>
      <c r="I84" s="37" t="s">
        <v>169</v>
      </c>
      <c r="J84" s="37" t="s">
        <v>170</v>
      </c>
      <c r="K84" s="37" t="s">
        <v>1202</v>
      </c>
      <c r="L84" s="39" t="n">
        <v>1431</v>
      </c>
      <c r="M84" s="39" t="n">
        <v>1420</v>
      </c>
      <c r="N84" s="39" t="n">
        <v>381</v>
      </c>
      <c r="O84" s="39" t="n">
        <v>27</v>
      </c>
      <c r="P84" s="39" t="n">
        <v>8</v>
      </c>
      <c r="Q84" s="39" t="n">
        <v>11</v>
      </c>
      <c r="R84" s="39" t="n">
        <v>6</v>
      </c>
      <c r="S84" s="39" t="n">
        <v>0</v>
      </c>
      <c r="T84" s="40" t="n">
        <f aca="false">IF(M84=0,0,N84/M84)</f>
        <v>0.26830985915493</v>
      </c>
      <c r="U84" s="40" t="n">
        <f aca="false">IF(M84=0,0,O84/M84)</f>
        <v>0.0190140845070423</v>
      </c>
      <c r="V84" s="41" t="n">
        <f aca="false">IF(M84=0,0,P84/M84)</f>
        <v>0.00563380281690141</v>
      </c>
      <c r="W84" s="40" t="n">
        <f aca="false">IF(L84=0,0,Q84/L84)</f>
        <v>0.0076869322152341</v>
      </c>
    </row>
    <row r="85" customFormat="false" ht="15" hidden="false" customHeight="false" outlineLevel="0" collapsed="false">
      <c r="A85" s="37" t="s">
        <v>1319</v>
      </c>
      <c r="B85" s="38" t="n">
        <v>46262.5772222222</v>
      </c>
      <c r="C85" s="37" t="s">
        <v>1201</v>
      </c>
      <c r="D85" s="37" t="s">
        <v>1211</v>
      </c>
      <c r="E85" s="37" t="s">
        <v>1212</v>
      </c>
      <c r="F85" s="37" t="s">
        <v>544</v>
      </c>
      <c r="G85" s="37"/>
      <c r="H85" s="37" t="s">
        <v>60</v>
      </c>
      <c r="I85" s="37"/>
      <c r="J85" s="37" t="s">
        <v>100</v>
      </c>
      <c r="K85" s="37" t="s">
        <v>1213</v>
      </c>
      <c r="L85" s="39" t="n">
        <v>127</v>
      </c>
      <c r="M85" s="39" t="n">
        <v>126</v>
      </c>
      <c r="N85" s="39" t="n">
        <v>92</v>
      </c>
      <c r="O85" s="39" t="n">
        <v>8</v>
      </c>
      <c r="P85" s="39" t="n">
        <v>1</v>
      </c>
      <c r="Q85" s="39" t="n">
        <v>1</v>
      </c>
      <c r="R85" s="39" t="n">
        <v>1</v>
      </c>
      <c r="S85" s="39" t="n">
        <v>0</v>
      </c>
      <c r="T85" s="40" t="n">
        <f aca="false">IF(M85=0,0,N85/M85)</f>
        <v>0.73015873015873</v>
      </c>
      <c r="U85" s="40" t="n">
        <f aca="false">IF(M85=0,0,O85/M85)</f>
        <v>0.0634920634920635</v>
      </c>
      <c r="V85" s="41" t="n">
        <f aca="false">IF(M85=0,0,P85/M85)</f>
        <v>0.00793650793650794</v>
      </c>
      <c r="W85" s="40" t="n">
        <f aca="false">IF(L85=0,0,Q85/L85)</f>
        <v>0.0078740157480315</v>
      </c>
    </row>
    <row r="86" customFormat="false" ht="15" hidden="false" customHeight="false" outlineLevel="0" collapsed="false">
      <c r="A86" s="37" t="s">
        <v>1320</v>
      </c>
      <c r="B86" s="38" t="n">
        <v>46262.2346990741</v>
      </c>
      <c r="C86" s="37" t="s">
        <v>1201</v>
      </c>
      <c r="D86" s="37" t="s">
        <v>1321</v>
      </c>
      <c r="E86" s="37" t="s">
        <v>1228</v>
      </c>
      <c r="F86" s="37" t="s">
        <v>555</v>
      </c>
      <c r="G86" s="37"/>
      <c r="H86" s="37" t="s">
        <v>68</v>
      </c>
      <c r="I86" s="37"/>
      <c r="J86" s="37" t="s">
        <v>144</v>
      </c>
      <c r="K86" s="37" t="s">
        <v>1202</v>
      </c>
      <c r="L86" s="39" t="n">
        <v>1261</v>
      </c>
      <c r="M86" s="39" t="n">
        <v>1254</v>
      </c>
      <c r="N86" s="39" t="n">
        <v>414</v>
      </c>
      <c r="O86" s="39" t="n">
        <v>21</v>
      </c>
      <c r="P86" s="39" t="n">
        <v>16</v>
      </c>
      <c r="Q86" s="39" t="n">
        <v>7</v>
      </c>
      <c r="R86" s="39" t="n">
        <v>4</v>
      </c>
      <c r="S86" s="39" t="n">
        <v>0</v>
      </c>
      <c r="T86" s="40" t="n">
        <f aca="false">IF(M86=0,0,N86/M86)</f>
        <v>0.330143540669856</v>
      </c>
      <c r="U86" s="40" t="n">
        <f aca="false">IF(M86=0,0,O86/M86)</f>
        <v>0.0167464114832536</v>
      </c>
      <c r="V86" s="41" t="n">
        <f aca="false">IF(M86=0,0,P86/M86)</f>
        <v>0.0127591706539075</v>
      </c>
      <c r="W86" s="40" t="n">
        <f aca="false">IF(L86=0,0,Q86/L86)</f>
        <v>0.00555114988104679</v>
      </c>
    </row>
    <row r="87" customFormat="false" ht="15" hidden="false" customHeight="false" outlineLevel="0" collapsed="false">
      <c r="A87" s="37" t="s">
        <v>1322</v>
      </c>
      <c r="B87" s="38" t="n">
        <v>46261.4601736111</v>
      </c>
      <c r="C87" s="37" t="s">
        <v>1201</v>
      </c>
      <c r="D87" s="37" t="s">
        <v>1237</v>
      </c>
      <c r="E87" s="37" t="s">
        <v>1237</v>
      </c>
      <c r="F87" s="37" t="s">
        <v>544</v>
      </c>
      <c r="G87" s="37"/>
      <c r="H87" s="37" t="s">
        <v>60</v>
      </c>
      <c r="I87" s="37"/>
      <c r="J87" s="37" t="s">
        <v>394</v>
      </c>
      <c r="K87" s="37" t="s">
        <v>1202</v>
      </c>
      <c r="L87" s="39" t="n">
        <v>2835</v>
      </c>
      <c r="M87" s="39" t="n">
        <v>2814</v>
      </c>
      <c r="N87" s="39" t="n">
        <v>807</v>
      </c>
      <c r="O87" s="39" t="n">
        <v>6</v>
      </c>
      <c r="P87" s="39" t="n">
        <v>21</v>
      </c>
      <c r="Q87" s="39" t="n">
        <v>21</v>
      </c>
      <c r="R87" s="39" t="n">
        <v>16</v>
      </c>
      <c r="S87" s="39" t="n">
        <v>0</v>
      </c>
      <c r="T87" s="40" t="n">
        <f aca="false">IF(M87=0,0,N87/M87)</f>
        <v>0.286780383795309</v>
      </c>
      <c r="U87" s="40" t="n">
        <f aca="false">IF(M87=0,0,O87/M87)</f>
        <v>0.00213219616204691</v>
      </c>
      <c r="V87" s="41" t="n">
        <f aca="false">IF(M87=0,0,P87/M87)</f>
        <v>0.00746268656716418</v>
      </c>
      <c r="W87" s="40" t="n">
        <f aca="false">IF(L87=0,0,Q87/L87)</f>
        <v>0.00740740740740741</v>
      </c>
    </row>
    <row r="88" customFormat="false" ht="15" hidden="false" customHeight="false" outlineLevel="0" collapsed="false">
      <c r="A88" s="37" t="s">
        <v>1323</v>
      </c>
      <c r="B88" s="38" t="n">
        <v>46261.3558449074</v>
      </c>
      <c r="C88" s="37" t="s">
        <v>1201</v>
      </c>
      <c r="D88" s="37" t="s">
        <v>1324</v>
      </c>
      <c r="E88" s="37" t="s">
        <v>193</v>
      </c>
      <c r="F88" s="37" t="s">
        <v>544</v>
      </c>
      <c r="G88" s="37"/>
      <c r="H88" s="37" t="s">
        <v>60</v>
      </c>
      <c r="I88" s="37"/>
      <c r="J88" s="37" t="s">
        <v>357</v>
      </c>
      <c r="K88" s="37" t="s">
        <v>1202</v>
      </c>
      <c r="L88" s="39" t="n">
        <v>42</v>
      </c>
      <c r="M88" s="39" t="n">
        <v>42</v>
      </c>
      <c r="N88" s="39" t="n">
        <v>17</v>
      </c>
      <c r="O88" s="39" t="n">
        <v>4</v>
      </c>
      <c r="P88" s="39" t="n">
        <v>0</v>
      </c>
      <c r="Q88" s="39" t="n">
        <v>0</v>
      </c>
      <c r="R88" s="39" t="n">
        <v>0</v>
      </c>
      <c r="S88" s="39" t="n">
        <v>0</v>
      </c>
      <c r="T88" s="40" t="n">
        <f aca="false">IF(M88=0,0,N88/M88)</f>
        <v>0.404761904761905</v>
      </c>
      <c r="U88" s="40" t="n">
        <f aca="false">IF(M88=0,0,O88/M88)</f>
        <v>0.0952380952380952</v>
      </c>
      <c r="V88" s="41" t="n">
        <f aca="false">IF(M88=0,0,P88/M88)</f>
        <v>0</v>
      </c>
      <c r="W88" s="40" t="n">
        <f aca="false">IF(L88=0,0,Q88/L88)</f>
        <v>0</v>
      </c>
    </row>
    <row r="89" customFormat="false" ht="15" hidden="false" customHeight="false" outlineLevel="0" collapsed="false">
      <c r="A89" s="37" t="s">
        <v>1325</v>
      </c>
      <c r="B89" s="38" t="n">
        <v>46261.3547106482</v>
      </c>
      <c r="C89" s="37" t="s">
        <v>1201</v>
      </c>
      <c r="D89" s="37" t="s">
        <v>1230</v>
      </c>
      <c r="E89" s="37" t="s">
        <v>193</v>
      </c>
      <c r="F89" s="37" t="s">
        <v>544</v>
      </c>
      <c r="G89" s="37"/>
      <c r="H89" s="37" t="s">
        <v>60</v>
      </c>
      <c r="I89" s="37"/>
      <c r="J89" s="37" t="s">
        <v>357</v>
      </c>
      <c r="K89" s="37" t="s">
        <v>1202</v>
      </c>
      <c r="L89" s="39" t="n">
        <v>101</v>
      </c>
      <c r="M89" s="39" t="n">
        <v>101</v>
      </c>
      <c r="N89" s="39" t="n">
        <v>34</v>
      </c>
      <c r="O89" s="39" t="n">
        <v>14</v>
      </c>
      <c r="P89" s="39" t="n">
        <v>1</v>
      </c>
      <c r="Q89" s="39" t="n">
        <v>0</v>
      </c>
      <c r="R89" s="39" t="n">
        <v>0</v>
      </c>
      <c r="S89" s="39" t="n">
        <v>0</v>
      </c>
      <c r="T89" s="40" t="n">
        <f aca="false">IF(M89=0,0,N89/M89)</f>
        <v>0.336633663366337</v>
      </c>
      <c r="U89" s="40" t="n">
        <f aca="false">IF(M89=0,0,O89/M89)</f>
        <v>0.138613861386139</v>
      </c>
      <c r="V89" s="41" t="n">
        <f aca="false">IF(M89=0,0,P89/M89)</f>
        <v>0.0099009900990099</v>
      </c>
      <c r="W89" s="40" t="n">
        <f aca="false">IF(L89=0,0,Q89/L89)</f>
        <v>0</v>
      </c>
    </row>
    <row r="90" customFormat="false" ht="15" hidden="false" customHeight="false" outlineLevel="0" collapsed="false">
      <c r="A90" s="37" t="s">
        <v>1326</v>
      </c>
      <c r="B90" s="38" t="n">
        <v>46260.9748611111</v>
      </c>
      <c r="C90" s="37" t="s">
        <v>1246</v>
      </c>
      <c r="D90" s="37" t="s">
        <v>1327</v>
      </c>
      <c r="E90" s="37" t="s">
        <v>1328</v>
      </c>
      <c r="F90" s="37" t="s">
        <v>544</v>
      </c>
      <c r="G90" s="37"/>
      <c r="H90" s="37" t="s">
        <v>60</v>
      </c>
      <c r="I90" s="37"/>
      <c r="J90" s="37" t="s">
        <v>144</v>
      </c>
      <c r="K90" s="37" t="s">
        <v>1202</v>
      </c>
      <c r="L90" s="39" t="n">
        <v>4360</v>
      </c>
      <c r="M90" s="39" t="n">
        <v>4273</v>
      </c>
      <c r="N90" s="39" t="n">
        <v>1304</v>
      </c>
      <c r="O90" s="39" t="n">
        <v>128</v>
      </c>
      <c r="P90" s="39" t="n">
        <v>72</v>
      </c>
      <c r="Q90" s="39" t="n">
        <v>87</v>
      </c>
      <c r="R90" s="39" t="n">
        <v>38</v>
      </c>
      <c r="S90" s="39" t="n">
        <v>0</v>
      </c>
      <c r="T90" s="40" t="n">
        <f aca="false">IF(M90=0,0,N90/M90)</f>
        <v>0.305172010297215</v>
      </c>
      <c r="U90" s="40" t="n">
        <f aca="false">IF(M90=0,0,O90/M90)</f>
        <v>0.0299555347531009</v>
      </c>
      <c r="V90" s="41" t="n">
        <f aca="false">IF(M90=0,0,P90/M90)</f>
        <v>0.0168499882986192</v>
      </c>
      <c r="W90" s="40" t="n">
        <f aca="false">IF(L90=0,0,Q90/L90)</f>
        <v>0.019954128440367</v>
      </c>
    </row>
    <row r="91" customFormat="false" ht="15" hidden="false" customHeight="false" outlineLevel="0" collapsed="false">
      <c r="A91" s="37" t="s">
        <v>1329</v>
      </c>
      <c r="B91" s="38" t="n">
        <v>46260.6032523148</v>
      </c>
      <c r="C91" s="37" t="s">
        <v>1201</v>
      </c>
      <c r="D91" s="37" t="s">
        <v>116</v>
      </c>
      <c r="E91" s="37" t="s">
        <v>117</v>
      </c>
      <c r="F91" s="37" t="s">
        <v>555</v>
      </c>
      <c r="G91" s="37" t="s">
        <v>1118</v>
      </c>
      <c r="H91" s="37" t="s">
        <v>61</v>
      </c>
      <c r="I91" s="37" t="s">
        <v>114</v>
      </c>
      <c r="J91" s="37" t="s">
        <v>115</v>
      </c>
      <c r="K91" s="37" t="s">
        <v>1202</v>
      </c>
      <c r="L91" s="39" t="n">
        <v>4847</v>
      </c>
      <c r="M91" s="39" t="n">
        <v>4795</v>
      </c>
      <c r="N91" s="39" t="n">
        <v>1290</v>
      </c>
      <c r="O91" s="39" t="n">
        <v>154</v>
      </c>
      <c r="P91" s="39" t="n">
        <v>34</v>
      </c>
      <c r="Q91" s="39" t="n">
        <v>52</v>
      </c>
      <c r="R91" s="39" t="n">
        <v>28</v>
      </c>
      <c r="S91" s="39" t="n">
        <v>2</v>
      </c>
      <c r="T91" s="40" t="n">
        <f aca="false">IF(M91=0,0,N91/M91)</f>
        <v>0.26903023983316</v>
      </c>
      <c r="U91" s="40" t="n">
        <f aca="false">IF(M91=0,0,O91/M91)</f>
        <v>0.0321167883211679</v>
      </c>
      <c r="V91" s="41" t="n">
        <f aca="false">IF(M91=0,0,P91/M91)</f>
        <v>0.00709071949947862</v>
      </c>
      <c r="W91" s="40" t="n">
        <f aca="false">IF(L91=0,0,Q91/L91)</f>
        <v>0.0107282855374458</v>
      </c>
    </row>
    <row r="92" customFormat="false" ht="15" hidden="false" customHeight="false" outlineLevel="0" collapsed="false">
      <c r="A92" s="37" t="s">
        <v>1330</v>
      </c>
      <c r="B92" s="38" t="n">
        <v>46260.5539351852</v>
      </c>
      <c r="C92" s="37" t="s">
        <v>1201</v>
      </c>
      <c r="D92" s="37" t="s">
        <v>267</v>
      </c>
      <c r="E92" s="37" t="s">
        <v>267</v>
      </c>
      <c r="F92" s="37" t="s">
        <v>555</v>
      </c>
      <c r="G92" s="37"/>
      <c r="H92" s="37" t="s">
        <v>61</v>
      </c>
      <c r="I92" s="37" t="s">
        <v>264</v>
      </c>
      <c r="J92" s="37" t="s">
        <v>266</v>
      </c>
      <c r="K92" s="37" t="s">
        <v>1202</v>
      </c>
      <c r="L92" s="39" t="n">
        <v>221</v>
      </c>
      <c r="M92" s="39" t="n">
        <v>219</v>
      </c>
      <c r="N92" s="39" t="n">
        <v>97</v>
      </c>
      <c r="O92" s="39" t="n">
        <v>4</v>
      </c>
      <c r="P92" s="39" t="n">
        <v>0</v>
      </c>
      <c r="Q92" s="39" t="n">
        <v>2</v>
      </c>
      <c r="R92" s="39" t="n">
        <v>0</v>
      </c>
      <c r="S92" s="39" t="n">
        <v>0</v>
      </c>
      <c r="T92" s="40" t="n">
        <f aca="false">IF(M92=0,0,N92/M92)</f>
        <v>0.442922374429224</v>
      </c>
      <c r="U92" s="40" t="n">
        <f aca="false">IF(M92=0,0,O92/M92)</f>
        <v>0.0182648401826484</v>
      </c>
      <c r="V92" s="41" t="n">
        <f aca="false">IF(M92=0,0,P92/M92)</f>
        <v>0</v>
      </c>
      <c r="W92" s="40" t="n">
        <f aca="false">IF(L92=0,0,Q92/L92)</f>
        <v>0.00904977375565611</v>
      </c>
    </row>
    <row r="93" customFormat="false" ht="15" hidden="false" customHeight="false" outlineLevel="0" collapsed="false">
      <c r="A93" s="37" t="s">
        <v>1331</v>
      </c>
      <c r="B93" s="38" t="n">
        <v>46260.3336226852</v>
      </c>
      <c r="C93" s="37" t="s">
        <v>1252</v>
      </c>
      <c r="D93" s="37" t="s">
        <v>1286</v>
      </c>
      <c r="E93" s="37" t="s">
        <v>166</v>
      </c>
      <c r="F93" s="37" t="s">
        <v>555</v>
      </c>
      <c r="G93" s="37" t="s">
        <v>1287</v>
      </c>
      <c r="H93" s="37" t="s">
        <v>60</v>
      </c>
      <c r="I93" s="37"/>
      <c r="J93" s="37" t="s">
        <v>164</v>
      </c>
      <c r="K93" s="37" t="s">
        <v>1202</v>
      </c>
      <c r="L93" s="39" t="n">
        <v>939</v>
      </c>
      <c r="M93" s="39" t="n">
        <v>936</v>
      </c>
      <c r="N93" s="39" t="n">
        <v>318</v>
      </c>
      <c r="O93" s="39" t="n">
        <v>27</v>
      </c>
      <c r="P93" s="39" t="n">
        <v>2</v>
      </c>
      <c r="Q93" s="39" t="n">
        <v>3</v>
      </c>
      <c r="R93" s="39" t="n">
        <v>1</v>
      </c>
      <c r="S93" s="39" t="n">
        <v>0</v>
      </c>
      <c r="T93" s="40" t="n">
        <f aca="false">IF(M93=0,0,N93/M93)</f>
        <v>0.33974358974359</v>
      </c>
      <c r="U93" s="40" t="n">
        <f aca="false">IF(M93=0,0,O93/M93)</f>
        <v>0.0288461538461538</v>
      </c>
      <c r="V93" s="41" t="n">
        <f aca="false">IF(M93=0,0,P93/M93)</f>
        <v>0.00213675213675214</v>
      </c>
      <c r="W93" s="40" t="n">
        <f aca="false">IF(L93=0,0,Q93/L93)</f>
        <v>0.00319488817891374</v>
      </c>
    </row>
    <row r="94" customFormat="false" ht="15" hidden="false" customHeight="false" outlineLevel="0" collapsed="false">
      <c r="A94" s="37" t="s">
        <v>1332</v>
      </c>
      <c r="B94" s="38" t="n">
        <v>46259.5486805556</v>
      </c>
      <c r="C94" s="37" t="s">
        <v>1252</v>
      </c>
      <c r="D94" s="37" t="s">
        <v>101</v>
      </c>
      <c r="E94" s="37" t="s">
        <v>1222</v>
      </c>
      <c r="F94" s="37" t="s">
        <v>548</v>
      </c>
      <c r="G94" s="37" t="s">
        <v>1223</v>
      </c>
      <c r="H94" s="37" t="s">
        <v>61</v>
      </c>
      <c r="I94" s="37" t="s">
        <v>98</v>
      </c>
      <c r="J94" s="37" t="s">
        <v>100</v>
      </c>
      <c r="K94" s="37" t="s">
        <v>1202</v>
      </c>
      <c r="L94" s="39" t="n">
        <v>3262</v>
      </c>
      <c r="M94" s="39" t="n">
        <v>3241</v>
      </c>
      <c r="N94" s="39" t="n">
        <v>462</v>
      </c>
      <c r="O94" s="39" t="n">
        <v>60</v>
      </c>
      <c r="P94" s="39" t="n">
        <v>25</v>
      </c>
      <c r="Q94" s="39" t="n">
        <v>21</v>
      </c>
      <c r="R94" s="39" t="n">
        <v>11</v>
      </c>
      <c r="S94" s="39" t="n">
        <v>0</v>
      </c>
      <c r="T94" s="40" t="n">
        <f aca="false">IF(M94=0,0,N94/M94)</f>
        <v>0.142548596112311</v>
      </c>
      <c r="U94" s="40" t="n">
        <f aca="false">IF(M94=0,0,O94/M94)</f>
        <v>0.0185128046899105</v>
      </c>
      <c r="V94" s="41" t="n">
        <f aca="false">IF(M94=0,0,P94/M94)</f>
        <v>0.00771366862079605</v>
      </c>
      <c r="W94" s="40" t="n">
        <f aca="false">IF(L94=0,0,Q94/L94)</f>
        <v>0.00643776824034335</v>
      </c>
    </row>
    <row r="95" customFormat="false" ht="15" hidden="false" customHeight="false" outlineLevel="0" collapsed="false">
      <c r="A95" s="37" t="s">
        <v>75</v>
      </c>
      <c r="B95" s="38" t="n">
        <v>46259.474212963</v>
      </c>
      <c r="C95" s="37" t="s">
        <v>1201</v>
      </c>
      <c r="D95" s="37" t="s">
        <v>1222</v>
      </c>
      <c r="E95" s="37" t="s">
        <v>1222</v>
      </c>
      <c r="F95" s="37" t="s">
        <v>555</v>
      </c>
      <c r="G95" s="37"/>
      <c r="H95" s="37" t="s">
        <v>66</v>
      </c>
      <c r="I95" s="37"/>
      <c r="J95" s="37" t="s">
        <v>430</v>
      </c>
      <c r="K95" s="37" t="s">
        <v>8</v>
      </c>
      <c r="L95" s="39" t="n">
        <v>13937</v>
      </c>
      <c r="M95" s="39" t="n">
        <v>13111</v>
      </c>
      <c r="N95" s="39" t="n">
        <v>4308</v>
      </c>
      <c r="O95" s="39" t="n">
        <v>165</v>
      </c>
      <c r="P95" s="39" t="n">
        <v>251</v>
      </c>
      <c r="Q95" s="39" t="n">
        <v>826</v>
      </c>
      <c r="R95" s="39" t="n">
        <v>748</v>
      </c>
      <c r="S95" s="39" t="n">
        <v>1</v>
      </c>
      <c r="T95" s="40" t="n">
        <f aca="false">IF(M95=0,0,N95/M95)</f>
        <v>0.32857905575471</v>
      </c>
      <c r="U95" s="40" t="n">
        <f aca="false">IF(M95=0,0,O95/M95)</f>
        <v>0.0125848524140035</v>
      </c>
      <c r="V95" s="41" t="n">
        <f aca="false">IF(M95=0,0,P95/M95)</f>
        <v>0.0191442300358478</v>
      </c>
      <c r="W95" s="40" t="n">
        <f aca="false">IF(L95=0,0,Q95/L95)</f>
        <v>0.0592667001506781</v>
      </c>
    </row>
    <row r="96" customFormat="false" ht="15" hidden="false" customHeight="false" outlineLevel="0" collapsed="false">
      <c r="A96" s="37" t="s">
        <v>1332</v>
      </c>
      <c r="B96" s="38" t="n">
        <v>46259.3602430556</v>
      </c>
      <c r="C96" s="37" t="s">
        <v>1201</v>
      </c>
      <c r="D96" s="37" t="s">
        <v>101</v>
      </c>
      <c r="E96" s="37" t="s">
        <v>1222</v>
      </c>
      <c r="F96" s="37" t="s">
        <v>548</v>
      </c>
      <c r="G96" s="37" t="s">
        <v>1223</v>
      </c>
      <c r="H96" s="37" t="s">
        <v>61</v>
      </c>
      <c r="I96" s="37" t="s">
        <v>98</v>
      </c>
      <c r="J96" s="37" t="s">
        <v>100</v>
      </c>
      <c r="K96" s="37" t="s">
        <v>1202</v>
      </c>
      <c r="L96" s="39" t="n">
        <v>6998</v>
      </c>
      <c r="M96" s="39" t="n">
        <v>6975</v>
      </c>
      <c r="N96" s="39" t="n">
        <v>1140</v>
      </c>
      <c r="O96" s="39" t="n">
        <v>133</v>
      </c>
      <c r="P96" s="39" t="n">
        <v>38</v>
      </c>
      <c r="Q96" s="39" t="n">
        <v>23</v>
      </c>
      <c r="R96" s="39" t="n">
        <v>9</v>
      </c>
      <c r="S96" s="39" t="n">
        <v>1</v>
      </c>
      <c r="T96" s="40" t="n">
        <f aca="false">IF(M96=0,0,N96/M96)</f>
        <v>0.163440860215054</v>
      </c>
      <c r="U96" s="40" t="n">
        <f aca="false">IF(M96=0,0,O96/M96)</f>
        <v>0.0190681003584229</v>
      </c>
      <c r="V96" s="41" t="n">
        <f aca="false">IF(M96=0,0,P96/M96)</f>
        <v>0.00544802867383513</v>
      </c>
      <c r="W96" s="40" t="n">
        <f aca="false">IF(L96=0,0,Q96/L96)</f>
        <v>0.00328665332952272</v>
      </c>
    </row>
    <row r="97" customFormat="false" ht="15" hidden="false" customHeight="false" outlineLevel="0" collapsed="false">
      <c r="A97" s="37" t="s">
        <v>1333</v>
      </c>
      <c r="B97" s="38" t="n">
        <v>46258.4403703704</v>
      </c>
      <c r="C97" s="37" t="s">
        <v>1201</v>
      </c>
      <c r="D97" s="37" t="s">
        <v>1222</v>
      </c>
      <c r="E97" s="37" t="s">
        <v>1222</v>
      </c>
      <c r="F97" s="37" t="s">
        <v>555</v>
      </c>
      <c r="G97" s="37"/>
      <c r="H97" s="37" t="s">
        <v>66</v>
      </c>
      <c r="I97" s="37"/>
      <c r="J97" s="37" t="s">
        <v>430</v>
      </c>
      <c r="K97" s="37" t="s">
        <v>8</v>
      </c>
      <c r="L97" s="39" t="n">
        <v>3287</v>
      </c>
      <c r="M97" s="39" t="n">
        <v>3260</v>
      </c>
      <c r="N97" s="39" t="n">
        <v>1036</v>
      </c>
      <c r="O97" s="39" t="n">
        <v>19</v>
      </c>
      <c r="P97" s="39" t="n">
        <v>37</v>
      </c>
      <c r="Q97" s="39" t="n">
        <v>27</v>
      </c>
      <c r="R97" s="39" t="n">
        <v>5</v>
      </c>
      <c r="S97" s="39" t="n">
        <v>0</v>
      </c>
      <c r="T97" s="40" t="n">
        <f aca="false">IF(M97=0,0,N97/M97)</f>
        <v>0.317791411042945</v>
      </c>
      <c r="U97" s="40" t="n">
        <f aca="false">IF(M97=0,0,O97/M97)</f>
        <v>0.00582822085889571</v>
      </c>
      <c r="V97" s="41" t="n">
        <f aca="false">IF(M97=0,0,P97/M97)</f>
        <v>0.0113496932515337</v>
      </c>
      <c r="W97" s="40" t="n">
        <f aca="false">IF(L97=0,0,Q97/L97)</f>
        <v>0.00821417706114998</v>
      </c>
    </row>
    <row r="98" customFormat="false" ht="15" hidden="false" customHeight="false" outlineLevel="0" collapsed="false">
      <c r="A98" s="37" t="s">
        <v>1334</v>
      </c>
      <c r="B98" s="38" t="n">
        <v>46254.8154166667</v>
      </c>
      <c r="C98" s="37" t="s">
        <v>1241</v>
      </c>
      <c r="D98" s="37" t="s">
        <v>1335</v>
      </c>
      <c r="E98" s="37" t="s">
        <v>1204</v>
      </c>
      <c r="F98" s="37" t="s">
        <v>152</v>
      </c>
      <c r="G98" s="37"/>
      <c r="H98" s="37" t="s">
        <v>64</v>
      </c>
      <c r="I98" s="37"/>
      <c r="J98" s="37" t="s">
        <v>151</v>
      </c>
      <c r="K98" s="37" t="s">
        <v>1202</v>
      </c>
      <c r="L98" s="39" t="n">
        <v>96</v>
      </c>
      <c r="M98" s="39" t="n">
        <v>96</v>
      </c>
      <c r="N98" s="39" t="n">
        <v>1</v>
      </c>
      <c r="O98" s="39" t="n">
        <v>1</v>
      </c>
      <c r="P98" s="39" t="n">
        <v>0</v>
      </c>
      <c r="Q98" s="39" t="n">
        <v>0</v>
      </c>
      <c r="R98" s="39" t="n">
        <v>0</v>
      </c>
      <c r="S98" s="39" t="n">
        <v>0</v>
      </c>
      <c r="T98" s="40" t="n">
        <f aca="false">IF(M98=0,0,N98/M98)</f>
        <v>0.0104166666666667</v>
      </c>
      <c r="U98" s="40" t="n">
        <f aca="false">IF(M98=0,0,O98/M98)</f>
        <v>0.0104166666666667</v>
      </c>
      <c r="V98" s="41" t="n">
        <f aca="false">IF(M98=0,0,P98/M98)</f>
        <v>0</v>
      </c>
      <c r="W98" s="40" t="n">
        <f aca="false">IF(L98=0,0,Q98/L98)</f>
        <v>0</v>
      </c>
    </row>
    <row r="99" customFormat="false" ht="15" hidden="false" customHeight="false" outlineLevel="0" collapsed="false">
      <c r="A99" s="37" t="s">
        <v>1336</v>
      </c>
      <c r="B99" s="38" t="n">
        <v>46254.4588425926</v>
      </c>
      <c r="C99" s="37" t="s">
        <v>1201</v>
      </c>
      <c r="D99" s="37" t="s">
        <v>1211</v>
      </c>
      <c r="E99" s="37" t="s">
        <v>1212</v>
      </c>
      <c r="F99" s="37" t="s">
        <v>544</v>
      </c>
      <c r="G99" s="37"/>
      <c r="H99" s="37" t="s">
        <v>60</v>
      </c>
      <c r="I99" s="37"/>
      <c r="J99" s="37" t="s">
        <v>100</v>
      </c>
      <c r="K99" s="37" t="s">
        <v>1213</v>
      </c>
      <c r="L99" s="39" t="n">
        <v>127</v>
      </c>
      <c r="M99" s="39" t="n">
        <v>127</v>
      </c>
      <c r="N99" s="39" t="n">
        <v>65</v>
      </c>
      <c r="O99" s="39" t="n">
        <v>5</v>
      </c>
      <c r="P99" s="39" t="n">
        <v>1</v>
      </c>
      <c r="Q99" s="39" t="n">
        <v>0</v>
      </c>
      <c r="R99" s="39" t="n">
        <v>0</v>
      </c>
      <c r="S99" s="39" t="n">
        <v>0</v>
      </c>
      <c r="T99" s="40" t="n">
        <f aca="false">IF(M99=0,0,N99/M99)</f>
        <v>0.511811023622047</v>
      </c>
      <c r="U99" s="40" t="n">
        <f aca="false">IF(M99=0,0,O99/M99)</f>
        <v>0.0393700787401575</v>
      </c>
      <c r="V99" s="41" t="n">
        <f aca="false">IF(M99=0,0,P99/M99)</f>
        <v>0.0078740157480315</v>
      </c>
      <c r="W99" s="40" t="n">
        <f aca="false">IF(L99=0,0,Q99/L99)</f>
        <v>0</v>
      </c>
    </row>
    <row r="100" customFormat="false" ht="15" hidden="false" customHeight="false" outlineLevel="0" collapsed="false">
      <c r="A100" s="37" t="s">
        <v>1337</v>
      </c>
      <c r="B100" s="38" t="n">
        <v>46254.3519444445</v>
      </c>
      <c r="C100" s="37" t="s">
        <v>1201</v>
      </c>
      <c r="D100" s="37" t="s">
        <v>1237</v>
      </c>
      <c r="E100" s="37" t="s">
        <v>1237</v>
      </c>
      <c r="F100" s="37" t="s">
        <v>544</v>
      </c>
      <c r="G100" s="37"/>
      <c r="H100" s="37" t="s">
        <v>60</v>
      </c>
      <c r="I100" s="37"/>
      <c r="J100" s="37" t="s">
        <v>386</v>
      </c>
      <c r="K100" s="37" t="s">
        <v>1202</v>
      </c>
      <c r="L100" s="39" t="n">
        <v>490</v>
      </c>
      <c r="M100" s="39" t="n">
        <v>485</v>
      </c>
      <c r="N100" s="39" t="n">
        <v>125</v>
      </c>
      <c r="O100" s="39" t="n">
        <v>15</v>
      </c>
      <c r="P100" s="39" t="n">
        <v>5</v>
      </c>
      <c r="Q100" s="39" t="n">
        <v>5</v>
      </c>
      <c r="R100" s="39" t="n">
        <v>3</v>
      </c>
      <c r="S100" s="39" t="n">
        <v>0</v>
      </c>
      <c r="T100" s="40" t="n">
        <f aca="false">IF(M100=0,0,N100/M100)</f>
        <v>0.257731958762887</v>
      </c>
      <c r="U100" s="40" t="n">
        <f aca="false">IF(M100=0,0,O100/M100)</f>
        <v>0.0309278350515464</v>
      </c>
      <c r="V100" s="41" t="n">
        <f aca="false">IF(M100=0,0,P100/M100)</f>
        <v>0.0103092783505155</v>
      </c>
      <c r="W100" s="40" t="n">
        <f aca="false">IF(L100=0,0,Q100/L100)</f>
        <v>0.0102040816326531</v>
      </c>
    </row>
    <row r="101" customFormat="false" ht="15" hidden="false" customHeight="false" outlineLevel="0" collapsed="false">
      <c r="A101" s="37" t="s">
        <v>1338</v>
      </c>
      <c r="B101" s="38" t="n">
        <v>46253.4587268519</v>
      </c>
      <c r="C101" s="37" t="s">
        <v>1201</v>
      </c>
      <c r="D101" s="37" t="s">
        <v>1339</v>
      </c>
      <c r="E101" s="37" t="s">
        <v>1340</v>
      </c>
      <c r="F101" s="37" t="s">
        <v>544</v>
      </c>
      <c r="G101" s="37"/>
      <c r="H101" s="37" t="s">
        <v>60</v>
      </c>
      <c r="I101" s="37"/>
      <c r="J101" s="37" t="s">
        <v>115</v>
      </c>
      <c r="K101" s="37" t="s">
        <v>1202</v>
      </c>
      <c r="L101" s="39" t="n">
        <v>1142</v>
      </c>
      <c r="M101" s="39" t="n">
        <v>1138</v>
      </c>
      <c r="N101" s="39" t="n">
        <v>333</v>
      </c>
      <c r="O101" s="39" t="n">
        <v>34</v>
      </c>
      <c r="P101" s="39" t="n">
        <v>12</v>
      </c>
      <c r="Q101" s="39" t="n">
        <v>4</v>
      </c>
      <c r="R101" s="39" t="n">
        <v>2</v>
      </c>
      <c r="S101" s="39" t="n">
        <v>0</v>
      </c>
      <c r="T101" s="40" t="n">
        <f aca="false">IF(M101=0,0,N101/M101)</f>
        <v>0.292618629173989</v>
      </c>
      <c r="U101" s="40" t="n">
        <f aca="false">IF(M101=0,0,O101/M101)</f>
        <v>0.0298769771528998</v>
      </c>
      <c r="V101" s="41" t="n">
        <f aca="false">IF(M101=0,0,P101/M101)</f>
        <v>0.0105448154657294</v>
      </c>
      <c r="W101" s="40" t="n">
        <f aca="false">IF(L101=0,0,Q101/L101)</f>
        <v>0.00350262697022767</v>
      </c>
    </row>
    <row r="102" customFormat="false" ht="15" hidden="false" customHeight="false" outlineLevel="0" collapsed="false">
      <c r="A102" s="37" t="s">
        <v>1341</v>
      </c>
      <c r="B102" s="38" t="n">
        <v>46253.3234375</v>
      </c>
      <c r="C102" s="37" t="s">
        <v>1252</v>
      </c>
      <c r="D102" s="37" t="s">
        <v>1286</v>
      </c>
      <c r="E102" s="37" t="s">
        <v>166</v>
      </c>
      <c r="F102" s="37" t="s">
        <v>555</v>
      </c>
      <c r="G102" s="37" t="s">
        <v>1287</v>
      </c>
      <c r="H102" s="37" t="s">
        <v>60</v>
      </c>
      <c r="I102" s="37"/>
      <c r="J102" s="37" t="s">
        <v>164</v>
      </c>
      <c r="K102" s="37" t="s">
        <v>1202</v>
      </c>
      <c r="L102" s="39" t="n">
        <v>963</v>
      </c>
      <c r="M102" s="39" t="n">
        <v>957</v>
      </c>
      <c r="N102" s="39" t="n">
        <v>310</v>
      </c>
      <c r="O102" s="39" t="n">
        <v>39</v>
      </c>
      <c r="P102" s="39" t="n">
        <v>1</v>
      </c>
      <c r="Q102" s="39" t="n">
        <v>6</v>
      </c>
      <c r="R102" s="39" t="n">
        <v>4</v>
      </c>
      <c r="S102" s="39" t="n">
        <v>0</v>
      </c>
      <c r="T102" s="40" t="n">
        <f aca="false">IF(M102=0,0,N102/M102)</f>
        <v>0.3239289446186</v>
      </c>
      <c r="U102" s="40" t="n">
        <f aca="false">IF(M102=0,0,O102/M102)</f>
        <v>0.0407523510971787</v>
      </c>
      <c r="V102" s="41" t="n">
        <f aca="false">IF(M102=0,0,P102/M102)</f>
        <v>0.00104493207941484</v>
      </c>
      <c r="W102" s="40" t="n">
        <f aca="false">IF(L102=0,0,Q102/L102)</f>
        <v>0.00623052959501558</v>
      </c>
    </row>
    <row r="103" customFormat="false" ht="15" hidden="false" customHeight="false" outlineLevel="0" collapsed="false">
      <c r="A103" s="37" t="s">
        <v>1342</v>
      </c>
      <c r="B103" s="38" t="n">
        <v>46252.9588078704</v>
      </c>
      <c r="C103" s="37" t="s">
        <v>1201</v>
      </c>
      <c r="D103" s="37" t="s">
        <v>127</v>
      </c>
      <c r="E103" s="37" t="s">
        <v>128</v>
      </c>
      <c r="F103" s="37" t="s">
        <v>127</v>
      </c>
      <c r="G103" s="37"/>
      <c r="H103" s="37" t="s">
        <v>60</v>
      </c>
      <c r="I103" s="37" t="s">
        <v>125</v>
      </c>
      <c r="J103" s="37" t="s">
        <v>126</v>
      </c>
      <c r="K103" s="37" t="s">
        <v>1202</v>
      </c>
      <c r="L103" s="39" t="n">
        <v>2741</v>
      </c>
      <c r="M103" s="39" t="n">
        <v>2723</v>
      </c>
      <c r="N103" s="39" t="n">
        <v>844</v>
      </c>
      <c r="O103" s="39" t="n">
        <v>69</v>
      </c>
      <c r="P103" s="39" t="n">
        <v>10</v>
      </c>
      <c r="Q103" s="39" t="n">
        <v>18</v>
      </c>
      <c r="R103" s="39" t="n">
        <v>10</v>
      </c>
      <c r="S103" s="39" t="n">
        <v>0</v>
      </c>
      <c r="T103" s="40" t="n">
        <f aca="false">IF(M103=0,0,N103/M103)</f>
        <v>0.309952258538377</v>
      </c>
      <c r="U103" s="40" t="n">
        <f aca="false">IF(M103=0,0,O103/M103)</f>
        <v>0.0253396988615498</v>
      </c>
      <c r="V103" s="41" t="n">
        <f aca="false">IF(M103=0,0,P103/M103)</f>
        <v>0.00367242012486228</v>
      </c>
      <c r="W103" s="40" t="n">
        <f aca="false">IF(L103=0,0,Q103/L103)</f>
        <v>0.00656694636993798</v>
      </c>
    </row>
    <row r="104" customFormat="false" ht="15" hidden="false" customHeight="false" outlineLevel="0" collapsed="false">
      <c r="A104" s="37" t="s">
        <v>1343</v>
      </c>
      <c r="B104" s="38" t="n">
        <v>46252.9171412037</v>
      </c>
      <c r="C104" s="37" t="s">
        <v>1201</v>
      </c>
      <c r="D104" s="37" t="s">
        <v>152</v>
      </c>
      <c r="E104" s="37" t="s">
        <v>1344</v>
      </c>
      <c r="F104" s="37" t="s">
        <v>152</v>
      </c>
      <c r="G104" s="37"/>
      <c r="H104" s="37" t="s">
        <v>60</v>
      </c>
      <c r="I104" s="37" t="s">
        <v>150</v>
      </c>
      <c r="J104" s="37" t="s">
        <v>151</v>
      </c>
      <c r="K104" s="37" t="s">
        <v>1202</v>
      </c>
      <c r="L104" s="39" t="n">
        <v>980</v>
      </c>
      <c r="M104" s="39" t="n">
        <v>978</v>
      </c>
      <c r="N104" s="39" t="n">
        <v>493</v>
      </c>
      <c r="O104" s="39" t="n">
        <v>198</v>
      </c>
      <c r="P104" s="39" t="n">
        <v>0</v>
      </c>
      <c r="Q104" s="39" t="n">
        <v>2</v>
      </c>
      <c r="R104" s="39" t="n">
        <v>2</v>
      </c>
      <c r="S104" s="39" t="n">
        <v>0</v>
      </c>
      <c r="T104" s="40" t="n">
        <f aca="false">IF(M104=0,0,N104/M104)</f>
        <v>0.504089979550102</v>
      </c>
      <c r="U104" s="40" t="n">
        <f aca="false">IF(M104=0,0,O104/M104)</f>
        <v>0.202453987730061</v>
      </c>
      <c r="V104" s="41" t="n">
        <f aca="false">IF(M104=0,0,P104/M104)</f>
        <v>0</v>
      </c>
      <c r="W104" s="40" t="n">
        <f aca="false">IF(L104=0,0,Q104/L104)</f>
        <v>0.00204081632653061</v>
      </c>
    </row>
    <row r="105" customFormat="false" ht="15" hidden="false" customHeight="false" outlineLevel="0" collapsed="false">
      <c r="A105" s="37" t="s">
        <v>1345</v>
      </c>
      <c r="B105" s="38" t="n">
        <v>46252.4183101852</v>
      </c>
      <c r="C105" s="37" t="s">
        <v>1252</v>
      </c>
      <c r="D105" s="37" t="s">
        <v>243</v>
      </c>
      <c r="E105" s="37" t="s">
        <v>1222</v>
      </c>
      <c r="F105" s="37" t="s">
        <v>546</v>
      </c>
      <c r="G105" s="37"/>
      <c r="H105" s="37" t="s">
        <v>65</v>
      </c>
      <c r="I105" s="37" t="s">
        <v>241</v>
      </c>
      <c r="J105" s="37" t="s">
        <v>242</v>
      </c>
      <c r="K105" s="37" t="s">
        <v>1202</v>
      </c>
      <c r="L105" s="39" t="n">
        <v>838</v>
      </c>
      <c r="M105" s="39" t="n">
        <v>805</v>
      </c>
      <c r="N105" s="39" t="n">
        <v>223</v>
      </c>
      <c r="O105" s="39" t="n">
        <v>6</v>
      </c>
      <c r="P105" s="39" t="n">
        <v>8</v>
      </c>
      <c r="Q105" s="39" t="n">
        <v>33</v>
      </c>
      <c r="R105" s="39" t="n">
        <v>29</v>
      </c>
      <c r="S105" s="39" t="n">
        <v>0</v>
      </c>
      <c r="T105" s="40" t="n">
        <f aca="false">IF(M105=0,0,N105/M105)</f>
        <v>0.277018633540373</v>
      </c>
      <c r="U105" s="40" t="n">
        <f aca="false">IF(M105=0,0,O105/M105)</f>
        <v>0.00745341614906832</v>
      </c>
      <c r="V105" s="41" t="n">
        <f aca="false">IF(M105=0,0,P105/M105)</f>
        <v>0.00993788819875776</v>
      </c>
      <c r="W105" s="40" t="n">
        <f aca="false">IF(L105=0,0,Q105/L105)</f>
        <v>0.0393794749403341</v>
      </c>
    </row>
    <row r="106" customFormat="false" ht="15" hidden="false" customHeight="false" outlineLevel="0" collapsed="false">
      <c r="A106" s="37" t="s">
        <v>1346</v>
      </c>
      <c r="B106" s="38" t="n">
        <v>46252.2612615741</v>
      </c>
      <c r="C106" s="37" t="s">
        <v>1201</v>
      </c>
      <c r="D106" s="37" t="s">
        <v>1222</v>
      </c>
      <c r="E106" s="37" t="s">
        <v>1222</v>
      </c>
      <c r="F106" s="37" t="s">
        <v>555</v>
      </c>
      <c r="G106" s="37"/>
      <c r="H106" s="37" t="s">
        <v>66</v>
      </c>
      <c r="I106" s="37"/>
      <c r="J106" s="37" t="s">
        <v>430</v>
      </c>
      <c r="K106" s="37" t="s">
        <v>8</v>
      </c>
      <c r="L106" s="39" t="n">
        <v>3340</v>
      </c>
      <c r="M106" s="39" t="n">
        <v>3313</v>
      </c>
      <c r="N106" s="39" t="n">
        <v>904</v>
      </c>
      <c r="O106" s="39" t="n">
        <v>31</v>
      </c>
      <c r="P106" s="39" t="n">
        <v>37</v>
      </c>
      <c r="Q106" s="39" t="n">
        <v>27</v>
      </c>
      <c r="R106" s="39" t="n">
        <v>5</v>
      </c>
      <c r="S106" s="39" t="n">
        <v>0</v>
      </c>
      <c r="T106" s="40" t="n">
        <f aca="false">IF(M106=0,0,N106/M106)</f>
        <v>0.272864473287051</v>
      </c>
      <c r="U106" s="40" t="n">
        <f aca="false">IF(M106=0,0,O106/M106)</f>
        <v>0.00935707817687896</v>
      </c>
      <c r="V106" s="41" t="n">
        <f aca="false">IF(M106=0,0,P106/M106)</f>
        <v>0.0111681255659523</v>
      </c>
      <c r="W106" s="40" t="n">
        <f aca="false">IF(L106=0,0,Q106/L106)</f>
        <v>0.00808383233532934</v>
      </c>
    </row>
    <row r="107" customFormat="false" ht="15" hidden="false" customHeight="false" outlineLevel="0" collapsed="false">
      <c r="A107" s="37" t="s">
        <v>76</v>
      </c>
      <c r="B107" s="38" t="n">
        <v>46251.0835763889</v>
      </c>
      <c r="C107" s="37" t="s">
        <v>1201</v>
      </c>
      <c r="D107" s="37" t="s">
        <v>1293</v>
      </c>
      <c r="E107" s="37" t="s">
        <v>1115</v>
      </c>
      <c r="F107" s="37" t="s">
        <v>555</v>
      </c>
      <c r="G107" s="37" t="s">
        <v>1294</v>
      </c>
      <c r="H107" s="37" t="s">
        <v>60</v>
      </c>
      <c r="I107" s="37"/>
      <c r="J107" s="37" t="s">
        <v>386</v>
      </c>
      <c r="K107" s="37" t="s">
        <v>1202</v>
      </c>
      <c r="L107" s="39" t="n">
        <v>19192</v>
      </c>
      <c r="M107" s="39" t="n">
        <v>18358</v>
      </c>
      <c r="N107" s="39" t="n">
        <v>4924</v>
      </c>
      <c r="O107" s="39" t="n">
        <v>791</v>
      </c>
      <c r="P107" s="39" t="n">
        <v>419</v>
      </c>
      <c r="Q107" s="39" t="n">
        <v>834</v>
      </c>
      <c r="R107" s="39" t="n">
        <v>743</v>
      </c>
      <c r="S107" s="39" t="n">
        <v>2</v>
      </c>
      <c r="T107" s="40" t="n">
        <f aca="false">IF(M107=0,0,N107/M107)</f>
        <v>0.26822093910012</v>
      </c>
      <c r="U107" s="40" t="n">
        <f aca="false">IF(M107=0,0,O107/M107)</f>
        <v>0.0430874822965465</v>
      </c>
      <c r="V107" s="41" t="n">
        <f aca="false">IF(M107=0,0,P107/M107)</f>
        <v>0.0228238370192831</v>
      </c>
      <c r="W107" s="40" t="n">
        <f aca="false">IF(L107=0,0,Q107/L107)</f>
        <v>0.0434556065027095</v>
      </c>
    </row>
    <row r="108" customFormat="false" ht="15" hidden="false" customHeight="false" outlineLevel="0" collapsed="false">
      <c r="A108" s="37" t="s">
        <v>1347</v>
      </c>
      <c r="B108" s="38" t="n">
        <v>46247.5560300926</v>
      </c>
      <c r="C108" s="37" t="s">
        <v>1201</v>
      </c>
      <c r="D108" s="37" t="s">
        <v>1339</v>
      </c>
      <c r="E108" s="37" t="s">
        <v>1340</v>
      </c>
      <c r="F108" s="37" t="s">
        <v>544</v>
      </c>
      <c r="G108" s="37"/>
      <c r="H108" s="37" t="s">
        <v>60</v>
      </c>
      <c r="I108" s="37"/>
      <c r="J108" s="37" t="s">
        <v>115</v>
      </c>
      <c r="K108" s="37" t="s">
        <v>1202</v>
      </c>
      <c r="L108" s="39" t="n">
        <v>1193</v>
      </c>
      <c r="M108" s="39" t="n">
        <v>1168</v>
      </c>
      <c r="N108" s="39" t="n">
        <v>242</v>
      </c>
      <c r="O108" s="39" t="n">
        <v>17</v>
      </c>
      <c r="P108" s="39" t="n">
        <v>17</v>
      </c>
      <c r="Q108" s="39" t="n">
        <v>25</v>
      </c>
      <c r="R108" s="39" t="n">
        <v>24</v>
      </c>
      <c r="S108" s="39" t="n">
        <v>1</v>
      </c>
      <c r="T108" s="40" t="n">
        <f aca="false">IF(M108=0,0,N108/M108)</f>
        <v>0.207191780821918</v>
      </c>
      <c r="U108" s="40" t="n">
        <f aca="false">IF(M108=0,0,O108/M108)</f>
        <v>0.0145547945205479</v>
      </c>
      <c r="V108" s="41" t="n">
        <f aca="false">IF(M108=0,0,P108/M108)</f>
        <v>0.0145547945205479</v>
      </c>
      <c r="W108" s="40" t="n">
        <f aca="false">IF(L108=0,0,Q108/L108)</f>
        <v>0.0209555741827326</v>
      </c>
    </row>
    <row r="109" customFormat="false" ht="15" hidden="false" customHeight="false" outlineLevel="0" collapsed="false">
      <c r="A109" s="37" t="s">
        <v>1348</v>
      </c>
      <c r="B109" s="38" t="n">
        <v>46247.1872685185</v>
      </c>
      <c r="C109" s="37" t="s">
        <v>1201</v>
      </c>
      <c r="D109" s="37" t="s">
        <v>1324</v>
      </c>
      <c r="E109" s="37" t="s">
        <v>193</v>
      </c>
      <c r="F109" s="37" t="s">
        <v>544</v>
      </c>
      <c r="G109" s="37"/>
      <c r="H109" s="37" t="s">
        <v>60</v>
      </c>
      <c r="I109" s="37"/>
      <c r="J109" s="37" t="s">
        <v>357</v>
      </c>
      <c r="K109" s="37" t="s">
        <v>1202</v>
      </c>
      <c r="L109" s="39" t="n">
        <v>55</v>
      </c>
      <c r="M109" s="39" t="n">
        <v>54</v>
      </c>
      <c r="N109" s="39" t="n">
        <v>26</v>
      </c>
      <c r="O109" s="39" t="n">
        <v>9</v>
      </c>
      <c r="P109" s="39" t="n">
        <v>0</v>
      </c>
      <c r="Q109" s="39" t="n">
        <v>1</v>
      </c>
      <c r="R109" s="39" t="n">
        <v>1</v>
      </c>
      <c r="S109" s="39" t="n">
        <v>0</v>
      </c>
      <c r="T109" s="40" t="n">
        <f aca="false">IF(M109=0,0,N109/M109)</f>
        <v>0.481481481481481</v>
      </c>
      <c r="U109" s="40" t="n">
        <f aca="false">IF(M109=0,0,O109/M109)</f>
        <v>0.166666666666667</v>
      </c>
      <c r="V109" s="41" t="n">
        <f aca="false">IF(M109=0,0,P109/M109)</f>
        <v>0</v>
      </c>
      <c r="W109" s="40" t="n">
        <f aca="false">IF(L109=0,0,Q109/L109)</f>
        <v>0.0181818181818182</v>
      </c>
    </row>
    <row r="110" customFormat="false" ht="15" hidden="false" customHeight="false" outlineLevel="0" collapsed="false">
      <c r="A110" s="37" t="s">
        <v>1349</v>
      </c>
      <c r="B110" s="38" t="n">
        <v>46247.0648263889</v>
      </c>
      <c r="C110" s="37" t="s">
        <v>1201</v>
      </c>
      <c r="D110" s="37" t="s">
        <v>1230</v>
      </c>
      <c r="E110" s="37" t="s">
        <v>193</v>
      </c>
      <c r="F110" s="37" t="s">
        <v>544</v>
      </c>
      <c r="G110" s="37"/>
      <c r="H110" s="37" t="s">
        <v>60</v>
      </c>
      <c r="I110" s="37"/>
      <c r="J110" s="37" t="s">
        <v>357</v>
      </c>
      <c r="K110" s="37" t="s">
        <v>1202</v>
      </c>
      <c r="L110" s="39" t="n">
        <v>149</v>
      </c>
      <c r="M110" s="39" t="n">
        <v>147</v>
      </c>
      <c r="N110" s="39" t="n">
        <v>90</v>
      </c>
      <c r="O110" s="39" t="n">
        <v>52</v>
      </c>
      <c r="P110" s="39" t="n">
        <v>0</v>
      </c>
      <c r="Q110" s="39" t="n">
        <v>2</v>
      </c>
      <c r="R110" s="39" t="n">
        <v>2</v>
      </c>
      <c r="S110" s="39" t="n">
        <v>0</v>
      </c>
      <c r="T110" s="40" t="n">
        <f aca="false">IF(M110=0,0,N110/M110)</f>
        <v>0.612244897959184</v>
      </c>
      <c r="U110" s="40" t="n">
        <f aca="false">IF(M110=0,0,O110/M110)</f>
        <v>0.353741496598639</v>
      </c>
      <c r="V110" s="41" t="n">
        <f aca="false">IF(M110=0,0,P110/M110)</f>
        <v>0</v>
      </c>
      <c r="W110" s="40" t="n">
        <f aca="false">IF(L110=0,0,Q110/L110)</f>
        <v>0.0134228187919463</v>
      </c>
    </row>
    <row r="111" customFormat="false" ht="15" hidden="false" customHeight="false" outlineLevel="0" collapsed="false">
      <c r="A111" s="37" t="s">
        <v>1350</v>
      </c>
      <c r="B111" s="38" t="n">
        <v>46246.8335185185</v>
      </c>
      <c r="C111" s="37" t="s">
        <v>1201</v>
      </c>
      <c r="D111" s="37" t="s">
        <v>127</v>
      </c>
      <c r="E111" s="37" t="s">
        <v>178</v>
      </c>
      <c r="F111" s="37" t="s">
        <v>127</v>
      </c>
      <c r="G111" s="37"/>
      <c r="H111" s="37" t="s">
        <v>68</v>
      </c>
      <c r="I111" s="37"/>
      <c r="J111" s="37" t="s">
        <v>126</v>
      </c>
      <c r="K111" s="37" t="s">
        <v>1202</v>
      </c>
      <c r="L111" s="39" t="n">
        <v>78</v>
      </c>
      <c r="M111" s="39" t="n">
        <v>78</v>
      </c>
      <c r="N111" s="39" t="n">
        <v>36</v>
      </c>
      <c r="O111" s="39" t="n">
        <v>18</v>
      </c>
      <c r="P111" s="39" t="n">
        <v>1</v>
      </c>
      <c r="Q111" s="39" t="n">
        <v>0</v>
      </c>
      <c r="R111" s="39" t="n">
        <v>0</v>
      </c>
      <c r="S111" s="39" t="n">
        <v>0</v>
      </c>
      <c r="T111" s="40" t="n">
        <f aca="false">IF(M111=0,0,N111/M111)</f>
        <v>0.461538461538462</v>
      </c>
      <c r="U111" s="40" t="n">
        <f aca="false">IF(M111=0,0,O111/M111)</f>
        <v>0.230769230769231</v>
      </c>
      <c r="V111" s="41" t="n">
        <f aca="false">IF(M111=0,0,P111/M111)</f>
        <v>0.0128205128205128</v>
      </c>
      <c r="W111" s="40" t="n">
        <f aca="false">IF(L111=0,0,Q111/L111)</f>
        <v>0</v>
      </c>
    </row>
    <row r="112" customFormat="false" ht="15" hidden="false" customHeight="false" outlineLevel="0" collapsed="false">
      <c r="A112" s="37" t="s">
        <v>1351</v>
      </c>
      <c r="B112" s="38" t="n">
        <v>46245.9795833333</v>
      </c>
      <c r="C112" s="37" t="s">
        <v>1201</v>
      </c>
      <c r="D112" s="37" t="s">
        <v>237</v>
      </c>
      <c r="E112" s="37" t="s">
        <v>238</v>
      </c>
      <c r="F112" s="37" t="s">
        <v>559</v>
      </c>
      <c r="G112" s="37"/>
      <c r="H112" s="37" t="s">
        <v>66</v>
      </c>
      <c r="I112" s="37" t="s">
        <v>247</v>
      </c>
      <c r="J112" s="37" t="s">
        <v>236</v>
      </c>
      <c r="K112" s="37" t="s">
        <v>1202</v>
      </c>
      <c r="L112" s="39" t="n">
        <v>622</v>
      </c>
      <c r="M112" s="39" t="n">
        <v>612</v>
      </c>
      <c r="N112" s="39" t="n">
        <v>141</v>
      </c>
      <c r="O112" s="39" t="n">
        <v>3</v>
      </c>
      <c r="P112" s="39" t="n">
        <v>3</v>
      </c>
      <c r="Q112" s="39" t="n">
        <v>10</v>
      </c>
      <c r="R112" s="39" t="n">
        <v>7</v>
      </c>
      <c r="S112" s="39" t="n">
        <v>0</v>
      </c>
      <c r="T112" s="40" t="n">
        <f aca="false">IF(M112=0,0,N112/M112)</f>
        <v>0.230392156862745</v>
      </c>
      <c r="U112" s="40" t="n">
        <f aca="false">IF(M112=0,0,O112/M112)</f>
        <v>0.00490196078431373</v>
      </c>
      <c r="V112" s="41" t="n">
        <f aca="false">IF(M112=0,0,P112/M112)</f>
        <v>0.00490196078431373</v>
      </c>
      <c r="W112" s="40" t="n">
        <f aca="false">IF(L112=0,0,Q112/L112)</f>
        <v>0.0160771704180064</v>
      </c>
    </row>
    <row r="113" customFormat="false" ht="15" hidden="false" customHeight="false" outlineLevel="0" collapsed="false">
      <c r="A113" s="37" t="s">
        <v>1352</v>
      </c>
      <c r="B113" s="38" t="n">
        <v>46245.3849652778</v>
      </c>
      <c r="C113" s="37" t="s">
        <v>1201</v>
      </c>
      <c r="D113" s="37" t="s">
        <v>1222</v>
      </c>
      <c r="E113" s="37" t="s">
        <v>1222</v>
      </c>
      <c r="F113" s="37" t="s">
        <v>555</v>
      </c>
      <c r="G113" s="37"/>
      <c r="H113" s="37" t="s">
        <v>66</v>
      </c>
      <c r="I113" s="37"/>
      <c r="J113" s="37" t="s">
        <v>430</v>
      </c>
      <c r="K113" s="37" t="s">
        <v>8</v>
      </c>
      <c r="L113" s="39" t="n">
        <v>3424</v>
      </c>
      <c r="M113" s="39" t="n">
        <v>3390</v>
      </c>
      <c r="N113" s="39" t="n">
        <v>1051</v>
      </c>
      <c r="O113" s="39" t="n">
        <v>52</v>
      </c>
      <c r="P113" s="39" t="n">
        <v>48</v>
      </c>
      <c r="Q113" s="39" t="n">
        <v>34</v>
      </c>
      <c r="R113" s="39" t="n">
        <v>12</v>
      </c>
      <c r="S113" s="39" t="n">
        <v>0</v>
      </c>
      <c r="T113" s="40" t="n">
        <f aca="false">IF(M113=0,0,N113/M113)</f>
        <v>0.310029498525074</v>
      </c>
      <c r="U113" s="40" t="n">
        <f aca="false">IF(M113=0,0,O113/M113)</f>
        <v>0.0153392330383481</v>
      </c>
      <c r="V113" s="41" t="n">
        <f aca="false">IF(M113=0,0,P113/M113)</f>
        <v>0.0141592920353982</v>
      </c>
      <c r="W113" s="40" t="n">
        <f aca="false">IF(L113=0,0,Q113/L113)</f>
        <v>0.00992990654205607</v>
      </c>
    </row>
    <row r="114" customFormat="false" ht="15" hidden="false" customHeight="false" outlineLevel="0" collapsed="false">
      <c r="A114" s="37" t="s">
        <v>1353</v>
      </c>
      <c r="B114" s="38" t="n">
        <v>46240.0570949074</v>
      </c>
      <c r="C114" s="37" t="s">
        <v>1201</v>
      </c>
      <c r="D114" s="37" t="s">
        <v>122</v>
      </c>
      <c r="E114" s="37" t="s">
        <v>1255</v>
      </c>
      <c r="F114" s="37" t="s">
        <v>555</v>
      </c>
      <c r="G114" s="37" t="s">
        <v>1256</v>
      </c>
      <c r="H114" s="37" t="s">
        <v>61</v>
      </c>
      <c r="I114" s="37" t="s">
        <v>120</v>
      </c>
      <c r="J114" s="37" t="s">
        <v>121</v>
      </c>
      <c r="K114" s="37" t="s">
        <v>1202</v>
      </c>
      <c r="L114" s="39" t="n">
        <v>6043</v>
      </c>
      <c r="M114" s="39" t="n">
        <v>5989</v>
      </c>
      <c r="N114" s="39" t="n">
        <v>1510</v>
      </c>
      <c r="O114" s="39" t="n">
        <v>98</v>
      </c>
      <c r="P114" s="39" t="n">
        <v>66</v>
      </c>
      <c r="Q114" s="39" t="n">
        <v>54</v>
      </c>
      <c r="R114" s="39" t="n">
        <v>19</v>
      </c>
      <c r="S114" s="39" t="n">
        <v>0</v>
      </c>
      <c r="T114" s="40" t="n">
        <f aca="false">IF(M114=0,0,N114/M114)</f>
        <v>0.252128902988813</v>
      </c>
      <c r="U114" s="40" t="n">
        <f aca="false">IF(M114=0,0,O114/M114)</f>
        <v>0.0163633327767574</v>
      </c>
      <c r="V114" s="41" t="n">
        <f aca="false">IF(M114=0,0,P114/M114)</f>
        <v>0.0110202037067958</v>
      </c>
      <c r="W114" s="40" t="n">
        <f aca="false">IF(L114=0,0,Q114/L114)</f>
        <v>0.00893595896078107</v>
      </c>
    </row>
    <row r="115" customFormat="false" ht="15" hidden="false" customHeight="false" outlineLevel="0" collapsed="false">
      <c r="A115" s="37" t="s">
        <v>1354</v>
      </c>
      <c r="B115" s="38" t="n">
        <v>46239.5169791667</v>
      </c>
      <c r="C115" s="37" t="s">
        <v>1201</v>
      </c>
      <c r="D115" s="37" t="s">
        <v>230</v>
      </c>
      <c r="E115" s="37" t="s">
        <v>231</v>
      </c>
      <c r="F115" s="37" t="s">
        <v>550</v>
      </c>
      <c r="G115" s="37"/>
      <c r="H115" s="37" t="s">
        <v>61</v>
      </c>
      <c r="I115" s="37" t="s">
        <v>228</v>
      </c>
      <c r="J115" s="37" t="s">
        <v>229</v>
      </c>
      <c r="K115" s="37" t="s">
        <v>1202</v>
      </c>
      <c r="L115" s="39" t="n">
        <v>50</v>
      </c>
      <c r="M115" s="39" t="n">
        <v>50</v>
      </c>
      <c r="N115" s="39" t="n">
        <v>16</v>
      </c>
      <c r="O115" s="39" t="n">
        <v>4</v>
      </c>
      <c r="P115" s="39" t="n">
        <v>0</v>
      </c>
      <c r="Q115" s="39" t="n">
        <v>0</v>
      </c>
      <c r="R115" s="39" t="n">
        <v>0</v>
      </c>
      <c r="S115" s="39" t="n">
        <v>0</v>
      </c>
      <c r="T115" s="40" t="n">
        <f aca="false">IF(M115=0,0,N115/M115)</f>
        <v>0.32</v>
      </c>
      <c r="U115" s="40" t="n">
        <f aca="false">IF(M115=0,0,O115/M115)</f>
        <v>0.08</v>
      </c>
      <c r="V115" s="41" t="n">
        <f aca="false">IF(M115=0,0,P115/M115)</f>
        <v>0</v>
      </c>
      <c r="W115" s="40" t="n">
        <f aca="false">IF(L115=0,0,Q115/L115)</f>
        <v>0</v>
      </c>
    </row>
    <row r="116" customFormat="false" ht="15" hidden="false" customHeight="false" outlineLevel="0" collapsed="false">
      <c r="A116" s="37" t="s">
        <v>1355</v>
      </c>
      <c r="B116" s="38" t="n">
        <v>46238.9172453704</v>
      </c>
      <c r="C116" s="37" t="s">
        <v>1246</v>
      </c>
      <c r="D116" s="37" t="s">
        <v>152</v>
      </c>
      <c r="E116" s="37" t="s">
        <v>1344</v>
      </c>
      <c r="F116" s="37" t="s">
        <v>152</v>
      </c>
      <c r="G116" s="37"/>
      <c r="H116" s="37" t="s">
        <v>61</v>
      </c>
      <c r="I116" s="37" t="s">
        <v>150</v>
      </c>
      <c r="J116" s="37" t="s">
        <v>151</v>
      </c>
      <c r="K116" s="37" t="s">
        <v>1202</v>
      </c>
      <c r="L116" s="39" t="n">
        <v>970</v>
      </c>
      <c r="M116" s="39" t="n">
        <v>963</v>
      </c>
      <c r="N116" s="39" t="n">
        <v>422</v>
      </c>
      <c r="O116" s="39" t="n">
        <v>66</v>
      </c>
      <c r="P116" s="39" t="n">
        <v>4</v>
      </c>
      <c r="Q116" s="39" t="n">
        <v>7</v>
      </c>
      <c r="R116" s="39" t="n">
        <v>6</v>
      </c>
      <c r="S116" s="39" t="n">
        <v>0</v>
      </c>
      <c r="T116" s="40" t="n">
        <f aca="false">IF(M116=0,0,N116/M116)</f>
        <v>0.438213914849429</v>
      </c>
      <c r="U116" s="40" t="n">
        <f aca="false">IF(M116=0,0,O116/M116)</f>
        <v>0.0685358255451713</v>
      </c>
      <c r="V116" s="41" t="n">
        <f aca="false">IF(M116=0,0,P116/M116)</f>
        <v>0.00415368639667705</v>
      </c>
      <c r="W116" s="40" t="n">
        <f aca="false">IF(L116=0,0,Q116/L116)</f>
        <v>0.00721649484536083</v>
      </c>
    </row>
    <row r="117" customFormat="false" ht="15" hidden="false" customHeight="false" outlineLevel="0" collapsed="false">
      <c r="A117" s="37" t="s">
        <v>1356</v>
      </c>
      <c r="B117" s="38" t="n">
        <v>46238.5005902778</v>
      </c>
      <c r="C117" s="37" t="s">
        <v>1201</v>
      </c>
      <c r="D117" s="37" t="s">
        <v>203</v>
      </c>
      <c r="E117" s="37" t="s">
        <v>203</v>
      </c>
      <c r="F117" s="37" t="s">
        <v>202</v>
      </c>
      <c r="G117" s="37"/>
      <c r="H117" s="37" t="s">
        <v>61</v>
      </c>
      <c r="I117" s="37" t="s">
        <v>202</v>
      </c>
      <c r="J117" s="37" t="s">
        <v>191</v>
      </c>
      <c r="K117" s="37" t="s">
        <v>1202</v>
      </c>
      <c r="L117" s="39" t="n">
        <v>1116</v>
      </c>
      <c r="M117" s="39" t="n">
        <v>1106</v>
      </c>
      <c r="N117" s="39" t="n">
        <v>330</v>
      </c>
      <c r="O117" s="39" t="n">
        <v>11</v>
      </c>
      <c r="P117" s="39" t="n">
        <v>13</v>
      </c>
      <c r="Q117" s="39" t="n">
        <v>10</v>
      </c>
      <c r="R117" s="39" t="n">
        <v>4</v>
      </c>
      <c r="S117" s="39" t="n">
        <v>0</v>
      </c>
      <c r="T117" s="40" t="n">
        <f aca="false">IF(M117=0,0,N117/M117)</f>
        <v>0.298372513562387</v>
      </c>
      <c r="U117" s="40" t="n">
        <f aca="false">IF(M117=0,0,O117/M117)</f>
        <v>0.00994575045207957</v>
      </c>
      <c r="V117" s="41" t="n">
        <f aca="false">IF(M117=0,0,P117/M117)</f>
        <v>0.011754068716094</v>
      </c>
      <c r="W117" s="40" t="n">
        <f aca="false">IF(L117=0,0,Q117/L117)</f>
        <v>0.00896057347670251</v>
      </c>
    </row>
    <row r="118" customFormat="false" ht="15" hidden="false" customHeight="false" outlineLevel="0" collapsed="false">
      <c r="A118" s="37" t="s">
        <v>1357</v>
      </c>
      <c r="B118" s="38" t="n">
        <v>46237.441712963</v>
      </c>
      <c r="C118" s="37" t="s">
        <v>1201</v>
      </c>
      <c r="D118" s="37" t="s">
        <v>1340</v>
      </c>
      <c r="E118" s="37" t="s">
        <v>1340</v>
      </c>
      <c r="F118" s="37" t="s">
        <v>544</v>
      </c>
      <c r="G118" s="37"/>
      <c r="H118" s="37" t="s">
        <v>60</v>
      </c>
      <c r="I118" s="37"/>
      <c r="J118" s="37" t="s">
        <v>115</v>
      </c>
      <c r="K118" s="37" t="s">
        <v>1202</v>
      </c>
      <c r="L118" s="39" t="n">
        <v>592</v>
      </c>
      <c r="M118" s="39" t="n">
        <v>588</v>
      </c>
      <c r="N118" s="39" t="n">
        <v>178</v>
      </c>
      <c r="O118" s="39" t="n">
        <v>25</v>
      </c>
      <c r="P118" s="39" t="n">
        <v>5</v>
      </c>
      <c r="Q118" s="39" t="n">
        <v>4</v>
      </c>
      <c r="R118" s="39" t="n">
        <v>1</v>
      </c>
      <c r="S118" s="39" t="n">
        <v>0</v>
      </c>
      <c r="T118" s="40" t="n">
        <f aca="false">IF(M118=0,0,N118/M118)</f>
        <v>0.302721088435374</v>
      </c>
      <c r="U118" s="40" t="n">
        <f aca="false">IF(M118=0,0,O118/M118)</f>
        <v>0.0425170068027211</v>
      </c>
      <c r="V118" s="41" t="n">
        <f aca="false">IF(M118=0,0,P118/M118)</f>
        <v>0.00850340136054422</v>
      </c>
      <c r="W118" s="40" t="n">
        <f aca="false">IF(L118=0,0,Q118/L118)</f>
        <v>0.00675675675675676</v>
      </c>
    </row>
    <row r="119" customFormat="false" ht="15" hidden="false" customHeight="false" outlineLevel="0" collapsed="false">
      <c r="A119" s="37" t="s">
        <v>1358</v>
      </c>
      <c r="B119" s="38" t="n">
        <v>46237.425162037</v>
      </c>
      <c r="C119" s="37" t="s">
        <v>1201</v>
      </c>
      <c r="D119" s="37" t="s">
        <v>1359</v>
      </c>
      <c r="E119" s="37" t="s">
        <v>1360</v>
      </c>
      <c r="F119" s="37" t="s">
        <v>550</v>
      </c>
      <c r="G119" s="37"/>
      <c r="H119" s="37" t="s">
        <v>66</v>
      </c>
      <c r="I119" s="37"/>
      <c r="J119" s="37" t="s">
        <v>430</v>
      </c>
      <c r="K119" s="37" t="s">
        <v>8</v>
      </c>
      <c r="L119" s="39" t="n">
        <v>13</v>
      </c>
      <c r="M119" s="39" t="n">
        <v>13</v>
      </c>
      <c r="N119" s="39" t="n">
        <v>7</v>
      </c>
      <c r="O119" s="39" t="n">
        <v>0</v>
      </c>
      <c r="P119" s="39" t="n">
        <v>0</v>
      </c>
      <c r="Q119" s="39" t="n">
        <v>0</v>
      </c>
      <c r="R119" s="39" t="n">
        <v>0</v>
      </c>
      <c r="S119" s="39" t="n">
        <v>0</v>
      </c>
      <c r="T119" s="40" t="n">
        <f aca="false">IF(M119=0,0,N119/M119)</f>
        <v>0.538461538461538</v>
      </c>
      <c r="U119" s="40" t="n">
        <f aca="false">IF(M119=0,0,O119/M119)</f>
        <v>0</v>
      </c>
      <c r="V119" s="41" t="n">
        <f aca="false">IF(M119=0,0,P119/M119)</f>
        <v>0</v>
      </c>
      <c r="W119" s="40" t="n">
        <f aca="false">IF(L119=0,0,Q119/L119)</f>
        <v>0</v>
      </c>
    </row>
    <row r="120" customFormat="false" ht="15" hidden="false" customHeight="false" outlineLevel="0" collapsed="false">
      <c r="A120" s="37" t="s">
        <v>1361</v>
      </c>
      <c r="B120" s="38" t="n">
        <v>46237.3959490741</v>
      </c>
      <c r="C120" s="37" t="s">
        <v>1201</v>
      </c>
      <c r="D120" s="37" t="s">
        <v>1222</v>
      </c>
      <c r="E120" s="37" t="s">
        <v>1222</v>
      </c>
      <c r="F120" s="37" t="s">
        <v>555</v>
      </c>
      <c r="G120" s="37"/>
      <c r="H120" s="37" t="s">
        <v>66</v>
      </c>
      <c r="I120" s="37"/>
      <c r="J120" s="37" t="s">
        <v>430</v>
      </c>
      <c r="K120" s="37" t="s">
        <v>8</v>
      </c>
      <c r="L120" s="39" t="n">
        <v>2104</v>
      </c>
      <c r="M120" s="39" t="n">
        <v>1993</v>
      </c>
      <c r="N120" s="39" t="n">
        <v>197</v>
      </c>
      <c r="O120" s="39" t="n">
        <v>17</v>
      </c>
      <c r="P120" s="39" t="n">
        <v>11</v>
      </c>
      <c r="Q120" s="39" t="n">
        <v>111</v>
      </c>
      <c r="R120" s="39" t="n">
        <v>96</v>
      </c>
      <c r="S120" s="39" t="n">
        <v>0</v>
      </c>
      <c r="T120" s="40" t="n">
        <f aca="false">IF(M120=0,0,N120/M120)</f>
        <v>0.0988459608630206</v>
      </c>
      <c r="U120" s="40" t="n">
        <f aca="false">IF(M120=0,0,O120/M120)</f>
        <v>0.00852985449071751</v>
      </c>
      <c r="V120" s="41" t="n">
        <f aca="false">IF(M120=0,0,P120/M120)</f>
        <v>0.00551931761164074</v>
      </c>
      <c r="W120" s="40" t="n">
        <f aca="false">IF(L120=0,0,Q120/L120)</f>
        <v>0.0527566539923954</v>
      </c>
    </row>
    <row r="121" customFormat="false" ht="15" hidden="false" customHeight="false" outlineLevel="0" collapsed="false">
      <c r="A121" s="37" t="s">
        <v>1362</v>
      </c>
      <c r="B121" s="38" t="n">
        <v>46236.3556828704</v>
      </c>
      <c r="C121" s="37" t="s">
        <v>1201</v>
      </c>
      <c r="D121" s="37" t="s">
        <v>1211</v>
      </c>
      <c r="E121" s="37" t="s">
        <v>1212</v>
      </c>
      <c r="F121" s="37" t="s">
        <v>544</v>
      </c>
      <c r="G121" s="37"/>
      <c r="H121" s="37" t="s">
        <v>60</v>
      </c>
      <c r="I121" s="37"/>
      <c r="J121" s="37" t="s">
        <v>100</v>
      </c>
      <c r="K121" s="37" t="s">
        <v>1213</v>
      </c>
      <c r="L121" s="39" t="n">
        <v>129</v>
      </c>
      <c r="M121" s="39" t="n">
        <v>129</v>
      </c>
      <c r="N121" s="39" t="n">
        <v>78</v>
      </c>
      <c r="O121" s="39" t="n">
        <v>8</v>
      </c>
      <c r="P121" s="39" t="n">
        <v>1</v>
      </c>
      <c r="Q121" s="39" t="n">
        <v>0</v>
      </c>
      <c r="R121" s="39" t="n">
        <v>0</v>
      </c>
      <c r="S121" s="39" t="n">
        <v>0</v>
      </c>
      <c r="T121" s="40" t="n">
        <f aca="false">IF(M121=0,0,N121/M121)</f>
        <v>0.604651162790698</v>
      </c>
      <c r="U121" s="40" t="n">
        <f aca="false">IF(M121=0,0,O121/M121)</f>
        <v>0.062015503875969</v>
      </c>
      <c r="V121" s="41" t="n">
        <f aca="false">IF(M121=0,0,P121/M121)</f>
        <v>0.00775193798449612</v>
      </c>
      <c r="W121" s="40" t="n">
        <f aca="false">IF(L121=0,0,Q121/L121)</f>
        <v>0</v>
      </c>
    </row>
    <row r="122" customFormat="false" ht="15" hidden="false" customHeight="false" outlineLevel="0" collapsed="false">
      <c r="A122" s="37" t="s">
        <v>1363</v>
      </c>
      <c r="B122" s="38" t="n">
        <v>46234.4204282407</v>
      </c>
      <c r="C122" s="37" t="s">
        <v>1201</v>
      </c>
      <c r="D122" s="37" t="s">
        <v>1364</v>
      </c>
      <c r="E122" s="37" t="s">
        <v>1360</v>
      </c>
      <c r="F122" s="37" t="s">
        <v>550</v>
      </c>
      <c r="G122" s="37"/>
      <c r="H122" s="37" t="s">
        <v>66</v>
      </c>
      <c r="I122" s="37"/>
      <c r="J122" s="37" t="s">
        <v>430</v>
      </c>
      <c r="K122" s="37" t="s">
        <v>8</v>
      </c>
      <c r="L122" s="39" t="n">
        <v>4</v>
      </c>
      <c r="M122" s="39" t="n">
        <v>4</v>
      </c>
      <c r="N122" s="39" t="n">
        <v>2</v>
      </c>
      <c r="O122" s="39" t="n">
        <v>0</v>
      </c>
      <c r="P122" s="39" t="n">
        <v>0</v>
      </c>
      <c r="Q122" s="39" t="n">
        <v>0</v>
      </c>
      <c r="R122" s="39" t="n">
        <v>0</v>
      </c>
      <c r="S122" s="39" t="n">
        <v>0</v>
      </c>
      <c r="T122" s="40" t="n">
        <f aca="false">IF(M122=0,0,N122/M122)</f>
        <v>0.5</v>
      </c>
      <c r="U122" s="40" t="n">
        <f aca="false">IF(M122=0,0,O122/M122)</f>
        <v>0</v>
      </c>
      <c r="V122" s="41" t="n">
        <f aca="false">IF(M122=0,0,P122/M122)</f>
        <v>0</v>
      </c>
      <c r="W122" s="40" t="n">
        <f aca="false">IF(L122=0,0,Q122/L122)</f>
        <v>0</v>
      </c>
    </row>
    <row r="123" customFormat="false" ht="15" hidden="false" customHeight="false" outlineLevel="0" collapsed="false">
      <c r="A123" s="37" t="s">
        <v>1365</v>
      </c>
      <c r="B123" s="38" t="n">
        <v>46234.4055439815</v>
      </c>
      <c r="C123" s="37" t="s">
        <v>1201</v>
      </c>
      <c r="D123" s="37" t="s">
        <v>1366</v>
      </c>
      <c r="E123" s="37" t="s">
        <v>1360</v>
      </c>
      <c r="F123" s="37" t="s">
        <v>550</v>
      </c>
      <c r="G123" s="37"/>
      <c r="H123" s="37" t="s">
        <v>66</v>
      </c>
      <c r="I123" s="37"/>
      <c r="J123" s="37" t="s">
        <v>121</v>
      </c>
      <c r="K123" s="37" t="s">
        <v>1213</v>
      </c>
      <c r="L123" s="39" t="n">
        <v>43</v>
      </c>
      <c r="M123" s="39" t="n">
        <v>43</v>
      </c>
      <c r="N123" s="39" t="n">
        <v>16</v>
      </c>
      <c r="O123" s="39" t="n">
        <v>0</v>
      </c>
      <c r="P123" s="39" t="n">
        <v>0</v>
      </c>
      <c r="Q123" s="39" t="n">
        <v>0</v>
      </c>
      <c r="R123" s="39" t="n">
        <v>0</v>
      </c>
      <c r="S123" s="39" t="n">
        <v>0</v>
      </c>
      <c r="T123" s="40" t="n">
        <f aca="false">IF(M123=0,0,N123/M123)</f>
        <v>0.372093023255814</v>
      </c>
      <c r="U123" s="40" t="n">
        <f aca="false">IF(M123=0,0,O123/M123)</f>
        <v>0</v>
      </c>
      <c r="V123" s="41" t="n">
        <f aca="false">IF(M123=0,0,P123/M123)</f>
        <v>0</v>
      </c>
      <c r="W123" s="40" t="n">
        <f aca="false">IF(L123=0,0,Q123/L123)</f>
        <v>0</v>
      </c>
    </row>
    <row r="124" customFormat="false" ht="15" hidden="false" customHeight="false" outlineLevel="0" collapsed="false">
      <c r="A124" s="37" t="s">
        <v>1367</v>
      </c>
      <c r="B124" s="38" t="n">
        <v>46234.2411805556</v>
      </c>
      <c r="C124" s="37" t="s">
        <v>1201</v>
      </c>
      <c r="D124" s="37" t="s">
        <v>171</v>
      </c>
      <c r="E124" s="37" t="s">
        <v>172</v>
      </c>
      <c r="F124" s="37" t="s">
        <v>555</v>
      </c>
      <c r="G124" s="37"/>
      <c r="H124" s="37" t="s">
        <v>61</v>
      </c>
      <c r="I124" s="37" t="s">
        <v>169</v>
      </c>
      <c r="J124" s="37" t="s">
        <v>170</v>
      </c>
      <c r="K124" s="37" t="s">
        <v>1202</v>
      </c>
      <c r="L124" s="39" t="n">
        <v>1440</v>
      </c>
      <c r="M124" s="39" t="n">
        <v>1432</v>
      </c>
      <c r="N124" s="39" t="n">
        <v>390</v>
      </c>
      <c r="O124" s="39" t="n">
        <v>28</v>
      </c>
      <c r="P124" s="39" t="n">
        <v>13</v>
      </c>
      <c r="Q124" s="39" t="n">
        <v>8</v>
      </c>
      <c r="R124" s="39" t="n">
        <v>3</v>
      </c>
      <c r="S124" s="39" t="n">
        <v>0</v>
      </c>
      <c r="T124" s="40" t="n">
        <f aca="false">IF(M124=0,0,N124/M124)</f>
        <v>0.272346368715084</v>
      </c>
      <c r="U124" s="40" t="n">
        <f aca="false">IF(M124=0,0,O124/M124)</f>
        <v>0.0195530726256983</v>
      </c>
      <c r="V124" s="41" t="n">
        <f aca="false">IF(M124=0,0,P124/M124)</f>
        <v>0.00907821229050279</v>
      </c>
      <c r="W124" s="40" t="n">
        <f aca="false">IF(L124=0,0,Q124/L124)</f>
        <v>0.00555555555555556</v>
      </c>
    </row>
    <row r="125" customFormat="false" ht="15" hidden="false" customHeight="false" outlineLevel="0" collapsed="false">
      <c r="A125" s="37" t="s">
        <v>1368</v>
      </c>
      <c r="B125" s="38" t="n">
        <v>46234.0627662037</v>
      </c>
      <c r="C125" s="37" t="s">
        <v>1201</v>
      </c>
      <c r="D125" s="37" t="s">
        <v>110</v>
      </c>
      <c r="E125" s="37" t="s">
        <v>252</v>
      </c>
      <c r="F125" s="37" t="s">
        <v>555</v>
      </c>
      <c r="G125" s="37" t="s">
        <v>1215</v>
      </c>
      <c r="H125" s="37" t="s">
        <v>61</v>
      </c>
      <c r="I125" s="37" t="s">
        <v>107</v>
      </c>
      <c r="J125" s="37" t="s">
        <v>109</v>
      </c>
      <c r="K125" s="37" t="s">
        <v>1202</v>
      </c>
      <c r="L125" s="39" t="n">
        <v>6749</v>
      </c>
      <c r="M125" s="39" t="n">
        <v>6705</v>
      </c>
      <c r="N125" s="39" t="n">
        <v>1493</v>
      </c>
      <c r="O125" s="39" t="n">
        <v>59</v>
      </c>
      <c r="P125" s="39" t="n">
        <v>67</v>
      </c>
      <c r="Q125" s="39" t="n">
        <v>44</v>
      </c>
      <c r="R125" s="39" t="n">
        <v>16</v>
      </c>
      <c r="S125" s="39" t="n">
        <v>0</v>
      </c>
      <c r="T125" s="40" t="n">
        <f aca="false">IF(M125=0,0,N125/M125)</f>
        <v>0.222669649515287</v>
      </c>
      <c r="U125" s="40" t="n">
        <f aca="false">IF(M125=0,0,O125/M125)</f>
        <v>0.00879940343027591</v>
      </c>
      <c r="V125" s="41" t="n">
        <f aca="false">IF(M125=0,0,P125/M125)</f>
        <v>0.00999254287844892</v>
      </c>
      <c r="W125" s="40" t="n">
        <f aca="false">IF(L125=0,0,Q125/L125)</f>
        <v>0.00651948436805453</v>
      </c>
    </row>
    <row r="126" customFormat="false" ht="15" hidden="false" customHeight="false" outlineLevel="0" collapsed="false">
      <c r="A126" s="37" t="s">
        <v>1369</v>
      </c>
      <c r="B126" s="38" t="n">
        <v>46233.8767476852</v>
      </c>
      <c r="C126" s="37" t="s">
        <v>1201</v>
      </c>
      <c r="D126" s="37" t="s">
        <v>1259</v>
      </c>
      <c r="E126" s="37" t="s">
        <v>1259</v>
      </c>
      <c r="F126" s="37" t="s">
        <v>127</v>
      </c>
      <c r="G126" s="37"/>
      <c r="H126" s="37" t="s">
        <v>60</v>
      </c>
      <c r="I126" s="37"/>
      <c r="J126" s="37" t="s">
        <v>126</v>
      </c>
      <c r="K126" s="37" t="s">
        <v>1213</v>
      </c>
      <c r="L126" s="39" t="n">
        <v>136</v>
      </c>
      <c r="M126" s="39" t="n">
        <v>136</v>
      </c>
      <c r="N126" s="39" t="n">
        <v>46</v>
      </c>
      <c r="O126" s="39" t="n">
        <v>8</v>
      </c>
      <c r="P126" s="39" t="n">
        <v>1</v>
      </c>
      <c r="Q126" s="39" t="n">
        <v>0</v>
      </c>
      <c r="R126" s="39" t="n">
        <v>0</v>
      </c>
      <c r="S126" s="39" t="n">
        <v>0</v>
      </c>
      <c r="T126" s="40" t="n">
        <f aca="false">IF(M126=0,0,N126/M126)</f>
        <v>0.338235294117647</v>
      </c>
      <c r="U126" s="40" t="n">
        <f aca="false">IF(M126=0,0,O126/M126)</f>
        <v>0.0588235294117647</v>
      </c>
      <c r="V126" s="41" t="n">
        <f aca="false">IF(M126=0,0,P126/M126)</f>
        <v>0.00735294117647059</v>
      </c>
      <c r="W126" s="40" t="n">
        <f aca="false">IF(L126=0,0,Q126/L126)</f>
        <v>0</v>
      </c>
    </row>
    <row r="127" customFormat="false" ht="15" hidden="false" customHeight="false" outlineLevel="0" collapsed="false">
      <c r="A127" s="37" t="s">
        <v>1370</v>
      </c>
      <c r="B127" s="38" t="n">
        <v>46233.4171527778</v>
      </c>
      <c r="C127" s="37" t="s">
        <v>1201</v>
      </c>
      <c r="D127" s="37" t="s">
        <v>297</v>
      </c>
      <c r="E127" s="37" t="s">
        <v>1209</v>
      </c>
      <c r="F127" s="37" t="s">
        <v>537</v>
      </c>
      <c r="G127" s="37"/>
      <c r="H127" s="37" t="s">
        <v>61</v>
      </c>
      <c r="I127" s="37" t="s">
        <v>294</v>
      </c>
      <c r="J127" s="37" t="s">
        <v>296</v>
      </c>
      <c r="K127" s="37" t="s">
        <v>1202</v>
      </c>
      <c r="L127" s="39" t="n">
        <v>672</v>
      </c>
      <c r="M127" s="39" t="n">
        <v>672</v>
      </c>
      <c r="N127" s="39" t="n">
        <v>512</v>
      </c>
      <c r="O127" s="39" t="n">
        <v>70</v>
      </c>
      <c r="P127" s="39" t="n">
        <v>0</v>
      </c>
      <c r="Q127" s="39" t="n">
        <v>0</v>
      </c>
      <c r="R127" s="39" t="n">
        <v>0</v>
      </c>
      <c r="S127" s="39" t="n">
        <v>0</v>
      </c>
      <c r="T127" s="40" t="n">
        <f aca="false">IF(M127=0,0,N127/M127)</f>
        <v>0.761904761904762</v>
      </c>
      <c r="U127" s="40" t="n">
        <f aca="false">IF(M127=0,0,O127/M127)</f>
        <v>0.104166666666667</v>
      </c>
      <c r="V127" s="41" t="n">
        <f aca="false">IF(M127=0,0,P127/M127)</f>
        <v>0</v>
      </c>
      <c r="W127" s="40" t="n">
        <f aca="false">IF(L127=0,0,Q127/L127)</f>
        <v>0</v>
      </c>
    </row>
    <row r="128" customFormat="false" ht="15" hidden="false" customHeight="false" outlineLevel="0" collapsed="false">
      <c r="A128" s="37" t="s">
        <v>1371</v>
      </c>
      <c r="B128" s="38" t="n">
        <v>46233.3856828704</v>
      </c>
      <c r="C128" s="37" t="s">
        <v>1201</v>
      </c>
      <c r="D128" s="37" t="s">
        <v>1372</v>
      </c>
      <c r="E128" s="37" t="s">
        <v>1373</v>
      </c>
      <c r="F128" s="37" t="s">
        <v>537</v>
      </c>
      <c r="G128" s="37"/>
      <c r="H128" s="37" t="s">
        <v>63</v>
      </c>
      <c r="I128" s="37"/>
      <c r="J128" s="37" t="s">
        <v>296</v>
      </c>
      <c r="K128" s="37" t="s">
        <v>1202</v>
      </c>
      <c r="L128" s="39" t="n">
        <v>2</v>
      </c>
      <c r="M128" s="39" t="n">
        <v>2</v>
      </c>
      <c r="N128" s="39" t="n">
        <v>2</v>
      </c>
      <c r="O128" s="39" t="n">
        <v>0</v>
      </c>
      <c r="P128" s="39" t="n">
        <v>0</v>
      </c>
      <c r="Q128" s="39" t="n">
        <v>0</v>
      </c>
      <c r="R128" s="39" t="n">
        <v>0</v>
      </c>
      <c r="S128" s="39" t="n">
        <v>0</v>
      </c>
      <c r="T128" s="40" t="n">
        <f aca="false">IF(M128=0,0,N128/M128)</f>
        <v>1</v>
      </c>
      <c r="U128" s="40" t="n">
        <f aca="false">IF(M128=0,0,O128/M128)</f>
        <v>0</v>
      </c>
      <c r="V128" s="41" t="n">
        <f aca="false">IF(M128=0,0,P128/M128)</f>
        <v>0</v>
      </c>
      <c r="W128" s="40" t="n">
        <f aca="false">IF(L128=0,0,Q128/L128)</f>
        <v>0</v>
      </c>
    </row>
    <row r="129" customFormat="false" ht="15" hidden="false" customHeight="false" outlineLevel="0" collapsed="false">
      <c r="A129" s="37" t="s">
        <v>1374</v>
      </c>
      <c r="B129" s="38" t="n">
        <v>46233.0198842593</v>
      </c>
      <c r="C129" s="37" t="s">
        <v>1201</v>
      </c>
      <c r="D129" s="37" t="s">
        <v>127</v>
      </c>
      <c r="E129" s="37" t="s">
        <v>128</v>
      </c>
      <c r="F129" s="37" t="s">
        <v>127</v>
      </c>
      <c r="G129" s="37"/>
      <c r="H129" s="37" t="s">
        <v>61</v>
      </c>
      <c r="I129" s="37" t="s">
        <v>125</v>
      </c>
      <c r="J129" s="37" t="s">
        <v>126</v>
      </c>
      <c r="K129" s="37" t="s">
        <v>1202</v>
      </c>
      <c r="L129" s="39" t="n">
        <v>2826</v>
      </c>
      <c r="M129" s="39" t="n">
        <v>2812</v>
      </c>
      <c r="N129" s="39" t="n">
        <v>849</v>
      </c>
      <c r="O129" s="39" t="n">
        <v>43</v>
      </c>
      <c r="P129" s="39" t="n">
        <v>12</v>
      </c>
      <c r="Q129" s="39" t="n">
        <v>14</v>
      </c>
      <c r="R129" s="39" t="n">
        <v>7</v>
      </c>
      <c r="S129" s="39" t="n">
        <v>0</v>
      </c>
      <c r="T129" s="40" t="n">
        <f aca="false">IF(M129=0,0,N129/M129)</f>
        <v>0.301920341394026</v>
      </c>
      <c r="U129" s="40" t="n">
        <f aca="false">IF(M129=0,0,O129/M129)</f>
        <v>0.0152916073968706</v>
      </c>
      <c r="V129" s="41" t="n">
        <f aca="false">IF(M129=0,0,P129/M129)</f>
        <v>0.0042674253200569</v>
      </c>
      <c r="W129" s="40" t="n">
        <f aca="false">IF(L129=0,0,Q129/L129)</f>
        <v>0.00495399858457183</v>
      </c>
    </row>
    <row r="130" customFormat="false" ht="15" hidden="false" customHeight="false" outlineLevel="0" collapsed="false">
      <c r="A130" s="37" t="s">
        <v>1375</v>
      </c>
      <c r="B130" s="38" t="n">
        <v>46233.0000347222</v>
      </c>
      <c r="C130" s="37" t="s">
        <v>1201</v>
      </c>
      <c r="D130" s="37" t="s">
        <v>1372</v>
      </c>
      <c r="E130" s="37" t="s">
        <v>1373</v>
      </c>
      <c r="F130" s="37" t="s">
        <v>537</v>
      </c>
      <c r="G130" s="37"/>
      <c r="H130" s="37" t="s">
        <v>63</v>
      </c>
      <c r="I130" s="37"/>
      <c r="J130" s="37" t="s">
        <v>296</v>
      </c>
      <c r="K130" s="37" t="s">
        <v>1202</v>
      </c>
      <c r="L130" s="39" t="n">
        <v>2</v>
      </c>
      <c r="M130" s="39" t="n">
        <v>2</v>
      </c>
      <c r="N130" s="39" t="n">
        <v>1</v>
      </c>
      <c r="O130" s="39" t="n">
        <v>0</v>
      </c>
      <c r="P130" s="39" t="n">
        <v>0</v>
      </c>
      <c r="Q130" s="39" t="n">
        <v>0</v>
      </c>
      <c r="R130" s="39" t="n">
        <v>0</v>
      </c>
      <c r="S130" s="39" t="n">
        <v>0</v>
      </c>
      <c r="T130" s="40" t="n">
        <f aca="false">IF(M130=0,0,N130/M130)</f>
        <v>0.5</v>
      </c>
      <c r="U130" s="40" t="n">
        <f aca="false">IF(M130=0,0,O130/M130)</f>
        <v>0</v>
      </c>
      <c r="V130" s="41" t="n">
        <f aca="false">IF(M130=0,0,P130/M130)</f>
        <v>0</v>
      </c>
      <c r="W130" s="40" t="n">
        <f aca="false">IF(L130=0,0,Q130/L130)</f>
        <v>0</v>
      </c>
    </row>
    <row r="131" customFormat="false" ht="15" hidden="false" customHeight="false" outlineLevel="0" collapsed="false">
      <c r="A131" s="37" t="s">
        <v>1376</v>
      </c>
      <c r="B131" s="38" t="n">
        <v>46232.958912037</v>
      </c>
      <c r="C131" s="37" t="s">
        <v>1201</v>
      </c>
      <c r="D131" s="37" t="s">
        <v>127</v>
      </c>
      <c r="E131" s="37" t="s">
        <v>178</v>
      </c>
      <c r="F131" s="37" t="s">
        <v>127</v>
      </c>
      <c r="G131" s="37"/>
      <c r="H131" s="37" t="s">
        <v>60</v>
      </c>
      <c r="I131" s="37"/>
      <c r="J131" s="37" t="s">
        <v>126</v>
      </c>
      <c r="K131" s="37" t="s">
        <v>1202</v>
      </c>
      <c r="L131" s="39" t="n">
        <v>416</v>
      </c>
      <c r="M131" s="39" t="n">
        <v>412</v>
      </c>
      <c r="N131" s="39" t="n">
        <v>103</v>
      </c>
      <c r="O131" s="39" t="n">
        <v>17</v>
      </c>
      <c r="P131" s="39" t="n">
        <v>1</v>
      </c>
      <c r="Q131" s="39" t="n">
        <v>4</v>
      </c>
      <c r="R131" s="39" t="n">
        <v>2</v>
      </c>
      <c r="S131" s="39" t="n">
        <v>0</v>
      </c>
      <c r="T131" s="40" t="n">
        <f aca="false">IF(M131=0,0,N131/M131)</f>
        <v>0.25</v>
      </c>
      <c r="U131" s="40" t="n">
        <f aca="false">IF(M131=0,0,O131/M131)</f>
        <v>0.0412621359223301</v>
      </c>
      <c r="V131" s="41" t="n">
        <f aca="false">IF(M131=0,0,P131/M131)</f>
        <v>0.00242718446601942</v>
      </c>
      <c r="W131" s="40" t="n">
        <f aca="false">IF(L131=0,0,Q131/L131)</f>
        <v>0.00961538461538462</v>
      </c>
    </row>
    <row r="132" customFormat="false" ht="15" hidden="false" customHeight="false" outlineLevel="0" collapsed="false">
      <c r="A132" s="37" t="s">
        <v>1377</v>
      </c>
      <c r="B132" s="38" t="n">
        <v>46232.7871875</v>
      </c>
      <c r="C132" s="37" t="s">
        <v>1241</v>
      </c>
      <c r="D132" s="37" t="s">
        <v>1335</v>
      </c>
      <c r="E132" s="37" t="s">
        <v>1378</v>
      </c>
      <c r="F132" s="37" t="s">
        <v>550</v>
      </c>
      <c r="G132" s="37"/>
      <c r="H132" s="37" t="s">
        <v>63</v>
      </c>
      <c r="I132" s="37"/>
      <c r="J132" s="37" t="s">
        <v>151</v>
      </c>
      <c r="K132" s="37" t="s">
        <v>1202</v>
      </c>
      <c r="L132" s="39" t="n">
        <v>1614</v>
      </c>
      <c r="M132" s="39" t="n">
        <v>1613</v>
      </c>
      <c r="N132" s="39" t="n">
        <v>1170</v>
      </c>
      <c r="O132" s="39" t="n">
        <v>1</v>
      </c>
      <c r="P132" s="39" t="n">
        <v>0</v>
      </c>
      <c r="Q132" s="39" t="n">
        <v>1</v>
      </c>
      <c r="R132" s="39" t="n">
        <v>0</v>
      </c>
      <c r="S132" s="39" t="n">
        <v>0</v>
      </c>
      <c r="T132" s="40" t="n">
        <f aca="false">IF(M132=0,0,N132/M132)</f>
        <v>0.725356478611283</v>
      </c>
      <c r="U132" s="40" t="n">
        <f aca="false">IF(M132=0,0,O132/M132)</f>
        <v>0.000619962802231866</v>
      </c>
      <c r="V132" s="41" t="n">
        <f aca="false">IF(M132=0,0,P132/M132)</f>
        <v>0</v>
      </c>
      <c r="W132" s="40" t="n">
        <f aca="false">IF(L132=0,0,Q132/L132)</f>
        <v>0.000619578686493185</v>
      </c>
    </row>
    <row r="133" customFormat="false" ht="15" hidden="false" customHeight="false" outlineLevel="0" collapsed="false">
      <c r="A133" s="37" t="s">
        <v>1379</v>
      </c>
      <c r="B133" s="38" t="n">
        <v>46232.0106134259</v>
      </c>
      <c r="C133" s="37" t="s">
        <v>1201</v>
      </c>
      <c r="D133" s="37" t="s">
        <v>1372</v>
      </c>
      <c r="E133" s="37" t="s">
        <v>1373</v>
      </c>
      <c r="F133" s="37" t="s">
        <v>537</v>
      </c>
      <c r="G133" s="37"/>
      <c r="H133" s="37" t="s">
        <v>64</v>
      </c>
      <c r="I133" s="37"/>
      <c r="J133" s="37" t="s">
        <v>296</v>
      </c>
      <c r="K133" s="37" t="s">
        <v>1202</v>
      </c>
      <c r="L133" s="39" t="n">
        <v>2</v>
      </c>
      <c r="M133" s="39" t="n">
        <v>2</v>
      </c>
      <c r="N133" s="39" t="n">
        <v>1</v>
      </c>
      <c r="O133" s="39" t="n">
        <v>0</v>
      </c>
      <c r="P133" s="39" t="n">
        <v>0</v>
      </c>
      <c r="Q133" s="39" t="n">
        <v>0</v>
      </c>
      <c r="R133" s="39" t="n">
        <v>0</v>
      </c>
      <c r="S133" s="39" t="n">
        <v>0</v>
      </c>
      <c r="T133" s="40" t="n">
        <f aca="false">IF(M133=0,0,N133/M133)</f>
        <v>0.5</v>
      </c>
      <c r="U133" s="40" t="n">
        <f aca="false">IF(M133=0,0,O133/M133)</f>
        <v>0</v>
      </c>
      <c r="V133" s="41" t="n">
        <f aca="false">IF(M133=0,0,P133/M133)</f>
        <v>0</v>
      </c>
      <c r="W133" s="40" t="n">
        <f aca="false">IF(L133=0,0,Q133/L133)</f>
        <v>0</v>
      </c>
    </row>
    <row r="134" customFormat="false" ht="15" hidden="false" customHeight="false" outlineLevel="0" collapsed="false">
      <c r="A134" s="37" t="s">
        <v>1380</v>
      </c>
      <c r="B134" s="38" t="n">
        <v>46231.4072800926</v>
      </c>
      <c r="C134" s="37" t="s">
        <v>1201</v>
      </c>
      <c r="D134" s="37" t="s">
        <v>1222</v>
      </c>
      <c r="E134" s="37" t="s">
        <v>1222</v>
      </c>
      <c r="F134" s="37" t="s">
        <v>555</v>
      </c>
      <c r="G134" s="37"/>
      <c r="H134" s="37" t="s">
        <v>66</v>
      </c>
      <c r="I134" s="37"/>
      <c r="J134" s="37" t="s">
        <v>430</v>
      </c>
      <c r="K134" s="37" t="s">
        <v>8</v>
      </c>
      <c r="L134" s="39" t="n">
        <v>1538</v>
      </c>
      <c r="M134" s="39" t="n">
        <v>1479</v>
      </c>
      <c r="N134" s="39" t="n">
        <v>483</v>
      </c>
      <c r="O134" s="39" t="n">
        <v>32</v>
      </c>
      <c r="P134" s="39" t="n">
        <v>30</v>
      </c>
      <c r="Q134" s="39" t="n">
        <v>59</v>
      </c>
      <c r="R134" s="39" t="n">
        <v>49</v>
      </c>
      <c r="S134" s="39" t="n">
        <v>0</v>
      </c>
      <c r="T134" s="40" t="n">
        <f aca="false">IF(M134=0,0,N134/M134)</f>
        <v>0.32657200811359</v>
      </c>
      <c r="U134" s="40" t="n">
        <f aca="false">IF(M134=0,0,O134/M134)</f>
        <v>0.0216362407031778</v>
      </c>
      <c r="V134" s="41" t="n">
        <f aca="false">IF(M134=0,0,P134/M134)</f>
        <v>0.0202839756592292</v>
      </c>
      <c r="W134" s="40" t="n">
        <f aca="false">IF(L134=0,0,Q134/L134)</f>
        <v>0.0383615084525358</v>
      </c>
    </row>
    <row r="135" customFormat="false" ht="15" hidden="false" customHeight="false" outlineLevel="0" collapsed="false">
      <c r="A135" s="37" t="s">
        <v>1381</v>
      </c>
      <c r="B135" s="38" t="n">
        <v>46231.3234953704</v>
      </c>
      <c r="C135" s="37" t="s">
        <v>1201</v>
      </c>
      <c r="D135" s="37" t="s">
        <v>1286</v>
      </c>
      <c r="E135" s="37" t="s">
        <v>166</v>
      </c>
      <c r="F135" s="37" t="s">
        <v>555</v>
      </c>
      <c r="G135" s="37" t="s">
        <v>1287</v>
      </c>
      <c r="H135" s="37" t="s">
        <v>60</v>
      </c>
      <c r="I135" s="37"/>
      <c r="J135" s="37" t="s">
        <v>164</v>
      </c>
      <c r="K135" s="37" t="s">
        <v>1202</v>
      </c>
      <c r="L135" s="39" t="n">
        <v>892</v>
      </c>
      <c r="M135" s="39" t="n">
        <v>891</v>
      </c>
      <c r="N135" s="39" t="n">
        <v>301</v>
      </c>
      <c r="O135" s="39" t="n">
        <v>35</v>
      </c>
      <c r="P135" s="39" t="n">
        <v>4</v>
      </c>
      <c r="Q135" s="39" t="n">
        <v>1</v>
      </c>
      <c r="R135" s="39" t="n">
        <v>1</v>
      </c>
      <c r="S135" s="39" t="n">
        <v>0</v>
      </c>
      <c r="T135" s="40" t="n">
        <f aca="false">IF(M135=0,0,N135/M135)</f>
        <v>0.337822671156005</v>
      </c>
      <c r="U135" s="40" t="n">
        <f aca="false">IF(M135=0,0,O135/M135)</f>
        <v>0.0392817059483726</v>
      </c>
      <c r="V135" s="41" t="n">
        <f aca="false">IF(M135=0,0,P135/M135)</f>
        <v>0.00448933782267116</v>
      </c>
      <c r="W135" s="40" t="n">
        <f aca="false">IF(L135=0,0,Q135/L135)</f>
        <v>0.00112107623318386</v>
      </c>
    </row>
    <row r="136" customFormat="false" ht="15" hidden="false" customHeight="false" outlineLevel="0" collapsed="false">
      <c r="A136" s="37" t="s">
        <v>1382</v>
      </c>
      <c r="B136" s="38" t="n">
        <v>46231.3233796296</v>
      </c>
      <c r="C136" s="37" t="s">
        <v>1201</v>
      </c>
      <c r="D136" s="37" t="s">
        <v>1286</v>
      </c>
      <c r="E136" s="37" t="s">
        <v>166</v>
      </c>
      <c r="F136" s="37" t="s">
        <v>555</v>
      </c>
      <c r="G136" s="37" t="s">
        <v>1287</v>
      </c>
      <c r="H136" s="37" t="s">
        <v>60</v>
      </c>
      <c r="I136" s="37"/>
      <c r="J136" s="37" t="s">
        <v>164</v>
      </c>
      <c r="K136" s="37" t="s">
        <v>1202</v>
      </c>
      <c r="L136" s="39" t="n">
        <v>101</v>
      </c>
      <c r="M136" s="39" t="n">
        <v>101</v>
      </c>
      <c r="N136" s="39" t="n">
        <v>51</v>
      </c>
      <c r="O136" s="39" t="n">
        <v>18</v>
      </c>
      <c r="P136" s="39" t="n">
        <v>0</v>
      </c>
      <c r="Q136" s="39" t="n">
        <v>0</v>
      </c>
      <c r="R136" s="39" t="n">
        <v>0</v>
      </c>
      <c r="S136" s="39" t="n">
        <v>0</v>
      </c>
      <c r="T136" s="40" t="n">
        <f aca="false">IF(M136=0,0,N136/M136)</f>
        <v>0.504950495049505</v>
      </c>
      <c r="U136" s="40" t="n">
        <f aca="false">IF(M136=0,0,O136/M136)</f>
        <v>0.178217821782178</v>
      </c>
      <c r="V136" s="41" t="n">
        <f aca="false">IF(M136=0,0,P136/M136)</f>
        <v>0</v>
      </c>
      <c r="W136" s="40" t="n">
        <f aca="false">IF(L136=0,0,Q136/L136)</f>
        <v>0</v>
      </c>
    </row>
    <row r="137" customFormat="false" ht="15" hidden="false" customHeight="false" outlineLevel="0" collapsed="false">
      <c r="A137" s="37" t="s">
        <v>1383</v>
      </c>
      <c r="B137" s="38" t="n">
        <v>46231.0110185185</v>
      </c>
      <c r="C137" s="37" t="s">
        <v>1201</v>
      </c>
      <c r="D137" s="37" t="s">
        <v>1372</v>
      </c>
      <c r="E137" s="37" t="s">
        <v>1373</v>
      </c>
      <c r="F137" s="37" t="s">
        <v>537</v>
      </c>
      <c r="G137" s="37"/>
      <c r="H137" s="37" t="s">
        <v>60</v>
      </c>
      <c r="I137" s="37"/>
      <c r="J137" s="37" t="s">
        <v>296</v>
      </c>
      <c r="K137" s="37" t="s">
        <v>1202</v>
      </c>
      <c r="L137" s="39" t="n">
        <v>2</v>
      </c>
      <c r="M137" s="39" t="n">
        <v>2</v>
      </c>
      <c r="N137" s="39" t="n">
        <v>2</v>
      </c>
      <c r="O137" s="39" t="n">
        <v>0</v>
      </c>
      <c r="P137" s="39" t="n">
        <v>0</v>
      </c>
      <c r="Q137" s="39" t="n">
        <v>0</v>
      </c>
      <c r="R137" s="39" t="n">
        <v>0</v>
      </c>
      <c r="S137" s="39" t="n">
        <v>0</v>
      </c>
      <c r="T137" s="40" t="n">
        <f aca="false">IF(M137=0,0,N137/M137)</f>
        <v>1</v>
      </c>
      <c r="U137" s="40" t="n">
        <f aca="false">IF(M137=0,0,O137/M137)</f>
        <v>0</v>
      </c>
      <c r="V137" s="41" t="n">
        <f aca="false">IF(M137=0,0,P137/M137)</f>
        <v>0</v>
      </c>
      <c r="W137" s="40" t="n">
        <f aca="false">IF(L137=0,0,Q137/L137)</f>
        <v>0</v>
      </c>
    </row>
    <row r="138" customFormat="false" ht="15" hidden="false" customHeight="false" outlineLevel="0" collapsed="false">
      <c r="A138" s="37" t="s">
        <v>1384</v>
      </c>
      <c r="B138" s="38" t="n">
        <v>46230.8126041667</v>
      </c>
      <c r="C138" s="37" t="s">
        <v>1201</v>
      </c>
      <c r="D138" s="37" t="s">
        <v>1372</v>
      </c>
      <c r="E138" s="37" t="s">
        <v>1373</v>
      </c>
      <c r="F138" s="37" t="s">
        <v>537</v>
      </c>
      <c r="G138" s="37"/>
      <c r="H138" s="37" t="s">
        <v>60</v>
      </c>
      <c r="I138" s="37"/>
      <c r="J138" s="37" t="s">
        <v>296</v>
      </c>
      <c r="K138" s="37" t="s">
        <v>1202</v>
      </c>
      <c r="L138" s="39" t="n">
        <v>2</v>
      </c>
      <c r="M138" s="39" t="n">
        <v>2</v>
      </c>
      <c r="N138" s="39" t="n">
        <v>2</v>
      </c>
      <c r="O138" s="39" t="n">
        <v>0</v>
      </c>
      <c r="P138" s="39" t="n">
        <v>0</v>
      </c>
      <c r="Q138" s="39" t="n">
        <v>0</v>
      </c>
      <c r="R138" s="39" t="n">
        <v>0</v>
      </c>
      <c r="S138" s="39" t="n">
        <v>0</v>
      </c>
      <c r="T138" s="40" t="n">
        <f aca="false">IF(M138=0,0,N138/M138)</f>
        <v>1</v>
      </c>
      <c r="U138" s="40" t="n">
        <f aca="false">IF(M138=0,0,O138/M138)</f>
        <v>0</v>
      </c>
      <c r="V138" s="41" t="n">
        <f aca="false">IF(M138=0,0,P138/M138)</f>
        <v>0</v>
      </c>
      <c r="W138" s="40" t="n">
        <f aca="false">IF(L138=0,0,Q138/L138)</f>
        <v>0</v>
      </c>
    </row>
    <row r="139" customFormat="false" ht="15" hidden="false" customHeight="false" outlineLevel="0" collapsed="false">
      <c r="A139" s="37" t="s">
        <v>1385</v>
      </c>
      <c r="B139" s="38" t="n">
        <v>46230.7500462963</v>
      </c>
      <c r="C139" s="37" t="s">
        <v>1201</v>
      </c>
      <c r="D139" s="37" t="s">
        <v>1372</v>
      </c>
      <c r="E139" s="37" t="s">
        <v>1373</v>
      </c>
      <c r="F139" s="37" t="s">
        <v>537</v>
      </c>
      <c r="G139" s="37"/>
      <c r="H139" s="37" t="s">
        <v>60</v>
      </c>
      <c r="I139" s="37"/>
      <c r="J139" s="37" t="s">
        <v>296</v>
      </c>
      <c r="K139" s="37" t="s">
        <v>1202</v>
      </c>
      <c r="L139" s="39" t="n">
        <v>2</v>
      </c>
      <c r="M139" s="39" t="n">
        <v>2</v>
      </c>
      <c r="N139" s="39" t="n">
        <v>2</v>
      </c>
      <c r="O139" s="39" t="n">
        <v>0</v>
      </c>
      <c r="P139" s="39" t="n">
        <v>0</v>
      </c>
      <c r="Q139" s="39" t="n">
        <v>0</v>
      </c>
      <c r="R139" s="39" t="n">
        <v>0</v>
      </c>
      <c r="S139" s="39" t="n">
        <v>0</v>
      </c>
      <c r="T139" s="40" t="n">
        <f aca="false">IF(M139=0,0,N139/M139)</f>
        <v>1</v>
      </c>
      <c r="U139" s="40" t="n">
        <f aca="false">IF(M139=0,0,O139/M139)</f>
        <v>0</v>
      </c>
      <c r="V139" s="41" t="n">
        <f aca="false">IF(M139=0,0,P139/M139)</f>
        <v>0</v>
      </c>
      <c r="W139" s="40" t="n">
        <f aca="false">IF(L139=0,0,Q139/L139)</f>
        <v>0</v>
      </c>
    </row>
    <row r="140" customFormat="false" ht="15" hidden="false" customHeight="false" outlineLevel="0" collapsed="false">
      <c r="A140" s="37" t="s">
        <v>1386</v>
      </c>
      <c r="B140" s="38" t="n">
        <v>46229.0108912037</v>
      </c>
      <c r="C140" s="37" t="s">
        <v>1201</v>
      </c>
      <c r="D140" s="37" t="s">
        <v>1372</v>
      </c>
      <c r="E140" s="37" t="s">
        <v>1373</v>
      </c>
      <c r="F140" s="37" t="s">
        <v>537</v>
      </c>
      <c r="G140" s="37"/>
      <c r="H140" s="37" t="s">
        <v>64</v>
      </c>
      <c r="I140" s="37"/>
      <c r="J140" s="37" t="s">
        <v>296</v>
      </c>
      <c r="K140" s="37" t="s">
        <v>1202</v>
      </c>
      <c r="L140" s="39" t="n">
        <v>2</v>
      </c>
      <c r="M140" s="39" t="n">
        <v>2</v>
      </c>
      <c r="N140" s="39" t="n">
        <v>1</v>
      </c>
      <c r="O140" s="39" t="n">
        <v>0</v>
      </c>
      <c r="P140" s="39" t="n">
        <v>0</v>
      </c>
      <c r="Q140" s="39" t="n">
        <v>0</v>
      </c>
      <c r="R140" s="39" t="n">
        <v>0</v>
      </c>
      <c r="S140" s="39" t="n">
        <v>0</v>
      </c>
      <c r="T140" s="40" t="n">
        <f aca="false">IF(M140=0,0,N140/M140)</f>
        <v>0.5</v>
      </c>
      <c r="U140" s="40" t="n">
        <f aca="false">IF(M140=0,0,O140/M140)</f>
        <v>0</v>
      </c>
      <c r="V140" s="41" t="n">
        <f aca="false">IF(M140=0,0,P140/M140)</f>
        <v>0</v>
      </c>
      <c r="W140" s="40" t="n">
        <f aca="false">IF(L140=0,0,Q140/L140)</f>
        <v>0</v>
      </c>
    </row>
    <row r="141" customFormat="false" ht="15" hidden="false" customHeight="false" outlineLevel="0" collapsed="false">
      <c r="A141" s="37" t="s">
        <v>1387</v>
      </c>
      <c r="B141" s="38" t="n">
        <v>46227.6638310185</v>
      </c>
      <c r="C141" s="37" t="s">
        <v>1201</v>
      </c>
      <c r="D141" s="37" t="s">
        <v>1211</v>
      </c>
      <c r="E141" s="37" t="s">
        <v>1212</v>
      </c>
      <c r="F141" s="37" t="s">
        <v>544</v>
      </c>
      <c r="G141" s="37"/>
      <c r="H141" s="37" t="s">
        <v>60</v>
      </c>
      <c r="I141" s="37"/>
      <c r="J141" s="37" t="s">
        <v>100</v>
      </c>
      <c r="K141" s="37" t="s">
        <v>1213</v>
      </c>
      <c r="L141" s="39" t="n">
        <v>129</v>
      </c>
      <c r="M141" s="39" t="n">
        <v>129</v>
      </c>
      <c r="N141" s="39" t="n">
        <v>71</v>
      </c>
      <c r="O141" s="39" t="n">
        <v>6</v>
      </c>
      <c r="P141" s="39" t="n">
        <v>1</v>
      </c>
      <c r="Q141" s="39" t="n">
        <v>0</v>
      </c>
      <c r="R141" s="39" t="n">
        <v>0</v>
      </c>
      <c r="S141" s="39" t="n">
        <v>0</v>
      </c>
      <c r="T141" s="40" t="n">
        <f aca="false">IF(M141=0,0,N141/M141)</f>
        <v>0.550387596899225</v>
      </c>
      <c r="U141" s="40" t="n">
        <f aca="false">IF(M141=0,0,O141/M141)</f>
        <v>0.0465116279069767</v>
      </c>
      <c r="V141" s="41" t="n">
        <f aca="false">IF(M141=0,0,P141/M141)</f>
        <v>0.00775193798449612</v>
      </c>
      <c r="W141" s="40" t="n">
        <f aca="false">IF(L141=0,0,Q141/L141)</f>
        <v>0</v>
      </c>
    </row>
    <row r="142" customFormat="false" ht="15" hidden="false" customHeight="false" outlineLevel="0" collapsed="false">
      <c r="A142" s="37" t="s">
        <v>1388</v>
      </c>
      <c r="B142" s="38" t="n">
        <v>46227.3754398148</v>
      </c>
      <c r="C142" s="37" t="s">
        <v>1201</v>
      </c>
      <c r="D142" s="37" t="s">
        <v>1372</v>
      </c>
      <c r="E142" s="37" t="s">
        <v>1373</v>
      </c>
      <c r="F142" s="37" t="s">
        <v>537</v>
      </c>
      <c r="G142" s="37"/>
      <c r="H142" s="37" t="s">
        <v>63</v>
      </c>
      <c r="I142" s="37"/>
      <c r="J142" s="37" t="s">
        <v>296</v>
      </c>
      <c r="K142" s="37" t="s">
        <v>1202</v>
      </c>
      <c r="L142" s="39" t="n">
        <v>2</v>
      </c>
      <c r="M142" s="39" t="n">
        <v>2</v>
      </c>
      <c r="N142" s="39" t="n">
        <v>2</v>
      </c>
      <c r="O142" s="39" t="n">
        <v>0</v>
      </c>
      <c r="P142" s="39" t="n">
        <v>0</v>
      </c>
      <c r="Q142" s="39" t="n">
        <v>0</v>
      </c>
      <c r="R142" s="39" t="n">
        <v>0</v>
      </c>
      <c r="S142" s="39" t="n">
        <v>0</v>
      </c>
      <c r="T142" s="40" t="n">
        <f aca="false">IF(M142=0,0,N142/M142)</f>
        <v>1</v>
      </c>
      <c r="U142" s="40" t="n">
        <f aca="false">IF(M142=0,0,O142/M142)</f>
        <v>0</v>
      </c>
      <c r="V142" s="41" t="n">
        <f aca="false">IF(M142=0,0,P142/M142)</f>
        <v>0</v>
      </c>
      <c r="W142" s="40" t="n">
        <f aca="false">IF(L142=0,0,Q142/L142)</f>
        <v>0</v>
      </c>
    </row>
    <row r="143" customFormat="false" ht="15" hidden="false" customHeight="false" outlineLevel="0" collapsed="false">
      <c r="A143" s="37" t="s">
        <v>1389</v>
      </c>
      <c r="B143" s="38" t="n">
        <v>46227.0762615741</v>
      </c>
      <c r="C143" s="37" t="s">
        <v>1201</v>
      </c>
      <c r="D143" s="37" t="s">
        <v>1259</v>
      </c>
      <c r="E143" s="37" t="s">
        <v>1259</v>
      </c>
      <c r="F143" s="37" t="s">
        <v>127</v>
      </c>
      <c r="G143" s="37"/>
      <c r="H143" s="37" t="s">
        <v>60</v>
      </c>
      <c r="I143" s="37"/>
      <c r="J143" s="37" t="s">
        <v>126</v>
      </c>
      <c r="K143" s="37" t="s">
        <v>1213</v>
      </c>
      <c r="L143" s="39" t="n">
        <v>107</v>
      </c>
      <c r="M143" s="39" t="n">
        <v>104</v>
      </c>
      <c r="N143" s="39" t="n">
        <v>30</v>
      </c>
      <c r="O143" s="39" t="n">
        <v>10</v>
      </c>
      <c r="P143" s="39" t="n">
        <v>1</v>
      </c>
      <c r="Q143" s="39" t="n">
        <v>3</v>
      </c>
      <c r="R143" s="39" t="n">
        <v>3</v>
      </c>
      <c r="S143" s="39" t="n">
        <v>0</v>
      </c>
      <c r="T143" s="40" t="n">
        <f aca="false">IF(M143=0,0,N143/M143)</f>
        <v>0.288461538461538</v>
      </c>
      <c r="U143" s="40" t="n">
        <f aca="false">IF(M143=0,0,O143/M143)</f>
        <v>0.0961538461538462</v>
      </c>
      <c r="V143" s="41" t="n">
        <f aca="false">IF(M143=0,0,P143/M143)</f>
        <v>0.00961538461538462</v>
      </c>
      <c r="W143" s="40" t="n">
        <f aca="false">IF(L143=0,0,Q143/L143)</f>
        <v>0.0280373831775701</v>
      </c>
    </row>
    <row r="144" customFormat="false" ht="15" hidden="false" customHeight="false" outlineLevel="0" collapsed="false">
      <c r="A144" s="37" t="s">
        <v>1390</v>
      </c>
      <c r="B144" s="38" t="n">
        <v>46226.5442592593</v>
      </c>
      <c r="C144" s="37" t="s">
        <v>1252</v>
      </c>
      <c r="D144" s="37" t="s">
        <v>101</v>
      </c>
      <c r="E144" s="37" t="s">
        <v>1222</v>
      </c>
      <c r="F144" s="37" t="s">
        <v>548</v>
      </c>
      <c r="G144" s="37" t="s">
        <v>1223</v>
      </c>
      <c r="H144" s="37" t="s">
        <v>61</v>
      </c>
      <c r="I144" s="37" t="s">
        <v>98</v>
      </c>
      <c r="J144" s="37" t="s">
        <v>100</v>
      </c>
      <c r="K144" s="37" t="s">
        <v>1202</v>
      </c>
      <c r="L144" s="39" t="n">
        <v>7020</v>
      </c>
      <c r="M144" s="39" t="n">
        <v>6989</v>
      </c>
      <c r="N144" s="39" t="n">
        <v>881</v>
      </c>
      <c r="O144" s="39" t="n">
        <v>156</v>
      </c>
      <c r="P144" s="39" t="n">
        <v>54</v>
      </c>
      <c r="Q144" s="39" t="n">
        <v>31</v>
      </c>
      <c r="R144" s="39" t="n">
        <v>17</v>
      </c>
      <c r="S144" s="39" t="n">
        <v>2</v>
      </c>
      <c r="T144" s="40" t="n">
        <f aca="false">IF(M144=0,0,N144/M144)</f>
        <v>0.126055229646588</v>
      </c>
      <c r="U144" s="40" t="n">
        <f aca="false">IF(M144=0,0,O144/M144)</f>
        <v>0.0223207898125626</v>
      </c>
      <c r="V144" s="41" t="n">
        <f aca="false">IF(M144=0,0,P144/M144)</f>
        <v>0.00772642724281013</v>
      </c>
      <c r="W144" s="40" t="n">
        <f aca="false">IF(L144=0,0,Q144/L144)</f>
        <v>0.00441595441595442</v>
      </c>
    </row>
    <row r="145" customFormat="false" ht="15" hidden="false" customHeight="false" outlineLevel="0" collapsed="false">
      <c r="A145" s="37" t="s">
        <v>1391</v>
      </c>
      <c r="B145" s="38" t="n">
        <v>46226.4733796296</v>
      </c>
      <c r="C145" s="37" t="s">
        <v>1201</v>
      </c>
      <c r="D145" s="37" t="s">
        <v>1392</v>
      </c>
      <c r="E145" s="37" t="s">
        <v>166</v>
      </c>
      <c r="F145" s="37" t="s">
        <v>555</v>
      </c>
      <c r="G145" s="37" t="s">
        <v>1393</v>
      </c>
      <c r="H145" s="37" t="s">
        <v>61</v>
      </c>
      <c r="I145" s="37" t="s">
        <v>260</v>
      </c>
      <c r="J145" s="37" t="s">
        <v>164</v>
      </c>
      <c r="K145" s="37" t="s">
        <v>1202</v>
      </c>
      <c r="L145" s="39" t="n">
        <v>17</v>
      </c>
      <c r="M145" s="39" t="n">
        <v>17</v>
      </c>
      <c r="N145" s="39" t="n">
        <v>11</v>
      </c>
      <c r="O145" s="39" t="n">
        <v>2</v>
      </c>
      <c r="P145" s="39" t="n">
        <v>0</v>
      </c>
      <c r="Q145" s="39" t="n">
        <v>0</v>
      </c>
      <c r="R145" s="39" t="n">
        <v>0</v>
      </c>
      <c r="S145" s="39" t="n">
        <v>0</v>
      </c>
      <c r="T145" s="40" t="n">
        <f aca="false">IF(M145=0,0,N145/M145)</f>
        <v>0.647058823529412</v>
      </c>
      <c r="U145" s="40" t="n">
        <f aca="false">IF(M145=0,0,O145/M145)</f>
        <v>0.117647058823529</v>
      </c>
      <c r="V145" s="41" t="n">
        <f aca="false">IF(M145=0,0,P145/M145)</f>
        <v>0</v>
      </c>
      <c r="W145" s="40" t="n">
        <f aca="false">IF(L145=0,0,Q145/L145)</f>
        <v>0</v>
      </c>
    </row>
    <row r="146" customFormat="false" ht="15" hidden="false" customHeight="false" outlineLevel="0" collapsed="false">
      <c r="A146" s="37" t="s">
        <v>1394</v>
      </c>
      <c r="B146" s="38" t="n">
        <v>46226.4167013889</v>
      </c>
      <c r="C146" s="37" t="s">
        <v>1252</v>
      </c>
      <c r="D146" s="37" t="s">
        <v>198</v>
      </c>
      <c r="E146" s="37" t="s">
        <v>193</v>
      </c>
      <c r="F146" s="37" t="s">
        <v>555</v>
      </c>
      <c r="G146" s="37" t="s">
        <v>1119</v>
      </c>
      <c r="H146" s="37" t="s">
        <v>65</v>
      </c>
      <c r="I146" s="37" t="s">
        <v>197</v>
      </c>
      <c r="J146" s="37" t="s">
        <v>191</v>
      </c>
      <c r="K146" s="37" t="s">
        <v>1202</v>
      </c>
      <c r="L146" s="39" t="n">
        <v>7188</v>
      </c>
      <c r="M146" s="39" t="n">
        <v>6974</v>
      </c>
      <c r="N146" s="39" t="n">
        <v>1390</v>
      </c>
      <c r="O146" s="39" t="n">
        <v>72</v>
      </c>
      <c r="P146" s="39" t="n">
        <v>67</v>
      </c>
      <c r="Q146" s="39" t="n">
        <v>214</v>
      </c>
      <c r="R146" s="39" t="n">
        <v>155</v>
      </c>
      <c r="S146" s="39" t="n">
        <v>1</v>
      </c>
      <c r="T146" s="40" t="n">
        <f aca="false">IF(M146=0,0,N146/M146)</f>
        <v>0.199311729280184</v>
      </c>
      <c r="U146" s="40" t="n">
        <f aca="false">IF(M146=0,0,O146/M146)</f>
        <v>0.0103240607972469</v>
      </c>
      <c r="V146" s="41" t="n">
        <f aca="false">IF(M146=0,0,P146/M146)</f>
        <v>0.00960711213077144</v>
      </c>
      <c r="W146" s="40" t="n">
        <f aca="false">IF(L146=0,0,Q146/L146)</f>
        <v>0.0297718419588203</v>
      </c>
    </row>
    <row r="147" customFormat="false" ht="15" hidden="false" customHeight="false" outlineLevel="0" collapsed="false">
      <c r="A147" s="37" t="s">
        <v>1395</v>
      </c>
      <c r="B147" s="38" t="n">
        <v>46225.0419328704</v>
      </c>
      <c r="C147" s="37" t="s">
        <v>1201</v>
      </c>
      <c r="D147" s="37" t="s">
        <v>1218</v>
      </c>
      <c r="E147" s="37" t="s">
        <v>1396</v>
      </c>
      <c r="F147" s="37" t="s">
        <v>544</v>
      </c>
      <c r="G147" s="37"/>
      <c r="H147" s="37" t="s">
        <v>60</v>
      </c>
      <c r="I147" s="37"/>
      <c r="J147" s="37" t="s">
        <v>375</v>
      </c>
      <c r="K147" s="37" t="s">
        <v>1202</v>
      </c>
      <c r="L147" s="39" t="n">
        <v>1005</v>
      </c>
      <c r="M147" s="39" t="n">
        <v>974</v>
      </c>
      <c r="N147" s="39" t="n">
        <v>350</v>
      </c>
      <c r="O147" s="39" t="n">
        <v>103</v>
      </c>
      <c r="P147" s="39" t="n">
        <v>4</v>
      </c>
      <c r="Q147" s="39" t="n">
        <v>31</v>
      </c>
      <c r="R147" s="39" t="n">
        <v>19</v>
      </c>
      <c r="S147" s="39" t="n">
        <v>0</v>
      </c>
      <c r="T147" s="40" t="n">
        <f aca="false">IF(M147=0,0,N147/M147)</f>
        <v>0.359342915811088</v>
      </c>
      <c r="U147" s="40" t="n">
        <f aca="false">IF(M147=0,0,O147/M147)</f>
        <v>0.105749486652977</v>
      </c>
      <c r="V147" s="41" t="n">
        <f aca="false">IF(M147=0,0,P147/M147)</f>
        <v>0.00410677618069815</v>
      </c>
      <c r="W147" s="40" t="n">
        <f aca="false">IF(L147=0,0,Q147/L147)</f>
        <v>0.0308457711442786</v>
      </c>
    </row>
    <row r="148" customFormat="false" ht="15" hidden="false" customHeight="false" outlineLevel="0" collapsed="false">
      <c r="A148" s="37" t="s">
        <v>1397</v>
      </c>
      <c r="B148" s="38" t="n">
        <v>46224.917037037</v>
      </c>
      <c r="C148" s="37" t="s">
        <v>1201</v>
      </c>
      <c r="D148" s="37" t="s">
        <v>152</v>
      </c>
      <c r="E148" s="37" t="s">
        <v>1344</v>
      </c>
      <c r="F148" s="37" t="s">
        <v>152</v>
      </c>
      <c r="G148" s="37"/>
      <c r="H148" s="37" t="s">
        <v>61</v>
      </c>
      <c r="I148" s="37" t="s">
        <v>150</v>
      </c>
      <c r="J148" s="37" t="s">
        <v>151</v>
      </c>
      <c r="K148" s="37" t="s">
        <v>1202</v>
      </c>
      <c r="L148" s="39" t="n">
        <v>807</v>
      </c>
      <c r="M148" s="39" t="n">
        <v>805</v>
      </c>
      <c r="N148" s="39" t="n">
        <v>367</v>
      </c>
      <c r="O148" s="39" t="n">
        <v>55</v>
      </c>
      <c r="P148" s="39" t="n">
        <v>3</v>
      </c>
      <c r="Q148" s="39" t="n">
        <v>2</v>
      </c>
      <c r="R148" s="39" t="n">
        <v>1</v>
      </c>
      <c r="S148" s="39" t="n">
        <v>0</v>
      </c>
      <c r="T148" s="40" t="n">
        <f aca="false">IF(M148=0,0,N148/M148)</f>
        <v>0.455900621118012</v>
      </c>
      <c r="U148" s="40" t="n">
        <f aca="false">IF(M148=0,0,O148/M148)</f>
        <v>0.0683229813664596</v>
      </c>
      <c r="V148" s="41" t="n">
        <f aca="false">IF(M148=0,0,P148/M148)</f>
        <v>0.00372670807453416</v>
      </c>
      <c r="W148" s="40" t="n">
        <f aca="false">IF(L148=0,0,Q148/L148)</f>
        <v>0.00247831474597274</v>
      </c>
    </row>
    <row r="149" customFormat="false" ht="15" hidden="false" customHeight="false" outlineLevel="0" collapsed="false">
      <c r="A149" s="37" t="s">
        <v>1398</v>
      </c>
      <c r="B149" s="38" t="n">
        <v>46224.6006944445</v>
      </c>
      <c r="C149" s="37" t="s">
        <v>1201</v>
      </c>
      <c r="D149" s="37" t="s">
        <v>1340</v>
      </c>
      <c r="E149" s="37" t="s">
        <v>1340</v>
      </c>
      <c r="F149" s="37" t="s">
        <v>544</v>
      </c>
      <c r="G149" s="37"/>
      <c r="H149" s="37" t="s">
        <v>60</v>
      </c>
      <c r="I149" s="37"/>
      <c r="J149" s="37" t="s">
        <v>115</v>
      </c>
      <c r="K149" s="37" t="s">
        <v>1202</v>
      </c>
      <c r="L149" s="39" t="n">
        <v>702</v>
      </c>
      <c r="M149" s="39" t="n">
        <v>683</v>
      </c>
      <c r="N149" s="39" t="n">
        <v>219</v>
      </c>
      <c r="O149" s="39" t="n">
        <v>63</v>
      </c>
      <c r="P149" s="39" t="n">
        <v>4</v>
      </c>
      <c r="Q149" s="39" t="n">
        <v>19</v>
      </c>
      <c r="R149" s="39" t="n">
        <v>18</v>
      </c>
      <c r="S149" s="39" t="n">
        <v>0</v>
      </c>
      <c r="T149" s="40" t="n">
        <f aca="false">IF(M149=0,0,N149/M149)</f>
        <v>0.320644216691069</v>
      </c>
      <c r="U149" s="40" t="n">
        <f aca="false">IF(M149=0,0,O149/M149)</f>
        <v>0.0922401171303075</v>
      </c>
      <c r="V149" s="41" t="n">
        <f aca="false">IF(M149=0,0,P149/M149)</f>
        <v>0.00585651537335286</v>
      </c>
      <c r="W149" s="40" t="n">
        <f aca="false">IF(L149=0,0,Q149/L149)</f>
        <v>0.0270655270655271</v>
      </c>
    </row>
    <row r="150" customFormat="false" ht="15" hidden="false" customHeight="false" outlineLevel="0" collapsed="false">
      <c r="A150" s="37" t="s">
        <v>1399</v>
      </c>
      <c r="B150" s="38" t="n">
        <v>46219.4645138889</v>
      </c>
      <c r="C150" s="37" t="s">
        <v>1201</v>
      </c>
      <c r="D150" s="37" t="s">
        <v>1400</v>
      </c>
      <c r="E150" s="37" t="s">
        <v>1360</v>
      </c>
      <c r="F150" s="37" t="s">
        <v>544</v>
      </c>
      <c r="G150" s="37"/>
      <c r="H150" s="37" t="s">
        <v>60</v>
      </c>
      <c r="I150" s="37"/>
      <c r="J150" s="37" t="s">
        <v>382</v>
      </c>
      <c r="K150" s="37" t="s">
        <v>1202</v>
      </c>
      <c r="L150" s="39" t="n">
        <v>412</v>
      </c>
      <c r="M150" s="39" t="n">
        <v>406</v>
      </c>
      <c r="N150" s="39" t="n">
        <v>136</v>
      </c>
      <c r="O150" s="39" t="n">
        <v>40</v>
      </c>
      <c r="P150" s="39" t="n">
        <v>0</v>
      </c>
      <c r="Q150" s="39" t="n">
        <v>6</v>
      </c>
      <c r="R150" s="39" t="n">
        <v>4</v>
      </c>
      <c r="S150" s="39" t="n">
        <v>0</v>
      </c>
      <c r="T150" s="40" t="n">
        <f aca="false">IF(M150=0,0,N150/M150)</f>
        <v>0.334975369458128</v>
      </c>
      <c r="U150" s="40" t="n">
        <f aca="false">IF(M150=0,0,O150/M150)</f>
        <v>0.0985221674876847</v>
      </c>
      <c r="V150" s="41" t="n">
        <f aca="false">IF(M150=0,0,P150/M150)</f>
        <v>0</v>
      </c>
      <c r="W150" s="40" t="n">
        <f aca="false">IF(L150=0,0,Q150/L150)</f>
        <v>0.0145631067961165</v>
      </c>
    </row>
    <row r="151" customFormat="false" ht="15" hidden="false" customHeight="false" outlineLevel="0" collapsed="false">
      <c r="A151" s="37" t="s">
        <v>1401</v>
      </c>
      <c r="B151" s="38" t="n">
        <v>46219.3936574074</v>
      </c>
      <c r="C151" s="37" t="s">
        <v>1201</v>
      </c>
      <c r="D151" s="37" t="s">
        <v>1211</v>
      </c>
      <c r="E151" s="37" t="s">
        <v>1212</v>
      </c>
      <c r="F151" s="37" t="s">
        <v>544</v>
      </c>
      <c r="G151" s="37"/>
      <c r="H151" s="37" t="s">
        <v>60</v>
      </c>
      <c r="I151" s="37"/>
      <c r="J151" s="37" t="s">
        <v>100</v>
      </c>
      <c r="K151" s="37" t="s">
        <v>1213</v>
      </c>
      <c r="L151" s="39" t="n">
        <v>129</v>
      </c>
      <c r="M151" s="39" t="n">
        <v>129</v>
      </c>
      <c r="N151" s="39" t="n">
        <v>70</v>
      </c>
      <c r="O151" s="39" t="n">
        <v>15</v>
      </c>
      <c r="P151" s="39" t="n">
        <v>1</v>
      </c>
      <c r="Q151" s="39" t="n">
        <v>0</v>
      </c>
      <c r="R151" s="39" t="n">
        <v>0</v>
      </c>
      <c r="S151" s="39" t="n">
        <v>0</v>
      </c>
      <c r="T151" s="40" t="n">
        <f aca="false">IF(M151=0,0,N151/M151)</f>
        <v>0.542635658914729</v>
      </c>
      <c r="U151" s="40" t="n">
        <f aca="false">IF(M151=0,0,O151/M151)</f>
        <v>0.116279069767442</v>
      </c>
      <c r="V151" s="41" t="n">
        <f aca="false">IF(M151=0,0,P151/M151)</f>
        <v>0.00775193798449612</v>
      </c>
      <c r="W151" s="40" t="n">
        <f aca="false">IF(L151=0,0,Q151/L151)</f>
        <v>0</v>
      </c>
    </row>
    <row r="152" customFormat="false" ht="15" hidden="false" customHeight="false" outlineLevel="0" collapsed="false">
      <c r="A152" s="37" t="s">
        <v>1402</v>
      </c>
      <c r="B152" s="38" t="n">
        <v>46219.3139814815</v>
      </c>
      <c r="C152" s="37" t="s">
        <v>1201</v>
      </c>
      <c r="D152" s="37" t="s">
        <v>1403</v>
      </c>
      <c r="E152" s="37" t="s">
        <v>238</v>
      </c>
      <c r="F152" s="37" t="s">
        <v>555</v>
      </c>
      <c r="G152" s="37"/>
      <c r="H152" s="37" t="s">
        <v>60</v>
      </c>
      <c r="I152" s="37"/>
      <c r="J152" s="37" t="s">
        <v>144</v>
      </c>
      <c r="K152" s="37" t="s">
        <v>1202</v>
      </c>
      <c r="L152" s="39" t="n">
        <v>370</v>
      </c>
      <c r="M152" s="39" t="n">
        <v>369</v>
      </c>
      <c r="N152" s="39" t="n">
        <v>172</v>
      </c>
      <c r="O152" s="39" t="n">
        <v>54</v>
      </c>
      <c r="P152" s="39" t="n">
        <v>1</v>
      </c>
      <c r="Q152" s="39" t="n">
        <v>1</v>
      </c>
      <c r="R152" s="39" t="n">
        <v>0</v>
      </c>
      <c r="S152" s="39" t="n">
        <v>0</v>
      </c>
      <c r="T152" s="40" t="n">
        <f aca="false">IF(M152=0,0,N152/M152)</f>
        <v>0.466124661246612</v>
      </c>
      <c r="U152" s="40" t="n">
        <f aca="false">IF(M152=0,0,O152/M152)</f>
        <v>0.146341463414634</v>
      </c>
      <c r="V152" s="41" t="n">
        <f aca="false">IF(M152=0,0,P152/M152)</f>
        <v>0.002710027100271</v>
      </c>
      <c r="W152" s="40" t="n">
        <f aca="false">IF(L152=0,0,Q152/L152)</f>
        <v>0.0027027027027027</v>
      </c>
    </row>
    <row r="153" customFormat="false" ht="15" hidden="false" customHeight="false" outlineLevel="0" collapsed="false">
      <c r="A153" s="37" t="s">
        <v>1404</v>
      </c>
      <c r="B153" s="38" t="n">
        <v>46219.1344791667</v>
      </c>
      <c r="C153" s="37" t="s">
        <v>1201</v>
      </c>
      <c r="D153" s="37" t="s">
        <v>1405</v>
      </c>
      <c r="E153" s="37" t="s">
        <v>193</v>
      </c>
      <c r="F153" s="37" t="s">
        <v>555</v>
      </c>
      <c r="G153" s="37"/>
      <c r="H153" s="37" t="s">
        <v>60</v>
      </c>
      <c r="I153" s="37"/>
      <c r="J153" s="37" t="s">
        <v>357</v>
      </c>
      <c r="K153" s="37" t="s">
        <v>1202</v>
      </c>
      <c r="L153" s="39" t="n">
        <v>63</v>
      </c>
      <c r="M153" s="39" t="n">
        <v>61</v>
      </c>
      <c r="N153" s="39" t="n">
        <v>13</v>
      </c>
      <c r="O153" s="39" t="n">
        <v>4</v>
      </c>
      <c r="P153" s="39" t="n">
        <v>0</v>
      </c>
      <c r="Q153" s="39" t="n">
        <v>2</v>
      </c>
      <c r="R153" s="39" t="n">
        <v>1</v>
      </c>
      <c r="S153" s="39" t="n">
        <v>0</v>
      </c>
      <c r="T153" s="40" t="n">
        <f aca="false">IF(M153=0,0,N153/M153)</f>
        <v>0.213114754098361</v>
      </c>
      <c r="U153" s="40" t="n">
        <f aca="false">IF(M153=0,0,O153/M153)</f>
        <v>0.0655737704918033</v>
      </c>
      <c r="V153" s="41" t="n">
        <f aca="false">IF(M153=0,0,P153/M153)</f>
        <v>0</v>
      </c>
      <c r="W153" s="40" t="n">
        <f aca="false">IF(L153=0,0,Q153/L153)</f>
        <v>0.0317460317460317</v>
      </c>
    </row>
    <row r="154" customFormat="false" ht="15" hidden="false" customHeight="false" outlineLevel="0" collapsed="false">
      <c r="A154" s="37" t="s">
        <v>1406</v>
      </c>
      <c r="B154" s="38" t="n">
        <v>46218.3336805556</v>
      </c>
      <c r="C154" s="37" t="s">
        <v>1201</v>
      </c>
      <c r="D154" s="37" t="s">
        <v>623</v>
      </c>
      <c r="E154" s="37" t="s">
        <v>166</v>
      </c>
      <c r="F154" s="37" t="s">
        <v>555</v>
      </c>
      <c r="G154" s="37" t="s">
        <v>1247</v>
      </c>
      <c r="H154" s="37" t="s">
        <v>61</v>
      </c>
      <c r="I154" s="37" t="s">
        <v>270</v>
      </c>
      <c r="J154" s="37" t="s">
        <v>164</v>
      </c>
      <c r="K154" s="37" t="s">
        <v>1202</v>
      </c>
      <c r="L154" s="39" t="n">
        <v>85</v>
      </c>
      <c r="M154" s="39" t="n">
        <v>85</v>
      </c>
      <c r="N154" s="39" t="n">
        <v>21</v>
      </c>
      <c r="O154" s="39" t="n">
        <v>4</v>
      </c>
      <c r="P154" s="39" t="n">
        <v>0</v>
      </c>
      <c r="Q154" s="39" t="n">
        <v>0</v>
      </c>
      <c r="R154" s="39" t="n">
        <v>0</v>
      </c>
      <c r="S154" s="39" t="n">
        <v>0</v>
      </c>
      <c r="T154" s="40" t="n">
        <f aca="false">IF(M154=0,0,N154/M154)</f>
        <v>0.247058823529412</v>
      </c>
      <c r="U154" s="40" t="n">
        <f aca="false">IF(M154=0,0,O154/M154)</f>
        <v>0.0470588235294118</v>
      </c>
      <c r="V154" s="41" t="n">
        <f aca="false">IF(M154=0,0,P154/M154)</f>
        <v>0</v>
      </c>
      <c r="W154" s="40" t="n">
        <f aca="false">IF(L154=0,0,Q154/L154)</f>
        <v>0</v>
      </c>
    </row>
    <row r="155" customFormat="false" ht="15" hidden="false" customHeight="false" outlineLevel="0" collapsed="false">
      <c r="A155" s="37" t="s">
        <v>1407</v>
      </c>
      <c r="B155" s="38" t="n">
        <v>46218.3336689815</v>
      </c>
      <c r="C155" s="37" t="s">
        <v>1201</v>
      </c>
      <c r="D155" s="37" t="s">
        <v>623</v>
      </c>
      <c r="E155" s="37" t="s">
        <v>166</v>
      </c>
      <c r="F155" s="37" t="s">
        <v>555</v>
      </c>
      <c r="G155" s="37" t="s">
        <v>1247</v>
      </c>
      <c r="H155" s="37" t="s">
        <v>61</v>
      </c>
      <c r="I155" s="37" t="s">
        <v>163</v>
      </c>
      <c r="J155" s="37" t="s">
        <v>164</v>
      </c>
      <c r="K155" s="37" t="s">
        <v>1202</v>
      </c>
      <c r="L155" s="39" t="n">
        <v>1279</v>
      </c>
      <c r="M155" s="39" t="n">
        <v>1276</v>
      </c>
      <c r="N155" s="39" t="n">
        <v>484</v>
      </c>
      <c r="O155" s="39" t="n">
        <v>38</v>
      </c>
      <c r="P155" s="39" t="n">
        <v>7</v>
      </c>
      <c r="Q155" s="39" t="n">
        <v>3</v>
      </c>
      <c r="R155" s="39" t="n">
        <v>2</v>
      </c>
      <c r="S155" s="39" t="n">
        <v>0</v>
      </c>
      <c r="T155" s="40" t="n">
        <f aca="false">IF(M155=0,0,N155/M155)</f>
        <v>0.379310344827586</v>
      </c>
      <c r="U155" s="40" t="n">
        <f aca="false">IF(M155=0,0,O155/M155)</f>
        <v>0.0297805642633229</v>
      </c>
      <c r="V155" s="41" t="n">
        <f aca="false">IF(M155=0,0,P155/M155)</f>
        <v>0.0054858934169279</v>
      </c>
      <c r="W155" s="40" t="n">
        <f aca="false">IF(L155=0,0,Q155/L155)</f>
        <v>0.00234558248631744</v>
      </c>
    </row>
    <row r="156" customFormat="false" ht="15" hidden="false" customHeight="false" outlineLevel="0" collapsed="false">
      <c r="A156" s="37" t="s">
        <v>1408</v>
      </c>
      <c r="B156" s="38" t="n">
        <v>46218.3334143519</v>
      </c>
      <c r="C156" s="37" t="s">
        <v>1201</v>
      </c>
      <c r="D156" s="37" t="s">
        <v>623</v>
      </c>
      <c r="E156" s="37" t="s">
        <v>166</v>
      </c>
      <c r="F156" s="37" t="s">
        <v>555</v>
      </c>
      <c r="G156" s="37" t="s">
        <v>1247</v>
      </c>
      <c r="H156" s="37" t="s">
        <v>60</v>
      </c>
      <c r="I156" s="37" t="s">
        <v>272</v>
      </c>
      <c r="J156" s="37" t="s">
        <v>164</v>
      </c>
      <c r="K156" s="37" t="s">
        <v>1202</v>
      </c>
      <c r="L156" s="39" t="n">
        <v>55</v>
      </c>
      <c r="M156" s="39" t="n">
        <v>55</v>
      </c>
      <c r="N156" s="39" t="n">
        <v>26</v>
      </c>
      <c r="O156" s="39" t="n">
        <v>5</v>
      </c>
      <c r="P156" s="39" t="n">
        <v>0</v>
      </c>
      <c r="Q156" s="39" t="n">
        <v>0</v>
      </c>
      <c r="R156" s="39" t="n">
        <v>0</v>
      </c>
      <c r="S156" s="39" t="n">
        <v>0</v>
      </c>
      <c r="T156" s="40" t="n">
        <f aca="false">IF(M156=0,0,N156/M156)</f>
        <v>0.472727272727273</v>
      </c>
      <c r="U156" s="40" t="n">
        <f aca="false">IF(M156=0,0,O156/M156)</f>
        <v>0.0909090909090909</v>
      </c>
      <c r="V156" s="41" t="n">
        <f aca="false">IF(M156=0,0,P156/M156)</f>
        <v>0</v>
      </c>
      <c r="W156" s="40" t="n">
        <f aca="false">IF(L156=0,0,Q156/L156)</f>
        <v>0</v>
      </c>
    </row>
    <row r="157" customFormat="false" ht="15" hidden="false" customHeight="false" outlineLevel="0" collapsed="false">
      <c r="A157" s="37" t="s">
        <v>1409</v>
      </c>
      <c r="B157" s="38" t="n">
        <v>46218.2424305556</v>
      </c>
      <c r="C157" s="37" t="s">
        <v>1201</v>
      </c>
      <c r="D157" s="37" t="s">
        <v>1211</v>
      </c>
      <c r="E157" s="37" t="s">
        <v>1212</v>
      </c>
      <c r="F157" s="37" t="s">
        <v>544</v>
      </c>
      <c r="G157" s="37"/>
      <c r="H157" s="37" t="s">
        <v>60</v>
      </c>
      <c r="I157" s="37"/>
      <c r="J157" s="37" t="s">
        <v>100</v>
      </c>
      <c r="K157" s="37" t="s">
        <v>1213</v>
      </c>
      <c r="L157" s="39" t="n">
        <v>130</v>
      </c>
      <c r="M157" s="39" t="n">
        <v>130</v>
      </c>
      <c r="N157" s="39" t="n">
        <v>70</v>
      </c>
      <c r="O157" s="39" t="n">
        <v>16</v>
      </c>
      <c r="P157" s="39" t="n">
        <v>0</v>
      </c>
      <c r="Q157" s="39" t="n">
        <v>0</v>
      </c>
      <c r="R157" s="39" t="n">
        <v>0</v>
      </c>
      <c r="S157" s="39" t="n">
        <v>0</v>
      </c>
      <c r="T157" s="40" t="n">
        <f aca="false">IF(M157=0,0,N157/M157)</f>
        <v>0.538461538461538</v>
      </c>
      <c r="U157" s="40" t="n">
        <f aca="false">IF(M157=0,0,O157/M157)</f>
        <v>0.123076923076923</v>
      </c>
      <c r="V157" s="41" t="n">
        <f aca="false">IF(M157=0,0,P157/M157)</f>
        <v>0</v>
      </c>
      <c r="W157" s="40" t="n">
        <f aca="false">IF(L157=0,0,Q157/L157)</f>
        <v>0</v>
      </c>
    </row>
    <row r="158" customFormat="false" ht="15" hidden="false" customHeight="false" outlineLevel="0" collapsed="false">
      <c r="A158" s="37" t="s">
        <v>1410</v>
      </c>
      <c r="B158" s="38" t="n">
        <v>46216.3755439815</v>
      </c>
      <c r="C158" s="37" t="s">
        <v>1252</v>
      </c>
      <c r="D158" s="37" t="s">
        <v>221</v>
      </c>
      <c r="E158" s="37" t="s">
        <v>193</v>
      </c>
      <c r="F158" s="37" t="s">
        <v>555</v>
      </c>
      <c r="G158" s="37" t="s">
        <v>1119</v>
      </c>
      <c r="H158" s="37" t="s">
        <v>61</v>
      </c>
      <c r="I158" s="37" t="s">
        <v>220</v>
      </c>
      <c r="J158" s="37" t="s">
        <v>191</v>
      </c>
      <c r="K158" s="37" t="s">
        <v>1202</v>
      </c>
      <c r="L158" s="39" t="n">
        <v>2535</v>
      </c>
      <c r="M158" s="39" t="n">
        <v>2516</v>
      </c>
      <c r="N158" s="39" t="n">
        <v>707</v>
      </c>
      <c r="O158" s="39" t="n">
        <v>23</v>
      </c>
      <c r="P158" s="39" t="n">
        <v>27</v>
      </c>
      <c r="Q158" s="39" t="n">
        <v>19</v>
      </c>
      <c r="R158" s="39" t="n">
        <v>9</v>
      </c>
      <c r="S158" s="39" t="n">
        <v>0</v>
      </c>
      <c r="T158" s="40" t="n">
        <f aca="false">IF(M158=0,0,N158/M158)</f>
        <v>0.281001589825119</v>
      </c>
      <c r="U158" s="40" t="n">
        <f aca="false">IF(M158=0,0,O158/M158)</f>
        <v>0.00914149443561208</v>
      </c>
      <c r="V158" s="41" t="n">
        <f aca="false">IF(M158=0,0,P158/M158)</f>
        <v>0.010731319554849</v>
      </c>
      <c r="W158" s="40" t="n">
        <f aca="false">IF(L158=0,0,Q158/L158)</f>
        <v>0.00749506903353057</v>
      </c>
    </row>
    <row r="159" customFormat="false" ht="15" hidden="false" customHeight="false" outlineLevel="0" collapsed="false">
      <c r="A159" s="37" t="s">
        <v>1411</v>
      </c>
      <c r="B159" s="38" t="n">
        <v>46212.4066203704</v>
      </c>
      <c r="C159" s="37" t="s">
        <v>1201</v>
      </c>
      <c r="D159" s="37" t="s">
        <v>230</v>
      </c>
      <c r="E159" s="37" t="s">
        <v>231</v>
      </c>
      <c r="F159" s="37" t="s">
        <v>550</v>
      </c>
      <c r="G159" s="37"/>
      <c r="H159" s="37" t="s">
        <v>61</v>
      </c>
      <c r="I159" s="37" t="s">
        <v>228</v>
      </c>
      <c r="J159" s="37" t="s">
        <v>229</v>
      </c>
      <c r="K159" s="37" t="s">
        <v>1202</v>
      </c>
      <c r="L159" s="39" t="n">
        <v>42</v>
      </c>
      <c r="M159" s="39" t="n">
        <v>42</v>
      </c>
      <c r="N159" s="39" t="n">
        <v>15</v>
      </c>
      <c r="O159" s="39" t="n">
        <v>5</v>
      </c>
      <c r="P159" s="39" t="n">
        <v>0</v>
      </c>
      <c r="Q159" s="39" t="n">
        <v>0</v>
      </c>
      <c r="R159" s="39" t="n">
        <v>0</v>
      </c>
      <c r="S159" s="39" t="n">
        <v>0</v>
      </c>
      <c r="T159" s="40" t="n">
        <f aca="false">IF(M159=0,0,N159/M159)</f>
        <v>0.357142857142857</v>
      </c>
      <c r="U159" s="40" t="n">
        <f aca="false">IF(M159=0,0,O159/M159)</f>
        <v>0.119047619047619</v>
      </c>
      <c r="V159" s="41" t="n">
        <f aca="false">IF(M159=0,0,P159/M159)</f>
        <v>0</v>
      </c>
      <c r="W159" s="40" t="n">
        <f aca="false">IF(L159=0,0,Q159/L159)</f>
        <v>0</v>
      </c>
    </row>
    <row r="160" customFormat="false" ht="15" hidden="false" customHeight="false" outlineLevel="0" collapsed="false">
      <c r="A160" s="37" t="s">
        <v>1412</v>
      </c>
      <c r="B160" s="38" t="n">
        <v>46212.0576851852</v>
      </c>
      <c r="C160" s="37" t="s">
        <v>1201</v>
      </c>
      <c r="D160" s="37" t="s">
        <v>237</v>
      </c>
      <c r="E160" s="37" t="s">
        <v>238</v>
      </c>
      <c r="F160" s="37" t="s">
        <v>559</v>
      </c>
      <c r="G160" s="37" t="s">
        <v>1297</v>
      </c>
      <c r="H160" s="37" t="s">
        <v>61</v>
      </c>
      <c r="I160" s="37"/>
      <c r="J160" s="37" t="s">
        <v>236</v>
      </c>
      <c r="K160" s="37" t="s">
        <v>1202</v>
      </c>
      <c r="L160" s="39" t="n">
        <v>4421</v>
      </c>
      <c r="M160" s="39" t="n">
        <v>4408</v>
      </c>
      <c r="N160" s="39" t="n">
        <v>677</v>
      </c>
      <c r="O160" s="39" t="n">
        <v>183</v>
      </c>
      <c r="P160" s="39" t="n">
        <v>6</v>
      </c>
      <c r="Q160" s="39" t="n">
        <v>13</v>
      </c>
      <c r="R160" s="39" t="n">
        <v>6</v>
      </c>
      <c r="S160" s="39" t="n">
        <v>0</v>
      </c>
      <c r="T160" s="40" t="n">
        <f aca="false">IF(M160=0,0,N160/M160)</f>
        <v>0.153584392014519</v>
      </c>
      <c r="U160" s="40" t="n">
        <f aca="false">IF(M160=0,0,O160/M160)</f>
        <v>0.0415154264972777</v>
      </c>
      <c r="V160" s="41" t="n">
        <f aca="false">IF(M160=0,0,P160/M160)</f>
        <v>0.00136116152450091</v>
      </c>
      <c r="W160" s="40" t="n">
        <f aca="false">IF(L160=0,0,Q160/L160)</f>
        <v>0.00294051119656186</v>
      </c>
    </row>
    <row r="161" customFormat="false" ht="15" hidden="false" customHeight="false" outlineLevel="0" collapsed="false">
      <c r="A161" s="37" t="s">
        <v>1413</v>
      </c>
      <c r="B161" s="38" t="n">
        <v>46211.8509953704</v>
      </c>
      <c r="C161" s="37" t="s">
        <v>1201</v>
      </c>
      <c r="D161" s="37" t="s">
        <v>127</v>
      </c>
      <c r="E161" s="37" t="s">
        <v>178</v>
      </c>
      <c r="F161" s="37" t="s">
        <v>127</v>
      </c>
      <c r="G161" s="37"/>
      <c r="H161" s="37" t="s">
        <v>60</v>
      </c>
      <c r="I161" s="37"/>
      <c r="J161" s="37" t="s">
        <v>126</v>
      </c>
      <c r="K161" s="37" t="s">
        <v>1202</v>
      </c>
      <c r="L161" s="39" t="n">
        <v>321</v>
      </c>
      <c r="M161" s="39" t="n">
        <v>316</v>
      </c>
      <c r="N161" s="39" t="n">
        <v>118</v>
      </c>
      <c r="O161" s="39" t="n">
        <v>19</v>
      </c>
      <c r="P161" s="39" t="n">
        <v>2</v>
      </c>
      <c r="Q161" s="39" t="n">
        <v>5</v>
      </c>
      <c r="R161" s="39" t="n">
        <v>4</v>
      </c>
      <c r="S161" s="39" t="n">
        <v>0</v>
      </c>
      <c r="T161" s="40" t="n">
        <f aca="false">IF(M161=0,0,N161/M161)</f>
        <v>0.373417721518987</v>
      </c>
      <c r="U161" s="40" t="n">
        <f aca="false">IF(M161=0,0,O161/M161)</f>
        <v>0.060126582278481</v>
      </c>
      <c r="V161" s="41" t="n">
        <f aca="false">IF(M161=0,0,P161/M161)</f>
        <v>0.00632911392405063</v>
      </c>
      <c r="W161" s="40" t="n">
        <f aca="false">IF(L161=0,0,Q161/L161)</f>
        <v>0.0155763239875389</v>
      </c>
    </row>
    <row r="162" customFormat="false" ht="15" hidden="false" customHeight="false" outlineLevel="0" collapsed="false">
      <c r="A162" s="37" t="s">
        <v>1414</v>
      </c>
      <c r="B162" s="38" t="n">
        <v>46211.8118518519</v>
      </c>
      <c r="C162" s="37" t="s">
        <v>1201</v>
      </c>
      <c r="D162" s="37" t="s">
        <v>139</v>
      </c>
      <c r="E162" s="37" t="s">
        <v>128</v>
      </c>
      <c r="F162" s="37" t="s">
        <v>127</v>
      </c>
      <c r="G162" s="37"/>
      <c r="H162" s="37" t="s">
        <v>61</v>
      </c>
      <c r="I162" s="37" t="s">
        <v>138</v>
      </c>
      <c r="J162" s="37" t="s">
        <v>126</v>
      </c>
      <c r="K162" s="37" t="s">
        <v>1202</v>
      </c>
      <c r="L162" s="39" t="n">
        <v>2602</v>
      </c>
      <c r="M162" s="39" t="n">
        <v>2587</v>
      </c>
      <c r="N162" s="39" t="n">
        <v>396</v>
      </c>
      <c r="O162" s="39" t="n">
        <v>52</v>
      </c>
      <c r="P162" s="39" t="n">
        <v>4</v>
      </c>
      <c r="Q162" s="39" t="n">
        <v>15</v>
      </c>
      <c r="R162" s="39" t="n">
        <v>8</v>
      </c>
      <c r="S162" s="39" t="n">
        <v>0</v>
      </c>
      <c r="T162" s="40" t="n">
        <f aca="false">IF(M162=0,0,N162/M162)</f>
        <v>0.153073057595671</v>
      </c>
      <c r="U162" s="40" t="n">
        <f aca="false">IF(M162=0,0,O162/M162)</f>
        <v>0.0201005025125628</v>
      </c>
      <c r="V162" s="41" t="n">
        <f aca="false">IF(M162=0,0,P162/M162)</f>
        <v>0.00154619250096637</v>
      </c>
      <c r="W162" s="40" t="n">
        <f aca="false">IF(L162=0,0,Q162/L162)</f>
        <v>0.00576479631053036</v>
      </c>
    </row>
    <row r="163" customFormat="false" ht="15" hidden="false" customHeight="false" outlineLevel="0" collapsed="false">
      <c r="A163" s="37" t="s">
        <v>1415</v>
      </c>
      <c r="B163" s="38" t="n">
        <v>46211.3482060185</v>
      </c>
      <c r="C163" s="37" t="s">
        <v>1201</v>
      </c>
      <c r="D163" s="37" t="s">
        <v>251</v>
      </c>
      <c r="E163" s="37" t="s">
        <v>252</v>
      </c>
      <c r="F163" s="37" t="s">
        <v>544</v>
      </c>
      <c r="G163" s="37"/>
      <c r="H163" s="37" t="s">
        <v>60</v>
      </c>
      <c r="I163" s="37" t="s">
        <v>250</v>
      </c>
      <c r="J163" s="37" t="s">
        <v>109</v>
      </c>
      <c r="K163" s="37" t="s">
        <v>1202</v>
      </c>
      <c r="L163" s="39" t="n">
        <v>33</v>
      </c>
      <c r="M163" s="39" t="n">
        <v>33</v>
      </c>
      <c r="N163" s="39" t="n">
        <v>20</v>
      </c>
      <c r="O163" s="39" t="n">
        <v>7</v>
      </c>
      <c r="P163" s="39" t="n">
        <v>0</v>
      </c>
      <c r="Q163" s="39" t="n">
        <v>0</v>
      </c>
      <c r="R163" s="39" t="n">
        <v>0</v>
      </c>
      <c r="S163" s="39" t="n">
        <v>0</v>
      </c>
      <c r="T163" s="40" t="n">
        <f aca="false">IF(M163=0,0,N163/M163)</f>
        <v>0.606060606060606</v>
      </c>
      <c r="U163" s="40" t="n">
        <f aca="false">IF(M163=0,0,O163/M163)</f>
        <v>0.212121212121212</v>
      </c>
      <c r="V163" s="41" t="n">
        <f aca="false">IF(M163=0,0,P163/M163)</f>
        <v>0</v>
      </c>
      <c r="W163" s="40" t="n">
        <f aca="false">IF(L163=0,0,Q163/L163)</f>
        <v>0</v>
      </c>
    </row>
    <row r="164" customFormat="false" ht="15" hidden="false" customHeight="false" outlineLevel="0" collapsed="false">
      <c r="A164" s="37" t="s">
        <v>1416</v>
      </c>
      <c r="B164" s="38" t="n">
        <v>46211.1285648148</v>
      </c>
      <c r="C164" s="37" t="s">
        <v>1201</v>
      </c>
      <c r="D164" s="37" t="s">
        <v>122</v>
      </c>
      <c r="E164" s="37" t="s">
        <v>1255</v>
      </c>
      <c r="F164" s="37" t="s">
        <v>555</v>
      </c>
      <c r="G164" s="37" t="s">
        <v>1256</v>
      </c>
      <c r="H164" s="37" t="s">
        <v>61</v>
      </c>
      <c r="I164" s="37" t="s">
        <v>120</v>
      </c>
      <c r="J164" s="37" t="s">
        <v>121</v>
      </c>
      <c r="K164" s="37" t="s">
        <v>1202</v>
      </c>
      <c r="L164" s="39" t="n">
        <v>6113</v>
      </c>
      <c r="M164" s="39" t="n">
        <v>6062</v>
      </c>
      <c r="N164" s="39" t="n">
        <v>1636</v>
      </c>
      <c r="O164" s="39" t="n">
        <v>101</v>
      </c>
      <c r="P164" s="39" t="n">
        <v>28</v>
      </c>
      <c r="Q164" s="39" t="n">
        <v>51</v>
      </c>
      <c r="R164" s="39" t="n">
        <v>17</v>
      </c>
      <c r="S164" s="39" t="n">
        <v>0</v>
      </c>
      <c r="T164" s="40" t="n">
        <f aca="false">IF(M164=0,0,N164/M164)</f>
        <v>0.269877928076542</v>
      </c>
      <c r="U164" s="40" t="n">
        <f aca="false">IF(M164=0,0,O164/M164)</f>
        <v>0.0166611679313758</v>
      </c>
      <c r="V164" s="41" t="n">
        <f aca="false">IF(M164=0,0,P164/M164)</f>
        <v>0.0046189376443418</v>
      </c>
      <c r="W164" s="40" t="n">
        <f aca="false">IF(L164=0,0,Q164/L164)</f>
        <v>0.00834287583837723</v>
      </c>
    </row>
    <row r="165" customFormat="false" ht="15" hidden="false" customHeight="false" outlineLevel="0" collapsed="false">
      <c r="A165" s="37" t="s">
        <v>1417</v>
      </c>
      <c r="B165" s="38" t="n">
        <v>46210.9590046296</v>
      </c>
      <c r="C165" s="37" t="s">
        <v>1201</v>
      </c>
      <c r="D165" s="37" t="s">
        <v>152</v>
      </c>
      <c r="E165" s="37" t="s">
        <v>1344</v>
      </c>
      <c r="F165" s="37" t="s">
        <v>152</v>
      </c>
      <c r="G165" s="37"/>
      <c r="H165" s="37" t="s">
        <v>61</v>
      </c>
      <c r="I165" s="37" t="s">
        <v>150</v>
      </c>
      <c r="J165" s="37" t="s">
        <v>151</v>
      </c>
      <c r="K165" s="37" t="s">
        <v>1202</v>
      </c>
      <c r="L165" s="39" t="n">
        <v>915</v>
      </c>
      <c r="M165" s="39" t="n">
        <v>911</v>
      </c>
      <c r="N165" s="39" t="n">
        <v>190</v>
      </c>
      <c r="O165" s="39" t="n">
        <v>53</v>
      </c>
      <c r="P165" s="39" t="n">
        <v>2</v>
      </c>
      <c r="Q165" s="39" t="n">
        <v>4</v>
      </c>
      <c r="R165" s="39" t="n">
        <v>3</v>
      </c>
      <c r="S165" s="39" t="n">
        <v>0</v>
      </c>
      <c r="T165" s="40" t="n">
        <f aca="false">IF(M165=0,0,N165/M165)</f>
        <v>0.208562019758507</v>
      </c>
      <c r="U165" s="40" t="n">
        <f aca="false">IF(M165=0,0,O165/M165)</f>
        <v>0.0581778265642152</v>
      </c>
      <c r="V165" s="41" t="n">
        <f aca="false">IF(M165=0,0,P165/M165)</f>
        <v>0.0021953896816685</v>
      </c>
      <c r="W165" s="40" t="n">
        <f aca="false">IF(L165=0,0,Q165/L165)</f>
        <v>0.00437158469945355</v>
      </c>
    </row>
    <row r="166" customFormat="false" ht="15" hidden="false" customHeight="false" outlineLevel="0" collapsed="false">
      <c r="A166" s="37" t="s">
        <v>1418</v>
      </c>
      <c r="B166" s="38" t="n">
        <v>46210.4065509259</v>
      </c>
      <c r="C166" s="37" t="s">
        <v>1252</v>
      </c>
      <c r="D166" s="37" t="s">
        <v>1286</v>
      </c>
      <c r="E166" s="37" t="s">
        <v>166</v>
      </c>
      <c r="F166" s="37" t="s">
        <v>555</v>
      </c>
      <c r="G166" s="37" t="s">
        <v>1287</v>
      </c>
      <c r="H166" s="37" t="s">
        <v>60</v>
      </c>
      <c r="I166" s="37"/>
      <c r="J166" s="37" t="s">
        <v>164</v>
      </c>
      <c r="K166" s="37" t="s">
        <v>1202</v>
      </c>
      <c r="L166" s="39" t="n">
        <v>934</v>
      </c>
      <c r="M166" s="39" t="n">
        <v>920</v>
      </c>
      <c r="N166" s="39" t="n">
        <v>357</v>
      </c>
      <c r="O166" s="39" t="n">
        <v>54</v>
      </c>
      <c r="P166" s="39" t="n">
        <v>4</v>
      </c>
      <c r="Q166" s="39" t="n">
        <v>14</v>
      </c>
      <c r="R166" s="39" t="n">
        <v>14</v>
      </c>
      <c r="S166" s="39" t="n">
        <v>0</v>
      </c>
      <c r="T166" s="40" t="n">
        <f aca="false">IF(M166=0,0,N166/M166)</f>
        <v>0.38804347826087</v>
      </c>
      <c r="U166" s="40" t="n">
        <f aca="false">IF(M166=0,0,O166/M166)</f>
        <v>0.058695652173913</v>
      </c>
      <c r="V166" s="41" t="n">
        <f aca="false">IF(M166=0,0,P166/M166)</f>
        <v>0.00434782608695652</v>
      </c>
      <c r="W166" s="40" t="n">
        <f aca="false">IF(L166=0,0,Q166/L166)</f>
        <v>0.0149892933618844</v>
      </c>
    </row>
    <row r="167" customFormat="false" ht="15" hidden="false" customHeight="false" outlineLevel="0" collapsed="false">
      <c r="A167" s="37" t="s">
        <v>1419</v>
      </c>
      <c r="B167" s="38" t="n">
        <v>46210.4065046296</v>
      </c>
      <c r="C167" s="37" t="s">
        <v>1252</v>
      </c>
      <c r="D167" s="37" t="s">
        <v>1286</v>
      </c>
      <c r="E167" s="37" t="s">
        <v>166</v>
      </c>
      <c r="F167" s="37" t="s">
        <v>555</v>
      </c>
      <c r="G167" s="37" t="s">
        <v>1287</v>
      </c>
      <c r="H167" s="37" t="s">
        <v>60</v>
      </c>
      <c r="I167" s="37"/>
      <c r="J167" s="37" t="s">
        <v>164</v>
      </c>
      <c r="K167" s="37" t="s">
        <v>1202</v>
      </c>
      <c r="L167" s="39" t="n">
        <v>105</v>
      </c>
      <c r="M167" s="39" t="n">
        <v>104</v>
      </c>
      <c r="N167" s="39" t="n">
        <v>51</v>
      </c>
      <c r="O167" s="39" t="n">
        <v>12</v>
      </c>
      <c r="P167" s="39" t="n">
        <v>0</v>
      </c>
      <c r="Q167" s="39" t="n">
        <v>1</v>
      </c>
      <c r="R167" s="39" t="n">
        <v>1</v>
      </c>
      <c r="S167" s="39" t="n">
        <v>0</v>
      </c>
      <c r="T167" s="40" t="n">
        <f aca="false">IF(M167=0,0,N167/M167)</f>
        <v>0.490384615384615</v>
      </c>
      <c r="U167" s="40" t="n">
        <f aca="false">IF(M167=0,0,O167/M167)</f>
        <v>0.115384615384615</v>
      </c>
      <c r="V167" s="41" t="n">
        <f aca="false">IF(M167=0,0,P167/M167)</f>
        <v>0</v>
      </c>
      <c r="W167" s="40" t="n">
        <f aca="false">IF(L167=0,0,Q167/L167)</f>
        <v>0.00952380952380953</v>
      </c>
    </row>
    <row r="168" customFormat="false" ht="15" hidden="false" customHeight="false" outlineLevel="0" collapsed="false">
      <c r="A168" s="37" t="s">
        <v>1420</v>
      </c>
      <c r="B168" s="38" t="n">
        <v>46210.229525463</v>
      </c>
      <c r="C168" s="37" t="s">
        <v>1201</v>
      </c>
      <c r="D168" s="37" t="s">
        <v>185</v>
      </c>
      <c r="E168" s="37" t="s">
        <v>186</v>
      </c>
      <c r="F168" s="37" t="s">
        <v>555</v>
      </c>
      <c r="G168" s="37"/>
      <c r="H168" s="37" t="s">
        <v>61</v>
      </c>
      <c r="I168" s="37" t="s">
        <v>183</v>
      </c>
      <c r="J168" s="37" t="s">
        <v>184</v>
      </c>
      <c r="K168" s="37" t="s">
        <v>1202</v>
      </c>
      <c r="L168" s="39" t="n">
        <v>69</v>
      </c>
      <c r="M168" s="39" t="n">
        <v>69</v>
      </c>
      <c r="N168" s="39" t="n">
        <v>24</v>
      </c>
      <c r="O168" s="39" t="n">
        <v>0</v>
      </c>
      <c r="P168" s="39" t="n">
        <v>0</v>
      </c>
      <c r="Q168" s="39" t="n">
        <v>0</v>
      </c>
      <c r="R168" s="39" t="n">
        <v>0</v>
      </c>
      <c r="S168" s="39" t="n">
        <v>0</v>
      </c>
      <c r="T168" s="40" t="n">
        <f aca="false">IF(M168=0,0,N168/M168)</f>
        <v>0.347826086956522</v>
      </c>
      <c r="U168" s="40" t="n">
        <f aca="false">IF(M168=0,0,O168/M168)</f>
        <v>0</v>
      </c>
      <c r="V168" s="41" t="n">
        <f aca="false">IF(M168=0,0,P168/M168)</f>
        <v>0</v>
      </c>
      <c r="W168" s="40" t="n">
        <f aca="false">IF(L168=0,0,Q168/L168)</f>
        <v>0</v>
      </c>
    </row>
    <row r="169" customFormat="false" ht="15" hidden="false" customHeight="false" outlineLevel="0" collapsed="false">
      <c r="A169" s="37" t="s">
        <v>1421</v>
      </c>
      <c r="B169" s="38" t="n">
        <v>46209.3334722222</v>
      </c>
      <c r="C169" s="37" t="s">
        <v>1201</v>
      </c>
      <c r="D169" s="37" t="s">
        <v>1422</v>
      </c>
      <c r="E169" s="37" t="s">
        <v>186</v>
      </c>
      <c r="F169" s="37" t="s">
        <v>555</v>
      </c>
      <c r="G169" s="37"/>
      <c r="H169" s="37" t="s">
        <v>61</v>
      </c>
      <c r="I169" s="37" t="s">
        <v>212</v>
      </c>
      <c r="J169" s="37" t="s">
        <v>191</v>
      </c>
      <c r="K169" s="37" t="s">
        <v>1202</v>
      </c>
      <c r="L169" s="39" t="n">
        <v>4368</v>
      </c>
      <c r="M169" s="39" t="n">
        <v>4291</v>
      </c>
      <c r="N169" s="39" t="n">
        <v>338</v>
      </c>
      <c r="O169" s="39" t="n">
        <v>49</v>
      </c>
      <c r="P169" s="39" t="n">
        <v>27</v>
      </c>
      <c r="Q169" s="39" t="n">
        <v>77</v>
      </c>
      <c r="R169" s="39" t="n">
        <v>56</v>
      </c>
      <c r="S169" s="39" t="n">
        <v>0</v>
      </c>
      <c r="T169" s="40" t="n">
        <f aca="false">IF(M169=0,0,N169/M169)</f>
        <v>0.0787695175949662</v>
      </c>
      <c r="U169" s="40" t="n">
        <f aca="false">IF(M169=0,0,O169/M169)</f>
        <v>0.0114192495921697</v>
      </c>
      <c r="V169" s="41" t="n">
        <f aca="false">IF(M169=0,0,P169/M169)</f>
        <v>0.00629223957119553</v>
      </c>
      <c r="W169" s="40" t="n">
        <f aca="false">IF(L169=0,0,Q169/L169)</f>
        <v>0.0176282051282051</v>
      </c>
    </row>
    <row r="170" customFormat="false" ht="15" hidden="false" customHeight="false" outlineLevel="0" collapsed="false">
      <c r="A170" s="37" t="s">
        <v>1423</v>
      </c>
      <c r="B170" s="38" t="n">
        <v>46209.2543402778</v>
      </c>
      <c r="C170" s="37" t="s">
        <v>1201</v>
      </c>
      <c r="D170" s="37" t="s">
        <v>1327</v>
      </c>
      <c r="E170" s="37" t="s">
        <v>1328</v>
      </c>
      <c r="F170" s="37" t="s">
        <v>544</v>
      </c>
      <c r="G170" s="37"/>
      <c r="H170" s="37" t="s">
        <v>60</v>
      </c>
      <c r="I170" s="37"/>
      <c r="J170" s="37" t="s">
        <v>144</v>
      </c>
      <c r="K170" s="37" t="s">
        <v>1202</v>
      </c>
      <c r="L170" s="39" t="n">
        <v>4180</v>
      </c>
      <c r="M170" s="39" t="n">
        <v>4041</v>
      </c>
      <c r="N170" s="39" t="n">
        <v>1179</v>
      </c>
      <c r="O170" s="39" t="n">
        <v>267</v>
      </c>
      <c r="P170" s="39" t="n">
        <v>50</v>
      </c>
      <c r="Q170" s="39" t="n">
        <v>139</v>
      </c>
      <c r="R170" s="39" t="n">
        <v>88</v>
      </c>
      <c r="S170" s="39" t="n">
        <v>0</v>
      </c>
      <c r="T170" s="40" t="n">
        <f aca="false">IF(M170=0,0,N170/M170)</f>
        <v>0.291759465478842</v>
      </c>
      <c r="U170" s="40" t="n">
        <f aca="false">IF(M170=0,0,O170/M170)</f>
        <v>0.0660727542687454</v>
      </c>
      <c r="V170" s="41" t="n">
        <f aca="false">IF(M170=0,0,P170/M170)</f>
        <v>0.0123731749566939</v>
      </c>
      <c r="W170" s="40" t="n">
        <f aca="false">IF(L170=0,0,Q170/L170)</f>
        <v>0.0332535885167464</v>
      </c>
    </row>
    <row r="171" customFormat="false" ht="15" hidden="false" customHeight="false" outlineLevel="0" collapsed="false">
      <c r="A171" s="37" t="s">
        <v>1424</v>
      </c>
      <c r="B171" s="38" t="n">
        <v>46207.7570833333</v>
      </c>
      <c r="C171" s="37" t="s">
        <v>1241</v>
      </c>
      <c r="D171" s="37" t="s">
        <v>1335</v>
      </c>
      <c r="E171" s="37" t="s">
        <v>1378</v>
      </c>
      <c r="F171" s="37" t="s">
        <v>550</v>
      </c>
      <c r="G171" s="37"/>
      <c r="H171" s="37" t="s">
        <v>63</v>
      </c>
      <c r="I171" s="37"/>
      <c r="J171" s="37" t="s">
        <v>151</v>
      </c>
      <c r="K171" s="37" t="s">
        <v>1202</v>
      </c>
      <c r="L171" s="39" t="n">
        <v>1808</v>
      </c>
      <c r="M171" s="39" t="n">
        <v>1808</v>
      </c>
      <c r="N171" s="39" t="n">
        <v>1127</v>
      </c>
      <c r="O171" s="39" t="n">
        <v>0</v>
      </c>
      <c r="P171" s="39" t="n">
        <v>0</v>
      </c>
      <c r="Q171" s="39" t="n">
        <v>0</v>
      </c>
      <c r="R171" s="39" t="n">
        <v>0</v>
      </c>
      <c r="S171" s="39" t="n">
        <v>0</v>
      </c>
      <c r="T171" s="40" t="n">
        <f aca="false">IF(M171=0,0,N171/M171)</f>
        <v>0.623340707964602</v>
      </c>
      <c r="U171" s="40" t="n">
        <f aca="false">IF(M171=0,0,O171/M171)</f>
        <v>0</v>
      </c>
      <c r="V171" s="41" t="n">
        <f aca="false">IF(M171=0,0,P171/M171)</f>
        <v>0</v>
      </c>
      <c r="W171" s="40" t="n">
        <f aca="false">IF(L171=0,0,Q171/L171)</f>
        <v>0</v>
      </c>
    </row>
    <row r="172" customFormat="false" ht="15" hidden="false" customHeight="false" outlineLevel="0" collapsed="false">
      <c r="A172" s="37" t="s">
        <v>1425</v>
      </c>
      <c r="B172" s="38" t="n">
        <v>46206.0928009259</v>
      </c>
      <c r="C172" s="37" t="s">
        <v>1201</v>
      </c>
      <c r="D172" s="37" t="s">
        <v>127</v>
      </c>
      <c r="E172" s="37" t="s">
        <v>128</v>
      </c>
      <c r="F172" s="37" t="s">
        <v>127</v>
      </c>
      <c r="G172" s="37"/>
      <c r="H172" s="37" t="s">
        <v>60</v>
      </c>
      <c r="I172" s="37"/>
      <c r="J172" s="37" t="s">
        <v>126</v>
      </c>
      <c r="K172" s="37" t="s">
        <v>1202</v>
      </c>
      <c r="L172" s="39" t="n">
        <v>21</v>
      </c>
      <c r="M172" s="39" t="n">
        <v>21</v>
      </c>
      <c r="N172" s="39" t="n">
        <v>15</v>
      </c>
      <c r="O172" s="39" t="n">
        <v>10</v>
      </c>
      <c r="P172" s="39" t="n">
        <v>0</v>
      </c>
      <c r="Q172" s="39" t="n">
        <v>0</v>
      </c>
      <c r="R172" s="39" t="n">
        <v>0</v>
      </c>
      <c r="S172" s="39" t="n">
        <v>0</v>
      </c>
      <c r="T172" s="40" t="n">
        <f aca="false">IF(M172=0,0,N172/M172)</f>
        <v>0.714285714285714</v>
      </c>
      <c r="U172" s="40" t="n">
        <f aca="false">IF(M172=0,0,O172/M172)</f>
        <v>0.476190476190476</v>
      </c>
      <c r="V172" s="41" t="n">
        <f aca="false">IF(M172=0,0,P172/M172)</f>
        <v>0</v>
      </c>
      <c r="W172" s="40" t="n">
        <f aca="false">IF(L172=0,0,Q172/L172)</f>
        <v>0</v>
      </c>
    </row>
    <row r="173" customFormat="false" ht="15" hidden="false" customHeight="false" outlineLevel="0" collapsed="false">
      <c r="A173" s="37" t="s">
        <v>1426</v>
      </c>
      <c r="B173" s="38" t="n">
        <v>46205.8750694445</v>
      </c>
      <c r="C173" s="37" t="s">
        <v>1201</v>
      </c>
      <c r="D173" s="37" t="s">
        <v>152</v>
      </c>
      <c r="E173" s="37" t="s">
        <v>1204</v>
      </c>
      <c r="F173" s="37" t="s">
        <v>152</v>
      </c>
      <c r="G173" s="37"/>
      <c r="H173" s="37" t="s">
        <v>67</v>
      </c>
      <c r="I173" s="37"/>
      <c r="J173" s="37" t="s">
        <v>151</v>
      </c>
      <c r="K173" s="37" t="s">
        <v>1202</v>
      </c>
      <c r="L173" s="39" t="n">
        <v>75</v>
      </c>
      <c r="M173" s="39" t="n">
        <v>75</v>
      </c>
      <c r="N173" s="39" t="n">
        <v>31</v>
      </c>
      <c r="O173" s="39" t="n">
        <v>0</v>
      </c>
      <c r="P173" s="39" t="n">
        <v>0</v>
      </c>
      <c r="Q173" s="39" t="n">
        <v>0</v>
      </c>
      <c r="R173" s="39" t="n">
        <v>0</v>
      </c>
      <c r="S173" s="39" t="n">
        <v>0</v>
      </c>
      <c r="T173" s="40" t="n">
        <f aca="false">IF(M173=0,0,N173/M173)</f>
        <v>0.413333333333333</v>
      </c>
      <c r="U173" s="40" t="n">
        <f aca="false">IF(M173=0,0,O173/M173)</f>
        <v>0</v>
      </c>
      <c r="V173" s="41" t="n">
        <f aca="false">IF(M173=0,0,P173/M173)</f>
        <v>0</v>
      </c>
      <c r="W173" s="40" t="n">
        <f aca="false">IF(L173=0,0,Q173/L173)</f>
        <v>0</v>
      </c>
    </row>
    <row r="174" customFormat="false" ht="15" hidden="false" customHeight="false" outlineLevel="0" collapsed="false">
      <c r="A174" s="37" t="s">
        <v>1427</v>
      </c>
      <c r="B174" s="38" t="n">
        <v>46205.1742361111</v>
      </c>
      <c r="C174" s="37" t="s">
        <v>1201</v>
      </c>
      <c r="D174" s="37" t="s">
        <v>237</v>
      </c>
      <c r="E174" s="37" t="s">
        <v>238</v>
      </c>
      <c r="F174" s="37" t="s">
        <v>559</v>
      </c>
      <c r="G174" s="37" t="s">
        <v>1297</v>
      </c>
      <c r="H174" s="37" t="s">
        <v>60</v>
      </c>
      <c r="I174" s="37"/>
      <c r="J174" s="37" t="s">
        <v>236</v>
      </c>
      <c r="K174" s="37" t="s">
        <v>1202</v>
      </c>
      <c r="L174" s="39" t="n">
        <v>4437</v>
      </c>
      <c r="M174" s="39" t="n">
        <v>4415</v>
      </c>
      <c r="N174" s="39" t="n">
        <v>631</v>
      </c>
      <c r="O174" s="39" t="n">
        <v>166</v>
      </c>
      <c r="P174" s="39" t="n">
        <v>4</v>
      </c>
      <c r="Q174" s="39" t="n">
        <v>22</v>
      </c>
      <c r="R174" s="39" t="n">
        <v>14</v>
      </c>
      <c r="S174" s="39" t="n">
        <v>0</v>
      </c>
      <c r="T174" s="40" t="n">
        <f aca="false">IF(M174=0,0,N174/M174)</f>
        <v>0.142921857304643</v>
      </c>
      <c r="U174" s="40" t="n">
        <f aca="false">IF(M174=0,0,O174/M174)</f>
        <v>0.037599093997735</v>
      </c>
      <c r="V174" s="41" t="n">
        <f aca="false">IF(M174=0,0,P174/M174)</f>
        <v>0.000906002265005663</v>
      </c>
      <c r="W174" s="40" t="n">
        <f aca="false">IF(L174=0,0,Q174/L174)</f>
        <v>0.00495830516114492</v>
      </c>
    </row>
    <row r="175" customFormat="false" ht="15" hidden="false" customHeight="false" outlineLevel="0" collapsed="false">
      <c r="A175" s="37" t="s">
        <v>1428</v>
      </c>
      <c r="B175" s="38" t="n">
        <v>46204.3546759259</v>
      </c>
      <c r="C175" s="37" t="s">
        <v>1252</v>
      </c>
      <c r="D175" s="37" t="s">
        <v>217</v>
      </c>
      <c r="E175" s="37" t="s">
        <v>193</v>
      </c>
      <c r="F175" s="37" t="s">
        <v>555</v>
      </c>
      <c r="G175" s="37" t="s">
        <v>1119</v>
      </c>
      <c r="H175" s="37" t="s">
        <v>61</v>
      </c>
      <c r="I175" s="37" t="s">
        <v>216</v>
      </c>
      <c r="J175" s="37" t="s">
        <v>191</v>
      </c>
      <c r="K175" s="37" t="s">
        <v>1202</v>
      </c>
      <c r="L175" s="39" t="n">
        <v>2968</v>
      </c>
      <c r="M175" s="39" t="n">
        <v>2935</v>
      </c>
      <c r="N175" s="39" t="n">
        <v>496</v>
      </c>
      <c r="O175" s="39" t="n">
        <v>35</v>
      </c>
      <c r="P175" s="39" t="n">
        <v>17</v>
      </c>
      <c r="Q175" s="39" t="n">
        <v>33</v>
      </c>
      <c r="R175" s="39" t="n">
        <v>6</v>
      </c>
      <c r="S175" s="39" t="n">
        <v>0</v>
      </c>
      <c r="T175" s="40" t="n">
        <f aca="false">IF(M175=0,0,N175/M175)</f>
        <v>0.168994889267462</v>
      </c>
      <c r="U175" s="40" t="n">
        <f aca="false">IF(M175=0,0,O175/M175)</f>
        <v>0.0119250425894378</v>
      </c>
      <c r="V175" s="41" t="n">
        <f aca="false">IF(M175=0,0,P175/M175)</f>
        <v>0.00579216354344123</v>
      </c>
      <c r="W175" s="40" t="n">
        <f aca="false">IF(L175=0,0,Q175/L175)</f>
        <v>0.0111185983827493</v>
      </c>
    </row>
    <row r="176" customFormat="false" ht="15" hidden="false" customHeight="false" outlineLevel="0" collapsed="false">
      <c r="A176" s="37" t="s">
        <v>1429</v>
      </c>
      <c r="B176" s="38" t="n">
        <v>46204.054525463</v>
      </c>
      <c r="C176" s="37" t="s">
        <v>1201</v>
      </c>
      <c r="D176" s="37" t="s">
        <v>152</v>
      </c>
      <c r="E176" s="37" t="s">
        <v>1344</v>
      </c>
      <c r="F176" s="37" t="s">
        <v>152</v>
      </c>
      <c r="G176" s="37"/>
      <c r="H176" s="37" t="s">
        <v>67</v>
      </c>
      <c r="I176" s="37"/>
      <c r="J176" s="37" t="s">
        <v>151</v>
      </c>
      <c r="K176" s="37" t="s">
        <v>1202</v>
      </c>
      <c r="L176" s="39" t="n">
        <v>1</v>
      </c>
      <c r="M176" s="39" t="n">
        <v>1</v>
      </c>
      <c r="N176" s="39" t="n">
        <v>1</v>
      </c>
      <c r="O176" s="39" t="n">
        <v>1</v>
      </c>
      <c r="P176" s="39" t="n">
        <v>0</v>
      </c>
      <c r="Q176" s="39" t="n">
        <v>0</v>
      </c>
      <c r="R176" s="39" t="n">
        <v>0</v>
      </c>
      <c r="S176" s="39" t="n">
        <v>0</v>
      </c>
      <c r="T176" s="40" t="n">
        <f aca="false">IF(M176=0,0,N176/M176)</f>
        <v>1</v>
      </c>
      <c r="U176" s="40" t="n">
        <f aca="false">IF(M176=0,0,O176/M176)</f>
        <v>1</v>
      </c>
      <c r="V176" s="41" t="n">
        <f aca="false">IF(M176=0,0,P176/M176)</f>
        <v>0</v>
      </c>
      <c r="W176" s="40" t="n">
        <f aca="false">IF(L176=0,0,Q176/L176)</f>
        <v>0</v>
      </c>
    </row>
    <row r="177" customFormat="false" ht="15" hidden="false" customHeight="false" outlineLevel="0" collapsed="false">
      <c r="A177" s="37" t="s">
        <v>1430</v>
      </c>
      <c r="B177" s="38" t="n">
        <v>46203.9169791667</v>
      </c>
      <c r="C177" s="37" t="s">
        <v>1201</v>
      </c>
      <c r="D177" s="37" t="s">
        <v>152</v>
      </c>
      <c r="E177" s="37" t="s">
        <v>1344</v>
      </c>
      <c r="F177" s="37" t="s">
        <v>152</v>
      </c>
      <c r="G177" s="37"/>
      <c r="H177" s="37" t="s">
        <v>67</v>
      </c>
      <c r="I177" s="37"/>
      <c r="J177" s="37" t="s">
        <v>151</v>
      </c>
      <c r="K177" s="37" t="s">
        <v>1202</v>
      </c>
      <c r="L177" s="39" t="n">
        <v>73</v>
      </c>
      <c r="M177" s="39" t="n">
        <v>73</v>
      </c>
      <c r="N177" s="39" t="n">
        <v>35</v>
      </c>
      <c r="O177" s="39" t="n">
        <v>16</v>
      </c>
      <c r="P177" s="39" t="n">
        <v>0</v>
      </c>
      <c r="Q177" s="39" t="n">
        <v>0</v>
      </c>
      <c r="R177" s="39" t="n">
        <v>0</v>
      </c>
      <c r="S177" s="39" t="n">
        <v>0</v>
      </c>
      <c r="T177" s="40" t="n">
        <f aca="false">IF(M177=0,0,N177/M177)</f>
        <v>0.479452054794521</v>
      </c>
      <c r="U177" s="40" t="n">
        <f aca="false">IF(M177=0,0,O177/M177)</f>
        <v>0.219178082191781</v>
      </c>
      <c r="V177" s="41" t="n">
        <f aca="false">IF(M177=0,0,P177/M177)</f>
        <v>0</v>
      </c>
      <c r="W177" s="40" t="n">
        <f aca="false">IF(L177=0,0,Q177/L177)</f>
        <v>0</v>
      </c>
    </row>
    <row r="178" customFormat="false" ht="15" hidden="false" customHeight="false" outlineLevel="0" collapsed="false">
      <c r="A178" s="37" t="s">
        <v>1431</v>
      </c>
      <c r="B178" s="38" t="n">
        <v>46203.4043981481</v>
      </c>
      <c r="C178" s="37" t="s">
        <v>1201</v>
      </c>
      <c r="D178" s="37" t="s">
        <v>1211</v>
      </c>
      <c r="E178" s="37" t="s">
        <v>1212</v>
      </c>
      <c r="F178" s="37" t="s">
        <v>544</v>
      </c>
      <c r="G178" s="37"/>
      <c r="H178" s="37" t="s">
        <v>63</v>
      </c>
      <c r="I178" s="37"/>
      <c r="J178" s="37" t="s">
        <v>100</v>
      </c>
      <c r="K178" s="37" t="s">
        <v>1213</v>
      </c>
      <c r="L178" s="39" t="n">
        <v>129</v>
      </c>
      <c r="M178" s="39" t="n">
        <v>129</v>
      </c>
      <c r="N178" s="39" t="n">
        <v>55</v>
      </c>
      <c r="O178" s="39" t="n">
        <v>4</v>
      </c>
      <c r="P178" s="39" t="n">
        <v>0</v>
      </c>
      <c r="Q178" s="39" t="n">
        <v>0</v>
      </c>
      <c r="R178" s="39" t="n">
        <v>0</v>
      </c>
      <c r="S178" s="39" t="n">
        <v>0</v>
      </c>
      <c r="T178" s="40" t="n">
        <f aca="false">IF(M178=0,0,N178/M178)</f>
        <v>0.426356589147287</v>
      </c>
      <c r="U178" s="40" t="n">
        <f aca="false">IF(M178=0,0,O178/M178)</f>
        <v>0.0310077519379845</v>
      </c>
      <c r="V178" s="41" t="n">
        <f aca="false">IF(M178=0,0,P178/M178)</f>
        <v>0</v>
      </c>
      <c r="W178" s="40" t="n">
        <f aca="false">IF(L178=0,0,Q178/L178)</f>
        <v>0</v>
      </c>
    </row>
    <row r="179" customFormat="false" ht="15" hidden="false" customHeight="false" outlineLevel="0" collapsed="false">
      <c r="A179" s="37" t="s">
        <v>1432</v>
      </c>
      <c r="B179" s="38" t="n">
        <v>46203.3365393519</v>
      </c>
      <c r="C179" s="37" t="s">
        <v>1201</v>
      </c>
      <c r="D179" s="37" t="s">
        <v>116</v>
      </c>
      <c r="E179" s="37" t="s">
        <v>117</v>
      </c>
      <c r="F179" s="37" t="s">
        <v>555</v>
      </c>
      <c r="G179" s="37" t="s">
        <v>1118</v>
      </c>
      <c r="H179" s="37" t="s">
        <v>61</v>
      </c>
      <c r="I179" s="37" t="s">
        <v>114</v>
      </c>
      <c r="J179" s="37" t="s">
        <v>115</v>
      </c>
      <c r="K179" s="37" t="s">
        <v>1202</v>
      </c>
      <c r="L179" s="39" t="n">
        <v>4850</v>
      </c>
      <c r="M179" s="39" t="n">
        <v>4799</v>
      </c>
      <c r="N179" s="39" t="n">
        <v>945</v>
      </c>
      <c r="O179" s="39" t="n">
        <v>133</v>
      </c>
      <c r="P179" s="39" t="n">
        <v>37</v>
      </c>
      <c r="Q179" s="39" t="n">
        <v>51</v>
      </c>
      <c r="R179" s="39" t="n">
        <v>28</v>
      </c>
      <c r="S179" s="39" t="n">
        <v>1</v>
      </c>
      <c r="T179" s="40" t="n">
        <f aca="false">IF(M179=0,0,N179/M179)</f>
        <v>0.196916024171702</v>
      </c>
      <c r="U179" s="40" t="n">
        <f aca="false">IF(M179=0,0,O179/M179)</f>
        <v>0.027714107105647</v>
      </c>
      <c r="V179" s="41" t="n">
        <f aca="false">IF(M179=0,0,P179/M179)</f>
        <v>0.00770993957074391</v>
      </c>
      <c r="W179" s="40" t="n">
        <f aca="false">IF(L179=0,0,Q179/L179)</f>
        <v>0.0105154639175258</v>
      </c>
    </row>
    <row r="180" customFormat="false" ht="15" hidden="false" customHeight="false" outlineLevel="0" collapsed="false">
      <c r="A180" s="37" t="s">
        <v>1433</v>
      </c>
      <c r="B180" s="38" t="n">
        <v>46203.1696412037</v>
      </c>
      <c r="C180" s="37" t="s">
        <v>1201</v>
      </c>
      <c r="D180" s="37" t="s">
        <v>110</v>
      </c>
      <c r="E180" s="37" t="s">
        <v>252</v>
      </c>
      <c r="F180" s="37" t="s">
        <v>555</v>
      </c>
      <c r="G180" s="37" t="s">
        <v>1215</v>
      </c>
      <c r="H180" s="37" t="s">
        <v>61</v>
      </c>
      <c r="I180" s="37" t="s">
        <v>107</v>
      </c>
      <c r="J180" s="37" t="s">
        <v>109</v>
      </c>
      <c r="K180" s="37" t="s">
        <v>1202</v>
      </c>
      <c r="L180" s="39" t="n">
        <v>6910</v>
      </c>
      <c r="M180" s="39" t="n">
        <v>6853</v>
      </c>
      <c r="N180" s="39" t="n">
        <v>1570</v>
      </c>
      <c r="O180" s="39" t="n">
        <v>48</v>
      </c>
      <c r="P180" s="39" t="n">
        <v>59</v>
      </c>
      <c r="Q180" s="39" t="n">
        <v>57</v>
      </c>
      <c r="R180" s="39" t="n">
        <v>28</v>
      </c>
      <c r="S180" s="39" t="n">
        <v>3</v>
      </c>
      <c r="T180" s="40" t="n">
        <f aca="false">IF(M180=0,0,N180/M180)</f>
        <v>0.229096745950679</v>
      </c>
      <c r="U180" s="40" t="n">
        <f aca="false">IF(M180=0,0,O180/M180)</f>
        <v>0.00700423172333285</v>
      </c>
      <c r="V180" s="41" t="n">
        <f aca="false">IF(M180=0,0,P180/M180)</f>
        <v>0.00860936815992996</v>
      </c>
      <c r="W180" s="40" t="n">
        <f aca="false">IF(L180=0,0,Q180/L180)</f>
        <v>0.00824891461649783</v>
      </c>
    </row>
    <row r="181" customFormat="false" ht="15" hidden="false" customHeight="false" outlineLevel="0" collapsed="false">
      <c r="A181" s="37" t="s">
        <v>1434</v>
      </c>
      <c r="B181" s="38" t="n">
        <v>46203.1556712963</v>
      </c>
      <c r="C181" s="37" t="s">
        <v>1201</v>
      </c>
      <c r="D181" s="37" t="s">
        <v>1435</v>
      </c>
      <c r="E181" s="37" t="s">
        <v>1436</v>
      </c>
      <c r="F181" s="37" t="s">
        <v>544</v>
      </c>
      <c r="G181" s="37"/>
      <c r="H181" s="37" t="s">
        <v>60</v>
      </c>
      <c r="I181" s="37"/>
      <c r="J181" s="37" t="s">
        <v>144</v>
      </c>
      <c r="K181" s="37" t="s">
        <v>1202</v>
      </c>
      <c r="L181" s="39" t="n">
        <v>598</v>
      </c>
      <c r="M181" s="39" t="n">
        <v>594</v>
      </c>
      <c r="N181" s="39" t="n">
        <v>198</v>
      </c>
      <c r="O181" s="39" t="n">
        <v>18</v>
      </c>
      <c r="P181" s="39" t="n">
        <v>6</v>
      </c>
      <c r="Q181" s="39" t="n">
        <v>4</v>
      </c>
      <c r="R181" s="39" t="n">
        <v>1</v>
      </c>
      <c r="S181" s="39" t="n">
        <v>0</v>
      </c>
      <c r="T181" s="40" t="n">
        <f aca="false">IF(M181=0,0,N181/M181)</f>
        <v>0.333333333333333</v>
      </c>
      <c r="U181" s="40" t="n">
        <f aca="false">IF(M181=0,0,O181/M181)</f>
        <v>0.0303030303030303</v>
      </c>
      <c r="V181" s="41" t="n">
        <f aca="false">IF(M181=0,0,P181/M181)</f>
        <v>0.0101010101010101</v>
      </c>
      <c r="W181" s="40" t="n">
        <f aca="false">IF(L181=0,0,Q181/L181)</f>
        <v>0.00668896321070234</v>
      </c>
    </row>
    <row r="182" customFormat="false" ht="15" hidden="false" customHeight="false" outlineLevel="0" collapsed="false">
      <c r="A182" s="37" t="s">
        <v>1437</v>
      </c>
      <c r="B182" s="38" t="n">
        <v>46203.125150463</v>
      </c>
      <c r="C182" s="37" t="s">
        <v>1201</v>
      </c>
      <c r="D182" s="37" t="s">
        <v>237</v>
      </c>
      <c r="E182" s="37" t="s">
        <v>238</v>
      </c>
      <c r="F182" s="37" t="s">
        <v>559</v>
      </c>
      <c r="G182" s="37" t="s">
        <v>1297</v>
      </c>
      <c r="H182" s="37" t="s">
        <v>60</v>
      </c>
      <c r="I182" s="37"/>
      <c r="J182" s="37" t="s">
        <v>236</v>
      </c>
      <c r="K182" s="37" t="s">
        <v>1202</v>
      </c>
      <c r="L182" s="39" t="n">
        <v>1079</v>
      </c>
      <c r="M182" s="39" t="n">
        <v>1079</v>
      </c>
      <c r="N182" s="39" t="n">
        <v>265</v>
      </c>
      <c r="O182" s="39" t="n">
        <v>86</v>
      </c>
      <c r="P182" s="39" t="n">
        <v>2</v>
      </c>
      <c r="Q182" s="39" t="n">
        <v>0</v>
      </c>
      <c r="R182" s="39" t="n">
        <v>0</v>
      </c>
      <c r="S182" s="39" t="n">
        <v>0</v>
      </c>
      <c r="T182" s="40" t="n">
        <f aca="false">IF(M182=0,0,N182/M182)</f>
        <v>0.245597775718258</v>
      </c>
      <c r="U182" s="40" t="n">
        <f aca="false">IF(M182=0,0,O182/M182)</f>
        <v>0.0797034291010195</v>
      </c>
      <c r="V182" s="41" t="n">
        <f aca="false">IF(M182=0,0,P182/M182)</f>
        <v>0.00185356811862836</v>
      </c>
      <c r="W182" s="40" t="n">
        <f aca="false">IF(L182=0,0,Q182/L182)</f>
        <v>0</v>
      </c>
    </row>
    <row r="183" customFormat="false" ht="15" hidden="false" customHeight="false" outlineLevel="0" collapsed="false">
      <c r="A183" s="37" t="s">
        <v>1438</v>
      </c>
      <c r="B183" s="38" t="n">
        <v>46203.0209606482</v>
      </c>
      <c r="C183" s="37" t="s">
        <v>1201</v>
      </c>
      <c r="D183" s="37" t="s">
        <v>171</v>
      </c>
      <c r="E183" s="37" t="s">
        <v>172</v>
      </c>
      <c r="F183" s="37" t="s">
        <v>555</v>
      </c>
      <c r="G183" s="37"/>
      <c r="H183" s="37" t="s">
        <v>61</v>
      </c>
      <c r="I183" s="37" t="s">
        <v>169</v>
      </c>
      <c r="J183" s="37" t="s">
        <v>170</v>
      </c>
      <c r="K183" s="37" t="s">
        <v>1202</v>
      </c>
      <c r="L183" s="39" t="n">
        <v>1396</v>
      </c>
      <c r="M183" s="39" t="n">
        <v>1384</v>
      </c>
      <c r="N183" s="39" t="n">
        <v>404</v>
      </c>
      <c r="O183" s="39" t="n">
        <v>33</v>
      </c>
      <c r="P183" s="39" t="n">
        <v>16</v>
      </c>
      <c r="Q183" s="39" t="n">
        <v>12</v>
      </c>
      <c r="R183" s="39" t="n">
        <v>10</v>
      </c>
      <c r="S183" s="39" t="n">
        <v>0</v>
      </c>
      <c r="T183" s="40" t="n">
        <f aca="false">IF(M183=0,0,N183/M183)</f>
        <v>0.291907514450867</v>
      </c>
      <c r="U183" s="40" t="n">
        <f aca="false">IF(M183=0,0,O183/M183)</f>
        <v>0.0238439306358382</v>
      </c>
      <c r="V183" s="41" t="n">
        <f aca="false">IF(M183=0,0,P183/M183)</f>
        <v>0.0115606936416185</v>
      </c>
      <c r="W183" s="40" t="n">
        <f aca="false">IF(L183=0,0,Q183/L183)</f>
        <v>0.00859598853868195</v>
      </c>
    </row>
    <row r="184" customFormat="false" ht="15" hidden="false" customHeight="false" outlineLevel="0" collapsed="false">
      <c r="A184" s="37" t="s">
        <v>1439</v>
      </c>
      <c r="B184" s="38" t="n">
        <v>46202.9797222222</v>
      </c>
      <c r="C184" s="37" t="s">
        <v>1201</v>
      </c>
      <c r="D184" s="37" t="s">
        <v>647</v>
      </c>
      <c r="E184" s="37" t="s">
        <v>238</v>
      </c>
      <c r="F184" s="37" t="s">
        <v>544</v>
      </c>
      <c r="G184" s="37" t="s">
        <v>1297</v>
      </c>
      <c r="H184" s="37" t="s">
        <v>60</v>
      </c>
      <c r="I184" s="37"/>
      <c r="J184" s="37" t="s">
        <v>236</v>
      </c>
      <c r="K184" s="37" t="s">
        <v>1202</v>
      </c>
      <c r="L184" s="39" t="n">
        <v>3004</v>
      </c>
      <c r="M184" s="39" t="n">
        <v>2990</v>
      </c>
      <c r="N184" s="39" t="n">
        <v>643</v>
      </c>
      <c r="O184" s="39" t="n">
        <v>25</v>
      </c>
      <c r="P184" s="39" t="n">
        <v>16</v>
      </c>
      <c r="Q184" s="39" t="n">
        <v>14</v>
      </c>
      <c r="R184" s="39" t="n">
        <v>6</v>
      </c>
      <c r="S184" s="39" t="n">
        <v>0</v>
      </c>
      <c r="T184" s="40" t="n">
        <f aca="false">IF(M184=0,0,N184/M184)</f>
        <v>0.21505016722408</v>
      </c>
      <c r="U184" s="40" t="n">
        <f aca="false">IF(M184=0,0,O184/M184)</f>
        <v>0.00836120401337793</v>
      </c>
      <c r="V184" s="41" t="n">
        <f aca="false">IF(M184=0,0,P184/M184)</f>
        <v>0.00535117056856187</v>
      </c>
      <c r="W184" s="40" t="n">
        <f aca="false">IF(L184=0,0,Q184/L184)</f>
        <v>0.00466045272969374</v>
      </c>
    </row>
    <row r="185" customFormat="false" ht="15" hidden="false" customHeight="false" outlineLevel="0" collapsed="false">
      <c r="A185" s="37" t="s">
        <v>1434</v>
      </c>
      <c r="B185" s="38" t="n">
        <v>46202.876400463</v>
      </c>
      <c r="C185" s="37" t="s">
        <v>1201</v>
      </c>
      <c r="D185" s="37" t="s">
        <v>1435</v>
      </c>
      <c r="E185" s="37" t="s">
        <v>1436</v>
      </c>
      <c r="F185" s="37" t="s">
        <v>544</v>
      </c>
      <c r="G185" s="37"/>
      <c r="H185" s="37" t="s">
        <v>60</v>
      </c>
      <c r="I185" s="37"/>
      <c r="J185" s="37" t="s">
        <v>144</v>
      </c>
      <c r="K185" s="37" t="s">
        <v>1202</v>
      </c>
      <c r="L185" s="39" t="n">
        <v>22</v>
      </c>
      <c r="M185" s="39" t="n">
        <v>22</v>
      </c>
      <c r="N185" s="39" t="n">
        <v>5</v>
      </c>
      <c r="O185" s="39" t="n">
        <v>1</v>
      </c>
      <c r="P185" s="39" t="n">
        <v>0</v>
      </c>
      <c r="Q185" s="39" t="n">
        <v>0</v>
      </c>
      <c r="R185" s="39" t="n">
        <v>0</v>
      </c>
      <c r="S185" s="39" t="n">
        <v>0</v>
      </c>
      <c r="T185" s="40" t="n">
        <f aca="false">IF(M185=0,0,N185/M185)</f>
        <v>0.227272727272727</v>
      </c>
      <c r="U185" s="40" t="n">
        <f aca="false">IF(M185=0,0,O185/M185)</f>
        <v>0.0454545454545455</v>
      </c>
      <c r="V185" s="41" t="n">
        <f aca="false">IF(M185=0,0,P185/M185)</f>
        <v>0</v>
      </c>
      <c r="W185" s="40" t="n">
        <f aca="false">IF(L185=0,0,Q185/L185)</f>
        <v>0</v>
      </c>
    </row>
    <row r="186" customFormat="false" ht="15" hidden="false" customHeight="false" outlineLevel="0" collapsed="false">
      <c r="A186" s="37" t="s">
        <v>1440</v>
      </c>
      <c r="B186" s="38" t="n">
        <v>46202.7102199074</v>
      </c>
      <c r="C186" s="37" t="s">
        <v>1201</v>
      </c>
      <c r="D186" s="37" t="s">
        <v>160</v>
      </c>
      <c r="E186" s="37" t="s">
        <v>160</v>
      </c>
      <c r="F186" s="37" t="s">
        <v>555</v>
      </c>
      <c r="G186" s="37" t="s">
        <v>1441</v>
      </c>
      <c r="H186" s="37" t="s">
        <v>61</v>
      </c>
      <c r="I186" s="37" t="s">
        <v>157</v>
      </c>
      <c r="J186" s="37" t="s">
        <v>158</v>
      </c>
      <c r="K186" s="37" t="s">
        <v>1202</v>
      </c>
      <c r="L186" s="39" t="n">
        <v>1878</v>
      </c>
      <c r="M186" s="39" t="n">
        <v>1864</v>
      </c>
      <c r="N186" s="39" t="n">
        <v>636</v>
      </c>
      <c r="O186" s="39" t="n">
        <v>72</v>
      </c>
      <c r="P186" s="39" t="n">
        <v>10</v>
      </c>
      <c r="Q186" s="39" t="n">
        <v>14</v>
      </c>
      <c r="R186" s="39" t="n">
        <v>12</v>
      </c>
      <c r="S186" s="39" t="n">
        <v>0</v>
      </c>
      <c r="T186" s="40" t="n">
        <f aca="false">IF(M186=0,0,N186/M186)</f>
        <v>0.341201716738197</v>
      </c>
      <c r="U186" s="40" t="n">
        <f aca="false">IF(M186=0,0,O186/M186)</f>
        <v>0.0386266094420601</v>
      </c>
      <c r="V186" s="41" t="n">
        <f aca="false">IF(M186=0,0,P186/M186)</f>
        <v>0.00536480686695279</v>
      </c>
      <c r="W186" s="40" t="n">
        <f aca="false">IF(L186=0,0,Q186/L186)</f>
        <v>0.00745473908413206</v>
      </c>
    </row>
    <row r="187" customFormat="false" ht="15" hidden="false" customHeight="false" outlineLevel="0" collapsed="false">
      <c r="A187" s="37" t="s">
        <v>1442</v>
      </c>
      <c r="B187" s="38" t="n">
        <v>46202.4586458333</v>
      </c>
      <c r="C187" s="37" t="s">
        <v>1201</v>
      </c>
      <c r="D187" s="37" t="s">
        <v>297</v>
      </c>
      <c r="E187" s="37" t="s">
        <v>1209</v>
      </c>
      <c r="F187" s="37" t="s">
        <v>537</v>
      </c>
      <c r="G187" s="37"/>
      <c r="H187" s="37" t="s">
        <v>61</v>
      </c>
      <c r="I187" s="37" t="s">
        <v>294</v>
      </c>
      <c r="J187" s="37" t="s">
        <v>296</v>
      </c>
      <c r="K187" s="37" t="s">
        <v>1202</v>
      </c>
      <c r="L187" s="39" t="n">
        <v>680</v>
      </c>
      <c r="M187" s="39" t="n">
        <v>680</v>
      </c>
      <c r="N187" s="39" t="n">
        <v>497</v>
      </c>
      <c r="O187" s="39" t="n">
        <v>49</v>
      </c>
      <c r="P187" s="39" t="n">
        <v>0</v>
      </c>
      <c r="Q187" s="39" t="n">
        <v>0</v>
      </c>
      <c r="R187" s="39" t="n">
        <v>0</v>
      </c>
      <c r="S187" s="39" t="n">
        <v>0</v>
      </c>
      <c r="T187" s="40" t="n">
        <f aca="false">IF(M187=0,0,N187/M187)</f>
        <v>0.730882352941176</v>
      </c>
      <c r="U187" s="40" t="n">
        <f aca="false">IF(M187=0,0,O187/M187)</f>
        <v>0.0720588235294118</v>
      </c>
      <c r="V187" s="41" t="n">
        <f aca="false">IF(M187=0,0,P187/M187)</f>
        <v>0</v>
      </c>
      <c r="W187" s="40" t="n">
        <f aca="false">IF(L187=0,0,Q187/L187)</f>
        <v>0</v>
      </c>
    </row>
    <row r="188" customFormat="false" ht="15" hidden="false" customHeight="false" outlineLevel="0" collapsed="false">
      <c r="A188" s="37" t="s">
        <v>1443</v>
      </c>
      <c r="B188" s="38" t="n">
        <v>46202.3499421296</v>
      </c>
      <c r="C188" s="37" t="s">
        <v>1201</v>
      </c>
      <c r="D188" s="37" t="s">
        <v>1211</v>
      </c>
      <c r="E188" s="37" t="s">
        <v>1212</v>
      </c>
      <c r="F188" s="37" t="s">
        <v>544</v>
      </c>
      <c r="G188" s="37"/>
      <c r="H188" s="37" t="s">
        <v>60</v>
      </c>
      <c r="I188" s="37"/>
      <c r="J188" s="37" t="s">
        <v>100</v>
      </c>
      <c r="K188" s="37" t="s">
        <v>1213</v>
      </c>
      <c r="L188" s="39" t="n">
        <v>129</v>
      </c>
      <c r="M188" s="39" t="n">
        <v>129</v>
      </c>
      <c r="N188" s="39" t="n">
        <v>71</v>
      </c>
      <c r="O188" s="39" t="n">
        <v>0</v>
      </c>
      <c r="P188" s="39" t="n">
        <v>0</v>
      </c>
      <c r="Q188" s="39" t="n">
        <v>0</v>
      </c>
      <c r="R188" s="39" t="n">
        <v>0</v>
      </c>
      <c r="S188" s="39" t="n">
        <v>0</v>
      </c>
      <c r="T188" s="40" t="n">
        <f aca="false">IF(M188=0,0,N188/M188)</f>
        <v>0.550387596899225</v>
      </c>
      <c r="U188" s="40" t="n">
        <f aca="false">IF(M188=0,0,O188/M188)</f>
        <v>0</v>
      </c>
      <c r="V188" s="41" t="n">
        <f aca="false">IF(M188=0,0,P188/M188)</f>
        <v>0</v>
      </c>
      <c r="W188" s="40" t="n">
        <f aca="false">IF(L188=0,0,Q188/L188)</f>
        <v>0</v>
      </c>
    </row>
    <row r="189" customFormat="false" ht="15" hidden="false" customHeight="false" outlineLevel="0" collapsed="false">
      <c r="A189" s="37" t="s">
        <v>1444</v>
      </c>
      <c r="B189" s="38" t="n">
        <v>46201.1369675926</v>
      </c>
      <c r="C189" s="37" t="s">
        <v>1241</v>
      </c>
      <c r="D189" s="37" t="s">
        <v>1335</v>
      </c>
      <c r="E189" s="37" t="s">
        <v>1378</v>
      </c>
      <c r="F189" s="37" t="s">
        <v>550</v>
      </c>
      <c r="G189" s="37"/>
      <c r="H189" s="37" t="s">
        <v>63</v>
      </c>
      <c r="I189" s="37"/>
      <c r="J189" s="37" t="s">
        <v>151</v>
      </c>
      <c r="K189" s="37" t="s">
        <v>1202</v>
      </c>
      <c r="L189" s="39" t="n">
        <v>70</v>
      </c>
      <c r="M189" s="39" t="n">
        <v>69</v>
      </c>
      <c r="N189" s="39" t="n">
        <v>64</v>
      </c>
      <c r="O189" s="39" t="n">
        <v>0</v>
      </c>
      <c r="P189" s="39" t="n">
        <v>0</v>
      </c>
      <c r="Q189" s="39" t="n">
        <v>1</v>
      </c>
      <c r="R189" s="39" t="n">
        <v>1</v>
      </c>
      <c r="S189" s="39" t="n">
        <v>0</v>
      </c>
      <c r="T189" s="40" t="n">
        <f aca="false">IF(M189=0,0,N189/M189)</f>
        <v>0.927536231884058</v>
      </c>
      <c r="U189" s="40" t="n">
        <f aca="false">IF(M189=0,0,O189/M189)</f>
        <v>0</v>
      </c>
      <c r="V189" s="41" t="n">
        <f aca="false">IF(M189=0,0,P189/M189)</f>
        <v>0</v>
      </c>
      <c r="W189" s="40" t="n">
        <f aca="false">IF(L189=0,0,Q189/L189)</f>
        <v>0.0142857142857143</v>
      </c>
    </row>
    <row r="190" customFormat="false" ht="15" hidden="false" customHeight="false" outlineLevel="0" collapsed="false">
      <c r="A190" s="37" t="s">
        <v>1445</v>
      </c>
      <c r="B190" s="38" t="n">
        <v>46201.1190162037</v>
      </c>
      <c r="C190" s="37" t="s">
        <v>1241</v>
      </c>
      <c r="D190" s="37" t="s">
        <v>1335</v>
      </c>
      <c r="E190" s="37" t="s">
        <v>1378</v>
      </c>
      <c r="F190" s="37" t="s">
        <v>550</v>
      </c>
      <c r="G190" s="37"/>
      <c r="H190" s="37" t="s">
        <v>63</v>
      </c>
      <c r="I190" s="37"/>
      <c r="J190" s="37" t="s">
        <v>151</v>
      </c>
      <c r="K190" s="37" t="s">
        <v>1202</v>
      </c>
      <c r="L190" s="39" t="n">
        <v>492</v>
      </c>
      <c r="M190" s="39" t="n">
        <v>492</v>
      </c>
      <c r="N190" s="39" t="n">
        <v>290</v>
      </c>
      <c r="O190" s="39" t="n">
        <v>0</v>
      </c>
      <c r="P190" s="39" t="n">
        <v>0</v>
      </c>
      <c r="Q190" s="39" t="n">
        <v>0</v>
      </c>
      <c r="R190" s="39" t="n">
        <v>0</v>
      </c>
      <c r="S190" s="39" t="n">
        <v>0</v>
      </c>
      <c r="T190" s="40" t="n">
        <f aca="false">IF(M190=0,0,N190/M190)</f>
        <v>0.589430894308943</v>
      </c>
      <c r="U190" s="40" t="n">
        <f aca="false">IF(M190=0,0,O190/M190)</f>
        <v>0</v>
      </c>
      <c r="V190" s="41" t="n">
        <f aca="false">IF(M190=0,0,P190/M190)</f>
        <v>0</v>
      </c>
      <c r="W190" s="40" t="n">
        <f aca="false">IF(L190=0,0,Q190/L190)</f>
        <v>0</v>
      </c>
    </row>
    <row r="191" customFormat="false" ht="15" hidden="false" customHeight="false" outlineLevel="0" collapsed="false">
      <c r="A191" s="37" t="s">
        <v>1446</v>
      </c>
      <c r="B191" s="38" t="n">
        <v>46199.3478703704</v>
      </c>
      <c r="C191" s="37" t="s">
        <v>1201</v>
      </c>
      <c r="D191" s="37" t="s">
        <v>1392</v>
      </c>
      <c r="E191" s="37" t="s">
        <v>166</v>
      </c>
      <c r="F191" s="37" t="s">
        <v>555</v>
      </c>
      <c r="G191" s="37" t="s">
        <v>1393</v>
      </c>
      <c r="H191" s="37" t="s">
        <v>60</v>
      </c>
      <c r="I191" s="37" t="s">
        <v>260</v>
      </c>
      <c r="J191" s="37" t="s">
        <v>164</v>
      </c>
      <c r="K191" s="37" t="s">
        <v>1202</v>
      </c>
      <c r="L191" s="39" t="n">
        <v>18</v>
      </c>
      <c r="M191" s="39" t="n">
        <v>18</v>
      </c>
      <c r="N191" s="39" t="n">
        <v>8</v>
      </c>
      <c r="O191" s="39" t="n">
        <v>0</v>
      </c>
      <c r="P191" s="39" t="n">
        <v>0</v>
      </c>
      <c r="Q191" s="39" t="n">
        <v>0</v>
      </c>
      <c r="R191" s="39" t="n">
        <v>0</v>
      </c>
      <c r="S191" s="39" t="n">
        <v>0</v>
      </c>
      <c r="T191" s="40" t="n">
        <f aca="false">IF(M191=0,0,N191/M191)</f>
        <v>0.444444444444444</v>
      </c>
      <c r="U191" s="40" t="n">
        <f aca="false">IF(M191=0,0,O191/M191)</f>
        <v>0</v>
      </c>
      <c r="V191" s="41" t="n">
        <f aca="false">IF(M191=0,0,P191/M191)</f>
        <v>0</v>
      </c>
      <c r="W191" s="40" t="n">
        <f aca="false">IF(L191=0,0,Q191/L191)</f>
        <v>0</v>
      </c>
    </row>
    <row r="192" customFormat="false" ht="15" hidden="false" customHeight="false" outlineLevel="0" collapsed="false">
      <c r="A192" s="37" t="s">
        <v>1447</v>
      </c>
      <c r="B192" s="38" t="n">
        <v>46199.0865277778</v>
      </c>
      <c r="C192" s="37" t="s">
        <v>1201</v>
      </c>
      <c r="D192" s="37" t="s">
        <v>237</v>
      </c>
      <c r="E192" s="37" t="s">
        <v>238</v>
      </c>
      <c r="F192" s="37" t="s">
        <v>559</v>
      </c>
      <c r="G192" s="37" t="s">
        <v>1297</v>
      </c>
      <c r="H192" s="37" t="s">
        <v>60</v>
      </c>
      <c r="I192" s="37"/>
      <c r="J192" s="37" t="s">
        <v>236</v>
      </c>
      <c r="K192" s="37" t="s">
        <v>1202</v>
      </c>
      <c r="L192" s="39" t="n">
        <v>4434</v>
      </c>
      <c r="M192" s="39" t="n">
        <v>4419</v>
      </c>
      <c r="N192" s="39" t="n">
        <v>648</v>
      </c>
      <c r="O192" s="39" t="n">
        <v>160</v>
      </c>
      <c r="P192" s="39" t="n">
        <v>6</v>
      </c>
      <c r="Q192" s="39" t="n">
        <v>15</v>
      </c>
      <c r="R192" s="39" t="n">
        <v>6</v>
      </c>
      <c r="S192" s="39" t="n">
        <v>0</v>
      </c>
      <c r="T192" s="40" t="n">
        <f aca="false">IF(M192=0,0,N192/M192)</f>
        <v>0.146639511201629</v>
      </c>
      <c r="U192" s="40" t="n">
        <f aca="false">IF(M192=0,0,O192/M192)</f>
        <v>0.0362072867164517</v>
      </c>
      <c r="V192" s="41" t="n">
        <f aca="false">IF(M192=0,0,P192/M192)</f>
        <v>0.00135777325186694</v>
      </c>
      <c r="W192" s="40" t="n">
        <f aca="false">IF(L192=0,0,Q192/L192)</f>
        <v>0.003382949932341</v>
      </c>
    </row>
    <row r="193" customFormat="false" ht="15" hidden="false" customHeight="false" outlineLevel="0" collapsed="false">
      <c r="A193" s="37" t="s">
        <v>1448</v>
      </c>
      <c r="B193" s="38" t="n">
        <v>46199.010625</v>
      </c>
      <c r="C193" s="37" t="s">
        <v>1201</v>
      </c>
      <c r="D193" s="37" t="s">
        <v>1372</v>
      </c>
      <c r="E193" s="37" t="s">
        <v>1373</v>
      </c>
      <c r="F193" s="37" t="s">
        <v>537</v>
      </c>
      <c r="G193" s="37"/>
      <c r="H193" s="37" t="s">
        <v>60</v>
      </c>
      <c r="I193" s="37"/>
      <c r="J193" s="37" t="s">
        <v>296</v>
      </c>
      <c r="K193" s="37" t="s">
        <v>1202</v>
      </c>
      <c r="L193" s="39" t="n">
        <v>2</v>
      </c>
      <c r="M193" s="39" t="n">
        <v>2</v>
      </c>
      <c r="N193" s="39" t="n">
        <v>1</v>
      </c>
      <c r="O193" s="39" t="n">
        <v>0</v>
      </c>
      <c r="P193" s="39" t="n">
        <v>0</v>
      </c>
      <c r="Q193" s="39" t="n">
        <v>0</v>
      </c>
      <c r="R193" s="39" t="n">
        <v>0</v>
      </c>
      <c r="S193" s="39" t="n">
        <v>0</v>
      </c>
      <c r="T193" s="40" t="n">
        <f aca="false">IF(M193=0,0,N193/M193)</f>
        <v>0.5</v>
      </c>
      <c r="U193" s="40" t="n">
        <f aca="false">IF(M193=0,0,O193/M193)</f>
        <v>0</v>
      </c>
      <c r="V193" s="41" t="n">
        <f aca="false">IF(M193=0,0,P193/M193)</f>
        <v>0</v>
      </c>
      <c r="W193" s="40" t="n">
        <f aca="false">IF(L193=0,0,Q193/L193)</f>
        <v>0</v>
      </c>
    </row>
    <row r="194" customFormat="false" ht="15" hidden="false" customHeight="false" outlineLevel="0" collapsed="false">
      <c r="A194" s="37" t="s">
        <v>1232</v>
      </c>
      <c r="B194" s="38" t="n">
        <v>46198.4399305556</v>
      </c>
      <c r="C194" s="37" t="s">
        <v>1246</v>
      </c>
      <c r="D194" s="37" t="s">
        <v>1449</v>
      </c>
      <c r="E194" s="37" t="s">
        <v>1449</v>
      </c>
      <c r="F194" s="37" t="s">
        <v>553</v>
      </c>
      <c r="G194" s="37" t="s">
        <v>1294</v>
      </c>
      <c r="H194" s="37" t="s">
        <v>60</v>
      </c>
      <c r="I194" s="37"/>
      <c r="J194" s="37" t="s">
        <v>386</v>
      </c>
      <c r="K194" s="37" t="s">
        <v>1202</v>
      </c>
      <c r="L194" s="39" t="n">
        <v>250</v>
      </c>
      <c r="M194" s="39" t="n">
        <v>166</v>
      </c>
      <c r="N194" s="39" t="n">
        <v>28</v>
      </c>
      <c r="O194" s="39" t="n">
        <v>0</v>
      </c>
      <c r="P194" s="39" t="n">
        <v>4</v>
      </c>
      <c r="Q194" s="39" t="n">
        <v>84</v>
      </c>
      <c r="R194" s="39" t="n">
        <v>84</v>
      </c>
      <c r="S194" s="39" t="n">
        <v>0</v>
      </c>
      <c r="T194" s="40" t="n">
        <f aca="false">IF(M194=0,0,N194/M194)</f>
        <v>0.168674698795181</v>
      </c>
      <c r="U194" s="40" t="n">
        <f aca="false">IF(M194=0,0,O194/M194)</f>
        <v>0</v>
      </c>
      <c r="V194" s="41" t="n">
        <f aca="false">IF(M194=0,0,P194/M194)</f>
        <v>0.0240963855421687</v>
      </c>
      <c r="W194" s="40" t="n">
        <f aca="false">IF(L194=0,0,Q194/L194)</f>
        <v>0.336</v>
      </c>
    </row>
    <row r="195" customFormat="false" ht="15" hidden="false" customHeight="false" outlineLevel="0" collapsed="false">
      <c r="A195" s="37" t="s">
        <v>1450</v>
      </c>
      <c r="B195" s="38" t="n">
        <v>46198.4200810185</v>
      </c>
      <c r="C195" s="37" t="s">
        <v>1252</v>
      </c>
      <c r="D195" s="37" t="s">
        <v>101</v>
      </c>
      <c r="E195" s="37" t="s">
        <v>1222</v>
      </c>
      <c r="F195" s="37" t="s">
        <v>548</v>
      </c>
      <c r="G195" s="37" t="s">
        <v>1223</v>
      </c>
      <c r="H195" s="37" t="s">
        <v>61</v>
      </c>
      <c r="I195" s="37" t="s">
        <v>98</v>
      </c>
      <c r="J195" s="37" t="s">
        <v>100</v>
      </c>
      <c r="K195" s="37" t="s">
        <v>1202</v>
      </c>
      <c r="L195" s="39" t="n">
        <v>6986</v>
      </c>
      <c r="M195" s="39" t="n">
        <v>6964</v>
      </c>
      <c r="N195" s="39" t="n">
        <v>792</v>
      </c>
      <c r="O195" s="39" t="n">
        <v>161</v>
      </c>
      <c r="P195" s="39" t="n">
        <v>43</v>
      </c>
      <c r="Q195" s="39" t="n">
        <v>22</v>
      </c>
      <c r="R195" s="39" t="n">
        <v>11</v>
      </c>
      <c r="S195" s="39" t="n">
        <v>0</v>
      </c>
      <c r="T195" s="40" t="n">
        <f aca="false">IF(M195=0,0,N195/M195)</f>
        <v>0.113727742676623</v>
      </c>
      <c r="U195" s="40" t="n">
        <f aca="false">IF(M195=0,0,O195/M195)</f>
        <v>0.0231188971855256</v>
      </c>
      <c r="V195" s="41" t="n">
        <f aca="false">IF(M195=0,0,P195/M195)</f>
        <v>0.00617461229178633</v>
      </c>
      <c r="W195" s="40" t="n">
        <f aca="false">IF(L195=0,0,Q195/L195)</f>
        <v>0.00314915545376467</v>
      </c>
    </row>
    <row r="196" customFormat="false" ht="15" hidden="false" customHeight="false" outlineLevel="0" collapsed="false">
      <c r="A196" s="37" t="s">
        <v>1451</v>
      </c>
      <c r="B196" s="38" t="n">
        <v>46197.5268518519</v>
      </c>
      <c r="C196" s="37" t="s">
        <v>1201</v>
      </c>
      <c r="D196" s="37" t="s">
        <v>1211</v>
      </c>
      <c r="E196" s="37" t="s">
        <v>1212</v>
      </c>
      <c r="F196" s="37" t="s">
        <v>544</v>
      </c>
      <c r="G196" s="37"/>
      <c r="H196" s="37" t="s">
        <v>60</v>
      </c>
      <c r="I196" s="37"/>
      <c r="J196" s="37" t="s">
        <v>100</v>
      </c>
      <c r="K196" s="37" t="s">
        <v>1213</v>
      </c>
      <c r="L196" s="39" t="n">
        <v>131</v>
      </c>
      <c r="M196" s="39" t="n">
        <v>131</v>
      </c>
      <c r="N196" s="39" t="n">
        <v>64</v>
      </c>
      <c r="O196" s="39" t="n">
        <v>4</v>
      </c>
      <c r="P196" s="39" t="n">
        <v>0</v>
      </c>
      <c r="Q196" s="39" t="n">
        <v>0</v>
      </c>
      <c r="R196" s="39" t="n">
        <v>0</v>
      </c>
      <c r="S196" s="39" t="n">
        <v>0</v>
      </c>
      <c r="T196" s="40" t="n">
        <f aca="false">IF(M196=0,0,N196/M196)</f>
        <v>0.488549618320611</v>
      </c>
      <c r="U196" s="40" t="n">
        <f aca="false">IF(M196=0,0,O196/M196)</f>
        <v>0.0305343511450382</v>
      </c>
      <c r="V196" s="41" t="n">
        <f aca="false">IF(M196=0,0,P196/M196)</f>
        <v>0</v>
      </c>
      <c r="W196" s="40" t="n">
        <f aca="false">IF(L196=0,0,Q196/L196)</f>
        <v>0</v>
      </c>
    </row>
    <row r="197" customFormat="false" ht="15" hidden="false" customHeight="false" outlineLevel="0" collapsed="false">
      <c r="A197" s="37" t="s">
        <v>1452</v>
      </c>
      <c r="B197" s="38" t="n">
        <v>46197.3543055556</v>
      </c>
      <c r="C197" s="37" t="s">
        <v>1252</v>
      </c>
      <c r="D197" s="37" t="s">
        <v>1453</v>
      </c>
      <c r="E197" s="37" t="s">
        <v>193</v>
      </c>
      <c r="F197" s="37" t="s">
        <v>555</v>
      </c>
      <c r="G197" s="37" t="s">
        <v>1119</v>
      </c>
      <c r="H197" s="37" t="s">
        <v>65</v>
      </c>
      <c r="I197" s="37" t="s">
        <v>207</v>
      </c>
      <c r="J197" s="37" t="s">
        <v>191</v>
      </c>
      <c r="K197" s="37" t="s">
        <v>1202</v>
      </c>
      <c r="L197" s="39" t="n">
        <v>3322</v>
      </c>
      <c r="M197" s="39" t="n">
        <v>3282</v>
      </c>
      <c r="N197" s="39" t="n">
        <v>859</v>
      </c>
      <c r="O197" s="39" t="n">
        <v>45</v>
      </c>
      <c r="P197" s="39" t="n">
        <v>26</v>
      </c>
      <c r="Q197" s="39" t="n">
        <v>40</v>
      </c>
      <c r="R197" s="39" t="n">
        <v>31</v>
      </c>
      <c r="S197" s="39" t="n">
        <v>0</v>
      </c>
      <c r="T197" s="40" t="n">
        <f aca="false">IF(M197=0,0,N197/M197)</f>
        <v>0.261730652041438</v>
      </c>
      <c r="U197" s="40" t="n">
        <f aca="false">IF(M197=0,0,O197/M197)</f>
        <v>0.0137111517367459</v>
      </c>
      <c r="V197" s="41" t="n">
        <f aca="false">IF(M197=0,0,P197/M197)</f>
        <v>0.00792199878123096</v>
      </c>
      <c r="W197" s="40" t="n">
        <f aca="false">IF(L197=0,0,Q197/L197)</f>
        <v>0.0120409391932571</v>
      </c>
    </row>
    <row r="198" customFormat="false" ht="15" hidden="false" customHeight="false" outlineLevel="0" collapsed="false">
      <c r="A198" s="37" t="s">
        <v>1454</v>
      </c>
      <c r="B198" s="38" t="n">
        <v>46197.3011458333</v>
      </c>
      <c r="C198" s="37" t="s">
        <v>1201</v>
      </c>
      <c r="D198" s="37" t="s">
        <v>1211</v>
      </c>
      <c r="E198" s="37" t="s">
        <v>1212</v>
      </c>
      <c r="F198" s="37" t="s">
        <v>544</v>
      </c>
      <c r="G198" s="37"/>
      <c r="H198" s="37" t="s">
        <v>60</v>
      </c>
      <c r="I198" s="37"/>
      <c r="J198" s="37" t="s">
        <v>100</v>
      </c>
      <c r="K198" s="37" t="s">
        <v>1213</v>
      </c>
      <c r="L198" s="39" t="n">
        <v>131</v>
      </c>
      <c r="M198" s="39" t="n">
        <v>131</v>
      </c>
      <c r="N198" s="39" t="n">
        <v>68</v>
      </c>
      <c r="O198" s="39" t="n">
        <v>11</v>
      </c>
      <c r="P198" s="39" t="n">
        <v>0</v>
      </c>
      <c r="Q198" s="39" t="n">
        <v>0</v>
      </c>
      <c r="R198" s="39" t="n">
        <v>0</v>
      </c>
      <c r="S198" s="39" t="n">
        <v>0</v>
      </c>
      <c r="T198" s="40" t="n">
        <f aca="false">IF(M198=0,0,N198/M198)</f>
        <v>0.519083969465649</v>
      </c>
      <c r="U198" s="40" t="n">
        <f aca="false">IF(M198=0,0,O198/M198)</f>
        <v>0.083969465648855</v>
      </c>
      <c r="V198" s="41" t="n">
        <f aca="false">IF(M198=0,0,P198/M198)</f>
        <v>0</v>
      </c>
      <c r="W198" s="40" t="n">
        <f aca="false">IF(L198=0,0,Q198/L198)</f>
        <v>0</v>
      </c>
    </row>
    <row r="199" customFormat="false" ht="15" hidden="false" customHeight="false" outlineLevel="0" collapsed="false">
      <c r="A199" s="37" t="s">
        <v>1455</v>
      </c>
      <c r="B199" s="38" t="n">
        <v>46196.9170138889</v>
      </c>
      <c r="C199" s="37" t="s">
        <v>1246</v>
      </c>
      <c r="D199" s="37" t="s">
        <v>152</v>
      </c>
      <c r="E199" s="37" t="s">
        <v>1344</v>
      </c>
      <c r="F199" s="37" t="s">
        <v>152</v>
      </c>
      <c r="G199" s="37"/>
      <c r="H199" s="37" t="s">
        <v>61</v>
      </c>
      <c r="I199" s="37" t="s">
        <v>150</v>
      </c>
      <c r="J199" s="37" t="s">
        <v>151</v>
      </c>
      <c r="K199" s="37" t="s">
        <v>1202</v>
      </c>
      <c r="L199" s="39" t="n">
        <v>916</v>
      </c>
      <c r="M199" s="39" t="n">
        <v>915</v>
      </c>
      <c r="N199" s="39" t="n">
        <v>212</v>
      </c>
      <c r="O199" s="39" t="n">
        <v>77</v>
      </c>
      <c r="P199" s="39" t="n">
        <v>1</v>
      </c>
      <c r="Q199" s="39" t="n">
        <v>1</v>
      </c>
      <c r="R199" s="39" t="n">
        <v>0</v>
      </c>
      <c r="S199" s="39" t="n">
        <v>0</v>
      </c>
      <c r="T199" s="40" t="n">
        <f aca="false">IF(M199=0,0,N199/M199)</f>
        <v>0.231693989071038</v>
      </c>
      <c r="U199" s="40" t="n">
        <f aca="false">IF(M199=0,0,O199/M199)</f>
        <v>0.0841530054644809</v>
      </c>
      <c r="V199" s="41" t="n">
        <f aca="false">IF(M199=0,0,P199/M199)</f>
        <v>0.00109289617486339</v>
      </c>
      <c r="W199" s="40" t="n">
        <f aca="false">IF(L199=0,0,Q199/L199)</f>
        <v>0.00109170305676856</v>
      </c>
    </row>
    <row r="200" customFormat="false" ht="15" hidden="false" customHeight="false" outlineLevel="0" collapsed="false">
      <c r="A200" s="37" t="s">
        <v>1456</v>
      </c>
      <c r="B200" s="38" t="n">
        <v>46196.8336805556</v>
      </c>
      <c r="C200" s="37" t="s">
        <v>1201</v>
      </c>
      <c r="D200" s="37" t="s">
        <v>127</v>
      </c>
      <c r="E200" s="37" t="s">
        <v>178</v>
      </c>
      <c r="F200" s="37" t="s">
        <v>127</v>
      </c>
      <c r="G200" s="37"/>
      <c r="H200" s="37" t="s">
        <v>61</v>
      </c>
      <c r="I200" s="37" t="s">
        <v>177</v>
      </c>
      <c r="J200" s="37" t="s">
        <v>126</v>
      </c>
      <c r="K200" s="37" t="s">
        <v>1202</v>
      </c>
      <c r="L200" s="39" t="n">
        <v>284</v>
      </c>
      <c r="M200" s="39" t="n">
        <v>281</v>
      </c>
      <c r="N200" s="39" t="n">
        <v>95</v>
      </c>
      <c r="O200" s="39" t="n">
        <v>17</v>
      </c>
      <c r="P200" s="39" t="n">
        <v>1</v>
      </c>
      <c r="Q200" s="39" t="n">
        <v>3</v>
      </c>
      <c r="R200" s="39" t="n">
        <v>1</v>
      </c>
      <c r="S200" s="39" t="n">
        <v>0</v>
      </c>
      <c r="T200" s="40" t="n">
        <f aca="false">IF(M200=0,0,N200/M200)</f>
        <v>0.338078291814947</v>
      </c>
      <c r="U200" s="40" t="n">
        <f aca="false">IF(M200=0,0,O200/M200)</f>
        <v>0.0604982206405694</v>
      </c>
      <c r="V200" s="41" t="n">
        <f aca="false">IF(M200=0,0,P200/M200)</f>
        <v>0.00355871886120996</v>
      </c>
      <c r="W200" s="40" t="n">
        <f aca="false">IF(L200=0,0,Q200/L200)</f>
        <v>0.0105633802816901</v>
      </c>
    </row>
    <row r="201" customFormat="false" ht="15" hidden="false" customHeight="false" outlineLevel="0" collapsed="false">
      <c r="A201" s="37" t="s">
        <v>1457</v>
      </c>
      <c r="B201" s="38" t="n">
        <v>46196.4655439815</v>
      </c>
      <c r="C201" s="37" t="s">
        <v>1201</v>
      </c>
      <c r="D201" s="37" t="s">
        <v>1458</v>
      </c>
      <c r="E201" s="37" t="s">
        <v>1458</v>
      </c>
      <c r="F201" s="37" t="s">
        <v>544</v>
      </c>
      <c r="G201" s="37"/>
      <c r="H201" s="37" t="s">
        <v>60</v>
      </c>
      <c r="I201" s="37"/>
      <c r="J201" s="37" t="s">
        <v>382</v>
      </c>
      <c r="K201" s="37" t="s">
        <v>1202</v>
      </c>
      <c r="L201" s="39" t="n">
        <v>85</v>
      </c>
      <c r="M201" s="39" t="n">
        <v>83</v>
      </c>
      <c r="N201" s="39" t="n">
        <v>27</v>
      </c>
      <c r="O201" s="39" t="n">
        <v>10</v>
      </c>
      <c r="P201" s="39" t="n">
        <v>0</v>
      </c>
      <c r="Q201" s="39" t="n">
        <v>2</v>
      </c>
      <c r="R201" s="39" t="n">
        <v>2</v>
      </c>
      <c r="S201" s="39" t="n">
        <v>0</v>
      </c>
      <c r="T201" s="40" t="n">
        <f aca="false">IF(M201=0,0,N201/M201)</f>
        <v>0.325301204819277</v>
      </c>
      <c r="U201" s="40" t="n">
        <f aca="false">IF(M201=0,0,O201/M201)</f>
        <v>0.120481927710843</v>
      </c>
      <c r="V201" s="41" t="n">
        <f aca="false">IF(M201=0,0,P201/M201)</f>
        <v>0</v>
      </c>
      <c r="W201" s="40" t="n">
        <f aca="false">IF(L201=0,0,Q201/L201)</f>
        <v>0.0235294117647059</v>
      </c>
    </row>
    <row r="202" customFormat="false" ht="15" hidden="false" customHeight="false" outlineLevel="0" collapsed="false">
      <c r="A202" s="37" t="s">
        <v>1459</v>
      </c>
      <c r="B202" s="38" t="n">
        <v>46196.3752546296</v>
      </c>
      <c r="C202" s="37" t="s">
        <v>1246</v>
      </c>
      <c r="D202" s="37" t="s">
        <v>1242</v>
      </c>
      <c r="E202" s="37" t="s">
        <v>193</v>
      </c>
      <c r="F202" s="37" t="s">
        <v>555</v>
      </c>
      <c r="G202" s="37" t="s">
        <v>1264</v>
      </c>
      <c r="H202" s="37" t="s">
        <v>65</v>
      </c>
      <c r="I202" s="37"/>
      <c r="J202" s="37" t="s">
        <v>354</v>
      </c>
      <c r="K202" s="37" t="s">
        <v>1213</v>
      </c>
      <c r="L202" s="39" t="n">
        <v>18471</v>
      </c>
      <c r="M202" s="39" t="n">
        <v>18152</v>
      </c>
      <c r="N202" s="39" t="n">
        <v>2303</v>
      </c>
      <c r="O202" s="39" t="n">
        <v>139</v>
      </c>
      <c r="P202" s="39" t="n">
        <v>182</v>
      </c>
      <c r="Q202" s="39" t="n">
        <v>319</v>
      </c>
      <c r="R202" s="39" t="n">
        <v>192</v>
      </c>
      <c r="S202" s="39" t="n">
        <v>2</v>
      </c>
      <c r="T202" s="40" t="n">
        <f aca="false">IF(M202=0,0,N202/M202)</f>
        <v>0.126873071837814</v>
      </c>
      <c r="U202" s="40" t="n">
        <f aca="false">IF(M202=0,0,O202/M202)</f>
        <v>0.00765755839576906</v>
      </c>
      <c r="V202" s="41" t="n">
        <f aca="false">IF(M202=0,0,P202/M202)</f>
        <v>0.0100264433671221</v>
      </c>
      <c r="W202" s="40" t="n">
        <f aca="false">IF(L202=0,0,Q202/L202)</f>
        <v>0.0172703156299063</v>
      </c>
    </row>
    <row r="203" customFormat="false" ht="15" hidden="false" customHeight="false" outlineLevel="0" collapsed="false">
      <c r="A203" s="37" t="s">
        <v>1460</v>
      </c>
      <c r="B203" s="38" t="n">
        <v>46196.0107291667</v>
      </c>
      <c r="C203" s="37" t="s">
        <v>1201</v>
      </c>
      <c r="D203" s="37" t="s">
        <v>1372</v>
      </c>
      <c r="E203" s="37" t="s">
        <v>1373</v>
      </c>
      <c r="F203" s="37" t="s">
        <v>537</v>
      </c>
      <c r="G203" s="37"/>
      <c r="H203" s="37" t="s">
        <v>63</v>
      </c>
      <c r="I203" s="37"/>
      <c r="J203" s="37" t="s">
        <v>296</v>
      </c>
      <c r="K203" s="37" t="s">
        <v>1202</v>
      </c>
      <c r="L203" s="39" t="n">
        <v>2</v>
      </c>
      <c r="M203" s="39" t="n">
        <v>2</v>
      </c>
      <c r="N203" s="39" t="n">
        <v>2</v>
      </c>
      <c r="O203" s="39" t="n">
        <v>0</v>
      </c>
      <c r="P203" s="39" t="n">
        <v>0</v>
      </c>
      <c r="Q203" s="39" t="n">
        <v>0</v>
      </c>
      <c r="R203" s="39" t="n">
        <v>0</v>
      </c>
      <c r="S203" s="39" t="n">
        <v>0</v>
      </c>
      <c r="T203" s="40" t="n">
        <f aca="false">IF(M203=0,0,N203/M203)</f>
        <v>1</v>
      </c>
      <c r="U203" s="40" t="n">
        <f aca="false">IF(M203=0,0,O203/M203)</f>
        <v>0</v>
      </c>
      <c r="V203" s="41" t="n">
        <f aca="false">IF(M203=0,0,P203/M203)</f>
        <v>0</v>
      </c>
      <c r="W203" s="40" t="n">
        <f aca="false">IF(L203=0,0,Q203/L203)</f>
        <v>0</v>
      </c>
    </row>
    <row r="204" customFormat="false" ht="15" hidden="false" customHeight="false" outlineLevel="0" collapsed="false">
      <c r="A204" s="37" t="s">
        <v>1461</v>
      </c>
      <c r="B204" s="38" t="n">
        <v>46195.4998842593</v>
      </c>
      <c r="C204" s="37" t="s">
        <v>1201</v>
      </c>
      <c r="D204" s="37" t="s">
        <v>1458</v>
      </c>
      <c r="E204" s="37" t="s">
        <v>1458</v>
      </c>
      <c r="F204" s="37" t="s">
        <v>544</v>
      </c>
      <c r="G204" s="37"/>
      <c r="H204" s="37" t="s">
        <v>60</v>
      </c>
      <c r="I204" s="37"/>
      <c r="J204" s="37" t="s">
        <v>382</v>
      </c>
      <c r="K204" s="37" t="s">
        <v>1202</v>
      </c>
      <c r="L204" s="39" t="n">
        <v>147</v>
      </c>
      <c r="M204" s="39" t="n">
        <v>140</v>
      </c>
      <c r="N204" s="39" t="n">
        <v>48</v>
      </c>
      <c r="O204" s="39" t="n">
        <v>10</v>
      </c>
      <c r="P204" s="39" t="n">
        <v>0</v>
      </c>
      <c r="Q204" s="39" t="n">
        <v>7</v>
      </c>
      <c r="R204" s="39" t="n">
        <v>5</v>
      </c>
      <c r="S204" s="39" t="n">
        <v>0</v>
      </c>
      <c r="T204" s="40" t="n">
        <f aca="false">IF(M204=0,0,N204/M204)</f>
        <v>0.342857142857143</v>
      </c>
      <c r="U204" s="40" t="n">
        <f aca="false">IF(M204=0,0,O204/M204)</f>
        <v>0.0714285714285714</v>
      </c>
      <c r="V204" s="41" t="n">
        <f aca="false">IF(M204=0,0,P204/M204)</f>
        <v>0</v>
      </c>
      <c r="W204" s="40" t="n">
        <f aca="false">IF(L204=0,0,Q204/L204)</f>
        <v>0.0476190476190476</v>
      </c>
    </row>
    <row r="205" customFormat="false" ht="15" hidden="false" customHeight="false" outlineLevel="0" collapsed="false">
      <c r="A205" s="37" t="s">
        <v>1462</v>
      </c>
      <c r="B205" s="38" t="n">
        <v>46195.2298842593</v>
      </c>
      <c r="C205" s="37" t="s">
        <v>1241</v>
      </c>
      <c r="D205" s="37" t="s">
        <v>1463</v>
      </c>
      <c r="E205" s="37" t="s">
        <v>1115</v>
      </c>
      <c r="F205" s="37" t="s">
        <v>555</v>
      </c>
      <c r="G205" s="37"/>
      <c r="H205" s="37" t="s">
        <v>65</v>
      </c>
      <c r="I205" s="37"/>
      <c r="J205" s="37" t="s">
        <v>354</v>
      </c>
      <c r="K205" s="37" t="s">
        <v>1202</v>
      </c>
      <c r="L205" s="39" t="n">
        <v>267</v>
      </c>
      <c r="M205" s="39" t="n">
        <v>264</v>
      </c>
      <c r="N205" s="39" t="n">
        <v>144</v>
      </c>
      <c r="O205" s="39" t="n">
        <v>46</v>
      </c>
      <c r="P205" s="39" t="n">
        <v>2</v>
      </c>
      <c r="Q205" s="39" t="n">
        <v>3</v>
      </c>
      <c r="R205" s="39" t="n">
        <v>3</v>
      </c>
      <c r="S205" s="39" t="n">
        <v>0</v>
      </c>
      <c r="T205" s="40" t="n">
        <f aca="false">IF(M205=0,0,N205/M205)</f>
        <v>0.545454545454545</v>
      </c>
      <c r="U205" s="40" t="n">
        <f aca="false">IF(M205=0,0,O205/M205)</f>
        <v>0.174242424242424</v>
      </c>
      <c r="V205" s="41" t="n">
        <f aca="false">IF(M205=0,0,P205/M205)</f>
        <v>0.00757575757575758</v>
      </c>
      <c r="W205" s="40" t="n">
        <f aca="false">IF(L205=0,0,Q205/L205)</f>
        <v>0.0112359550561798</v>
      </c>
    </row>
    <row r="206" customFormat="false" ht="15" hidden="false" customHeight="false" outlineLevel="0" collapsed="false">
      <c r="A206" s="37" t="s">
        <v>1464</v>
      </c>
      <c r="B206" s="38" t="n">
        <v>46192.1115277778</v>
      </c>
      <c r="C206" s="37" t="s">
        <v>1201</v>
      </c>
      <c r="D206" s="37" t="s">
        <v>629</v>
      </c>
      <c r="E206" s="37" t="s">
        <v>1255</v>
      </c>
      <c r="F206" s="37" t="s">
        <v>544</v>
      </c>
      <c r="G206" s="37" t="s">
        <v>1465</v>
      </c>
      <c r="H206" s="37" t="s">
        <v>60</v>
      </c>
      <c r="I206" s="37"/>
      <c r="J206" s="37" t="s">
        <v>121</v>
      </c>
      <c r="K206" s="37" t="s">
        <v>1202</v>
      </c>
      <c r="L206" s="39" t="n">
        <v>511</v>
      </c>
      <c r="M206" s="39" t="n">
        <v>510</v>
      </c>
      <c r="N206" s="39" t="n">
        <v>188</v>
      </c>
      <c r="O206" s="39" t="n">
        <v>26</v>
      </c>
      <c r="P206" s="39" t="n">
        <v>2</v>
      </c>
      <c r="Q206" s="39" t="n">
        <v>1</v>
      </c>
      <c r="R206" s="39" t="n">
        <v>1</v>
      </c>
      <c r="S206" s="39" t="n">
        <v>0</v>
      </c>
      <c r="T206" s="40" t="n">
        <f aca="false">IF(M206=0,0,N206/M206)</f>
        <v>0.368627450980392</v>
      </c>
      <c r="U206" s="40" t="n">
        <f aca="false">IF(M206=0,0,O206/M206)</f>
        <v>0.0509803921568627</v>
      </c>
      <c r="V206" s="41" t="n">
        <f aca="false">IF(M206=0,0,P206/M206)</f>
        <v>0.00392156862745098</v>
      </c>
      <c r="W206" s="40" t="n">
        <f aca="false">IF(L206=0,0,Q206/L206)</f>
        <v>0.00195694716242661</v>
      </c>
    </row>
    <row r="207" customFormat="false" ht="15" hidden="false" customHeight="false" outlineLevel="0" collapsed="false">
      <c r="A207" s="37" t="s">
        <v>1466</v>
      </c>
      <c r="B207" s="38" t="n">
        <v>46192.0817592593</v>
      </c>
      <c r="C207" s="37" t="s">
        <v>1201</v>
      </c>
      <c r="D207" s="37" t="s">
        <v>1255</v>
      </c>
      <c r="E207" s="37" t="s">
        <v>1255</v>
      </c>
      <c r="F207" s="37" t="s">
        <v>544</v>
      </c>
      <c r="G207" s="37" t="s">
        <v>1465</v>
      </c>
      <c r="H207" s="37" t="s">
        <v>66</v>
      </c>
      <c r="I207" s="37"/>
      <c r="J207" s="37" t="s">
        <v>121</v>
      </c>
      <c r="K207" s="37" t="s">
        <v>1202</v>
      </c>
      <c r="L207" s="39" t="n">
        <v>477</v>
      </c>
      <c r="M207" s="39" t="n">
        <v>466</v>
      </c>
      <c r="N207" s="39" t="n">
        <v>263</v>
      </c>
      <c r="O207" s="39" t="n">
        <v>122</v>
      </c>
      <c r="P207" s="39" t="n">
        <v>1</v>
      </c>
      <c r="Q207" s="39" t="n">
        <v>11</v>
      </c>
      <c r="R207" s="39" t="n">
        <v>11</v>
      </c>
      <c r="S207" s="39" t="n">
        <v>0</v>
      </c>
      <c r="T207" s="40" t="n">
        <f aca="false">IF(M207=0,0,N207/M207)</f>
        <v>0.564377682403433</v>
      </c>
      <c r="U207" s="40" t="n">
        <f aca="false">IF(M207=0,0,O207/M207)</f>
        <v>0.261802575107296</v>
      </c>
      <c r="V207" s="41" t="n">
        <f aca="false">IF(M207=0,0,P207/M207)</f>
        <v>0.00214592274678112</v>
      </c>
      <c r="W207" s="40" t="n">
        <f aca="false">IF(L207=0,0,Q207/L207)</f>
        <v>0.0230607966457023</v>
      </c>
    </row>
    <row r="208" customFormat="false" ht="15" hidden="false" customHeight="false" outlineLevel="0" collapsed="false">
      <c r="A208" s="37" t="s">
        <v>1467</v>
      </c>
      <c r="B208" s="38" t="n">
        <v>46192.0041319444</v>
      </c>
      <c r="C208" s="37" t="s">
        <v>1201</v>
      </c>
      <c r="D208" s="37" t="s">
        <v>237</v>
      </c>
      <c r="E208" s="37" t="s">
        <v>238</v>
      </c>
      <c r="F208" s="37" t="s">
        <v>559</v>
      </c>
      <c r="G208" s="37" t="s">
        <v>1297</v>
      </c>
      <c r="H208" s="37" t="s">
        <v>60</v>
      </c>
      <c r="I208" s="37"/>
      <c r="J208" s="37" t="s">
        <v>236</v>
      </c>
      <c r="K208" s="37" t="s">
        <v>1202</v>
      </c>
      <c r="L208" s="39" t="n">
        <v>4439</v>
      </c>
      <c r="M208" s="39" t="n">
        <v>4423</v>
      </c>
      <c r="N208" s="39" t="n">
        <v>820</v>
      </c>
      <c r="O208" s="39" t="n">
        <v>214</v>
      </c>
      <c r="P208" s="39" t="n">
        <v>9</v>
      </c>
      <c r="Q208" s="39" t="n">
        <v>16</v>
      </c>
      <c r="R208" s="39" t="n">
        <v>10</v>
      </c>
      <c r="S208" s="39" t="n">
        <v>0</v>
      </c>
      <c r="T208" s="40" t="n">
        <f aca="false">IF(M208=0,0,N208/M208)</f>
        <v>0.185394528600497</v>
      </c>
      <c r="U208" s="40" t="n">
        <f aca="false">IF(M208=0,0,O208/M208)</f>
        <v>0.0483834501469591</v>
      </c>
      <c r="V208" s="41" t="n">
        <f aca="false">IF(M208=0,0,P208/M208)</f>
        <v>0.00203481799683473</v>
      </c>
      <c r="W208" s="40" t="n">
        <f aca="false">IF(L208=0,0,Q208/L208)</f>
        <v>0.00360441540887587</v>
      </c>
    </row>
    <row r="209" customFormat="false" ht="15" hidden="false" customHeight="false" outlineLevel="0" collapsed="false">
      <c r="A209" s="37" t="s">
        <v>1468</v>
      </c>
      <c r="B209" s="38" t="n">
        <v>46191.5037847222</v>
      </c>
      <c r="C209" s="37" t="s">
        <v>1201</v>
      </c>
      <c r="D209" s="37" t="s">
        <v>623</v>
      </c>
      <c r="E209" s="37" t="s">
        <v>166</v>
      </c>
      <c r="F209" s="37" t="s">
        <v>555</v>
      </c>
      <c r="G209" s="37" t="s">
        <v>1469</v>
      </c>
      <c r="H209" s="37" t="s">
        <v>61</v>
      </c>
      <c r="I209" s="37" t="s">
        <v>163</v>
      </c>
      <c r="J209" s="37" t="s">
        <v>164</v>
      </c>
      <c r="K209" s="37" t="s">
        <v>1202</v>
      </c>
      <c r="L209" s="39" t="n">
        <v>1391</v>
      </c>
      <c r="M209" s="39" t="n">
        <v>1384</v>
      </c>
      <c r="N209" s="39" t="n">
        <v>561</v>
      </c>
      <c r="O209" s="39" t="n">
        <v>43</v>
      </c>
      <c r="P209" s="39" t="n">
        <v>9</v>
      </c>
      <c r="Q209" s="39" t="n">
        <v>7</v>
      </c>
      <c r="R209" s="39" t="n">
        <v>4</v>
      </c>
      <c r="S209" s="39" t="n">
        <v>0</v>
      </c>
      <c r="T209" s="40" t="n">
        <f aca="false">IF(M209=0,0,N209/M209)</f>
        <v>0.405346820809249</v>
      </c>
      <c r="U209" s="40" t="n">
        <f aca="false">IF(M209=0,0,O209/M209)</f>
        <v>0.0310693641618497</v>
      </c>
      <c r="V209" s="41" t="n">
        <f aca="false">IF(M209=0,0,P209/M209)</f>
        <v>0.00650289017341041</v>
      </c>
      <c r="W209" s="40" t="n">
        <f aca="false">IF(L209=0,0,Q209/L209)</f>
        <v>0.00503235082674335</v>
      </c>
    </row>
    <row r="210" customFormat="false" ht="15" hidden="false" customHeight="false" outlineLevel="0" collapsed="false">
      <c r="A210" s="37" t="s">
        <v>1470</v>
      </c>
      <c r="B210" s="38" t="n">
        <v>46191.332037037</v>
      </c>
      <c r="C210" s="37" t="s">
        <v>1201</v>
      </c>
      <c r="D210" s="37" t="s">
        <v>1392</v>
      </c>
      <c r="E210" s="37" t="s">
        <v>166</v>
      </c>
      <c r="F210" s="37" t="s">
        <v>555</v>
      </c>
      <c r="G210" s="37" t="s">
        <v>1393</v>
      </c>
      <c r="H210" s="37" t="s">
        <v>61</v>
      </c>
      <c r="I210" s="37" t="s">
        <v>260</v>
      </c>
      <c r="J210" s="37" t="s">
        <v>164</v>
      </c>
      <c r="K210" s="37" t="s">
        <v>1202</v>
      </c>
      <c r="L210" s="39" t="n">
        <v>22</v>
      </c>
      <c r="M210" s="39" t="n">
        <v>22</v>
      </c>
      <c r="N210" s="39" t="n">
        <v>10</v>
      </c>
      <c r="O210" s="39" t="n">
        <v>0</v>
      </c>
      <c r="P210" s="39" t="n">
        <v>0</v>
      </c>
      <c r="Q210" s="39" t="n">
        <v>0</v>
      </c>
      <c r="R210" s="39" t="n">
        <v>0</v>
      </c>
      <c r="S210" s="39" t="n">
        <v>0</v>
      </c>
      <c r="T210" s="40" t="n">
        <f aca="false">IF(M210=0,0,N210/M210)</f>
        <v>0.454545454545455</v>
      </c>
      <c r="U210" s="40" t="n">
        <f aca="false">IF(M210=0,0,O210/M210)</f>
        <v>0</v>
      </c>
      <c r="V210" s="41" t="n">
        <f aca="false">IF(M210=0,0,P210/M210)</f>
        <v>0</v>
      </c>
      <c r="W210" s="40" t="n">
        <f aca="false">IF(L210=0,0,Q210/L210)</f>
        <v>0</v>
      </c>
    </row>
    <row r="211" customFormat="false" ht="15" hidden="false" customHeight="false" outlineLevel="0" collapsed="false">
      <c r="A211" s="37" t="s">
        <v>1471</v>
      </c>
      <c r="B211" s="38" t="n">
        <v>46191.1888425926</v>
      </c>
      <c r="C211" s="37" t="s">
        <v>1201</v>
      </c>
      <c r="D211" s="37" t="s">
        <v>1372</v>
      </c>
      <c r="E211" s="37" t="s">
        <v>1373</v>
      </c>
      <c r="F211" s="37" t="s">
        <v>537</v>
      </c>
      <c r="G211" s="37"/>
      <c r="H211" s="37" t="s">
        <v>63</v>
      </c>
      <c r="I211" s="37"/>
      <c r="J211" s="37" t="s">
        <v>296</v>
      </c>
      <c r="K211" s="37" t="s">
        <v>1202</v>
      </c>
      <c r="L211" s="39" t="n">
        <v>2</v>
      </c>
      <c r="M211" s="39" t="n">
        <v>2</v>
      </c>
      <c r="N211" s="39" t="n">
        <v>2</v>
      </c>
      <c r="O211" s="39" t="n">
        <v>0</v>
      </c>
      <c r="P211" s="39" t="n">
        <v>0</v>
      </c>
      <c r="Q211" s="39" t="n">
        <v>0</v>
      </c>
      <c r="R211" s="39" t="n">
        <v>0</v>
      </c>
      <c r="S211" s="39" t="n">
        <v>0</v>
      </c>
      <c r="T211" s="40" t="n">
        <f aca="false">IF(M211=0,0,N211/M211)</f>
        <v>1</v>
      </c>
      <c r="U211" s="40" t="n">
        <f aca="false">IF(M211=0,0,O211/M211)</f>
        <v>0</v>
      </c>
      <c r="V211" s="41" t="n">
        <f aca="false">IF(M211=0,0,P211/M211)</f>
        <v>0</v>
      </c>
      <c r="W211" s="40" t="n">
        <f aca="false">IF(L211=0,0,Q211/L211)</f>
        <v>0</v>
      </c>
    </row>
    <row r="212" customFormat="false" ht="15" hidden="false" customHeight="false" outlineLevel="0" collapsed="false">
      <c r="A212" s="37" t="s">
        <v>1472</v>
      </c>
      <c r="B212" s="38" t="n">
        <v>46190.9797453704</v>
      </c>
      <c r="C212" s="37" t="s">
        <v>1201</v>
      </c>
      <c r="D212" s="37" t="s">
        <v>647</v>
      </c>
      <c r="E212" s="37" t="s">
        <v>238</v>
      </c>
      <c r="F212" s="37" t="s">
        <v>544</v>
      </c>
      <c r="G212" s="37" t="s">
        <v>1297</v>
      </c>
      <c r="H212" s="37" t="s">
        <v>60</v>
      </c>
      <c r="I212" s="37"/>
      <c r="J212" s="37" t="s">
        <v>236</v>
      </c>
      <c r="K212" s="37" t="s">
        <v>1202</v>
      </c>
      <c r="L212" s="39" t="n">
        <v>3078</v>
      </c>
      <c r="M212" s="39" t="n">
        <v>3011</v>
      </c>
      <c r="N212" s="39" t="n">
        <v>601</v>
      </c>
      <c r="O212" s="39" t="n">
        <v>62</v>
      </c>
      <c r="P212" s="39" t="n">
        <v>13</v>
      </c>
      <c r="Q212" s="39" t="n">
        <v>67</v>
      </c>
      <c r="R212" s="39" t="n">
        <v>60</v>
      </c>
      <c r="S212" s="39" t="n">
        <v>0</v>
      </c>
      <c r="T212" s="40" t="n">
        <f aca="false">IF(M212=0,0,N212/M212)</f>
        <v>0.199601461308535</v>
      </c>
      <c r="U212" s="40" t="n">
        <f aca="false">IF(M212=0,0,O212/M212)</f>
        <v>0.0205911657256725</v>
      </c>
      <c r="V212" s="41" t="n">
        <f aca="false">IF(M212=0,0,P212/M212)</f>
        <v>0.00431750249086682</v>
      </c>
      <c r="W212" s="40" t="n">
        <f aca="false">IF(L212=0,0,Q212/L212)</f>
        <v>0.0217673814165042</v>
      </c>
    </row>
    <row r="213" customFormat="false" ht="15" hidden="false" customHeight="false" outlineLevel="0" collapsed="false">
      <c r="A213" s="37" t="s">
        <v>1473</v>
      </c>
      <c r="B213" s="38" t="n">
        <v>46190.8334837963</v>
      </c>
      <c r="C213" s="37" t="s">
        <v>1201</v>
      </c>
      <c r="D213" s="37" t="s">
        <v>127</v>
      </c>
      <c r="E213" s="37" t="s">
        <v>128</v>
      </c>
      <c r="F213" s="37" t="s">
        <v>127</v>
      </c>
      <c r="G213" s="37"/>
      <c r="H213" s="37" t="s">
        <v>61</v>
      </c>
      <c r="I213" s="37" t="s">
        <v>125</v>
      </c>
      <c r="J213" s="37" t="s">
        <v>126</v>
      </c>
      <c r="K213" s="37" t="s">
        <v>1202</v>
      </c>
      <c r="L213" s="39" t="n">
        <v>2950</v>
      </c>
      <c r="M213" s="39" t="n">
        <v>2926</v>
      </c>
      <c r="N213" s="39" t="n">
        <v>792</v>
      </c>
      <c r="O213" s="39" t="n">
        <v>38</v>
      </c>
      <c r="P213" s="39" t="n">
        <v>8</v>
      </c>
      <c r="Q213" s="39" t="n">
        <v>24</v>
      </c>
      <c r="R213" s="39" t="n">
        <v>14</v>
      </c>
      <c r="S213" s="39" t="n">
        <v>0</v>
      </c>
      <c r="T213" s="40" t="n">
        <f aca="false">IF(M213=0,0,N213/M213)</f>
        <v>0.270676691729323</v>
      </c>
      <c r="U213" s="40" t="n">
        <f aca="false">IF(M213=0,0,O213/M213)</f>
        <v>0.012987012987013</v>
      </c>
      <c r="V213" s="41" t="n">
        <f aca="false">IF(M213=0,0,P213/M213)</f>
        <v>0.00273410799726589</v>
      </c>
      <c r="W213" s="40" t="n">
        <f aca="false">IF(L213=0,0,Q213/L213)</f>
        <v>0.00813559322033898</v>
      </c>
    </row>
    <row r="214" customFormat="false" ht="15" hidden="false" customHeight="false" outlineLevel="0" collapsed="false">
      <c r="A214" s="37" t="s">
        <v>1474</v>
      </c>
      <c r="B214" s="38" t="n">
        <v>46190.0131018519</v>
      </c>
      <c r="C214" s="37" t="s">
        <v>1201</v>
      </c>
      <c r="D214" s="37" t="s">
        <v>1475</v>
      </c>
      <c r="E214" s="37" t="s">
        <v>1373</v>
      </c>
      <c r="F214" s="37" t="s">
        <v>537</v>
      </c>
      <c r="G214" s="37"/>
      <c r="H214" s="37" t="s">
        <v>64</v>
      </c>
      <c r="I214" s="37"/>
      <c r="J214" s="37" t="s">
        <v>296</v>
      </c>
      <c r="K214" s="37" t="s">
        <v>1202</v>
      </c>
      <c r="L214" s="39" t="n">
        <v>2</v>
      </c>
      <c r="M214" s="39" t="n">
        <v>2</v>
      </c>
      <c r="N214" s="39" t="n">
        <v>2</v>
      </c>
      <c r="O214" s="39" t="n">
        <v>0</v>
      </c>
      <c r="P214" s="39" t="n">
        <v>0</v>
      </c>
      <c r="Q214" s="39" t="n">
        <v>0</v>
      </c>
      <c r="R214" s="39" t="n">
        <v>0</v>
      </c>
      <c r="S214" s="39" t="n">
        <v>0</v>
      </c>
      <c r="T214" s="40" t="n">
        <f aca="false">IF(M214=0,0,N214/M214)</f>
        <v>1</v>
      </c>
      <c r="U214" s="40" t="n">
        <f aca="false">IF(M214=0,0,O214/M214)</f>
        <v>0</v>
      </c>
      <c r="V214" s="41" t="n">
        <f aca="false">IF(M214=0,0,P214/M214)</f>
        <v>0</v>
      </c>
      <c r="W214" s="40" t="n">
        <f aca="false">IF(L214=0,0,Q214/L214)</f>
        <v>0</v>
      </c>
    </row>
    <row r="215" customFormat="false" ht="15" hidden="false" customHeight="false" outlineLevel="0" collapsed="false">
      <c r="A215" s="37" t="s">
        <v>1476</v>
      </c>
      <c r="B215" s="38" t="n">
        <v>46189.2318634259</v>
      </c>
      <c r="C215" s="37" t="s">
        <v>1201</v>
      </c>
      <c r="D215" s="37" t="s">
        <v>1310</v>
      </c>
      <c r="E215" s="37" t="s">
        <v>1293</v>
      </c>
      <c r="F215" s="37" t="s">
        <v>555</v>
      </c>
      <c r="G215" s="37" t="s">
        <v>1294</v>
      </c>
      <c r="H215" s="37" t="s">
        <v>60</v>
      </c>
      <c r="I215" s="37"/>
      <c r="J215" s="37" t="s">
        <v>386</v>
      </c>
      <c r="K215" s="37" t="s">
        <v>1202</v>
      </c>
      <c r="L215" s="39" t="n">
        <v>499</v>
      </c>
      <c r="M215" s="39" t="n">
        <v>489</v>
      </c>
      <c r="N215" s="39" t="n">
        <v>159</v>
      </c>
      <c r="O215" s="39" t="n">
        <v>22</v>
      </c>
      <c r="P215" s="39" t="n">
        <v>5</v>
      </c>
      <c r="Q215" s="39" t="n">
        <v>10</v>
      </c>
      <c r="R215" s="39" t="n">
        <v>6</v>
      </c>
      <c r="S215" s="39" t="n">
        <v>0</v>
      </c>
      <c r="T215" s="40" t="n">
        <f aca="false">IF(M215=0,0,N215/M215)</f>
        <v>0.325153374233129</v>
      </c>
      <c r="U215" s="40" t="n">
        <f aca="false">IF(M215=0,0,O215/M215)</f>
        <v>0.0449897750511247</v>
      </c>
      <c r="V215" s="41" t="n">
        <f aca="false">IF(M215=0,0,P215/M215)</f>
        <v>0.0102249488752556</v>
      </c>
      <c r="W215" s="40" t="n">
        <f aca="false">IF(L215=0,0,Q215/L215)</f>
        <v>0.0200400801603206</v>
      </c>
    </row>
    <row r="216" customFormat="false" ht="15" hidden="false" customHeight="false" outlineLevel="0" collapsed="false">
      <c r="A216" s="37" t="s">
        <v>1477</v>
      </c>
      <c r="B216" s="38" t="n">
        <v>46189.1671527778</v>
      </c>
      <c r="C216" s="37" t="s">
        <v>1201</v>
      </c>
      <c r="D216" s="37" t="s">
        <v>185</v>
      </c>
      <c r="E216" s="37" t="s">
        <v>186</v>
      </c>
      <c r="F216" s="37" t="s">
        <v>544</v>
      </c>
      <c r="G216" s="37"/>
      <c r="H216" s="37" t="s">
        <v>61</v>
      </c>
      <c r="I216" s="37"/>
      <c r="J216" s="37" t="s">
        <v>184</v>
      </c>
      <c r="K216" s="37" t="s">
        <v>1202</v>
      </c>
      <c r="L216" s="39" t="n">
        <v>106</v>
      </c>
      <c r="M216" s="39" t="n">
        <v>106</v>
      </c>
      <c r="N216" s="39" t="n">
        <v>34</v>
      </c>
      <c r="O216" s="39" t="n">
        <v>2</v>
      </c>
      <c r="P216" s="39" t="n">
        <v>1</v>
      </c>
      <c r="Q216" s="39" t="n">
        <v>0</v>
      </c>
      <c r="R216" s="39" t="n">
        <v>0</v>
      </c>
      <c r="S216" s="39" t="n">
        <v>0</v>
      </c>
      <c r="T216" s="40" t="n">
        <f aca="false">IF(M216=0,0,N216/M216)</f>
        <v>0.320754716981132</v>
      </c>
      <c r="U216" s="40" t="n">
        <f aca="false">IF(M216=0,0,O216/M216)</f>
        <v>0.0188679245283019</v>
      </c>
      <c r="V216" s="41" t="n">
        <f aca="false">IF(M216=0,0,P216/M216)</f>
        <v>0.00943396226415094</v>
      </c>
      <c r="W216" s="40" t="n">
        <f aca="false">IF(L216=0,0,Q216/L216)</f>
        <v>0</v>
      </c>
    </row>
    <row r="217" customFormat="false" ht="15" hidden="false" customHeight="false" outlineLevel="0" collapsed="false">
      <c r="A217" s="37" t="s">
        <v>1478</v>
      </c>
      <c r="B217" s="38" t="n">
        <v>46189.1671296296</v>
      </c>
      <c r="C217" s="37" t="s">
        <v>1201</v>
      </c>
      <c r="D217" s="37" t="s">
        <v>185</v>
      </c>
      <c r="E217" s="37" t="s">
        <v>186</v>
      </c>
      <c r="F217" s="37" t="s">
        <v>544</v>
      </c>
      <c r="G217" s="37"/>
      <c r="H217" s="37" t="s">
        <v>60</v>
      </c>
      <c r="I217" s="37"/>
      <c r="J217" s="37" t="s">
        <v>184</v>
      </c>
      <c r="K217" s="37" t="s">
        <v>1202</v>
      </c>
      <c r="L217" s="39" t="n">
        <v>154</v>
      </c>
      <c r="M217" s="39" t="n">
        <v>154</v>
      </c>
      <c r="N217" s="39" t="n">
        <v>70</v>
      </c>
      <c r="O217" s="39" t="n">
        <v>5</v>
      </c>
      <c r="P217" s="39" t="n">
        <v>0</v>
      </c>
      <c r="Q217" s="39" t="n">
        <v>0</v>
      </c>
      <c r="R217" s="39" t="n">
        <v>0</v>
      </c>
      <c r="S217" s="39" t="n">
        <v>0</v>
      </c>
      <c r="T217" s="40" t="n">
        <f aca="false">IF(M217=0,0,N217/M217)</f>
        <v>0.454545454545455</v>
      </c>
      <c r="U217" s="40" t="n">
        <f aca="false">IF(M217=0,0,O217/M217)</f>
        <v>0.0324675324675325</v>
      </c>
      <c r="V217" s="41" t="n">
        <f aca="false">IF(M217=0,0,P217/M217)</f>
        <v>0</v>
      </c>
      <c r="W217" s="40" t="n">
        <f aca="false">IF(L217=0,0,Q217/L217)</f>
        <v>0</v>
      </c>
    </row>
    <row r="218" customFormat="false" ht="15" hidden="false" customHeight="false" outlineLevel="0" collapsed="false">
      <c r="A218" s="37" t="s">
        <v>1479</v>
      </c>
      <c r="B218" s="38" t="n">
        <v>46189.0860648148</v>
      </c>
      <c r="C218" s="37" t="s">
        <v>1201</v>
      </c>
      <c r="D218" s="37" t="s">
        <v>1292</v>
      </c>
      <c r="E218" s="37" t="s">
        <v>1115</v>
      </c>
      <c r="F218" s="37" t="s">
        <v>555</v>
      </c>
      <c r="G218" s="37" t="s">
        <v>1294</v>
      </c>
      <c r="H218" s="37" t="s">
        <v>60</v>
      </c>
      <c r="I218" s="37"/>
      <c r="J218" s="37" t="s">
        <v>386</v>
      </c>
      <c r="K218" s="37" t="s">
        <v>1202</v>
      </c>
      <c r="L218" s="39" t="n">
        <v>1885</v>
      </c>
      <c r="M218" s="39" t="n">
        <v>1797</v>
      </c>
      <c r="N218" s="39" t="n">
        <v>528</v>
      </c>
      <c r="O218" s="39" t="n">
        <v>20</v>
      </c>
      <c r="P218" s="39" t="n">
        <v>38</v>
      </c>
      <c r="Q218" s="39" t="n">
        <v>88</v>
      </c>
      <c r="R218" s="39" t="n">
        <v>72</v>
      </c>
      <c r="S218" s="39" t="n">
        <v>5</v>
      </c>
      <c r="T218" s="40" t="n">
        <f aca="false">IF(M218=0,0,N218/M218)</f>
        <v>0.293823038397329</v>
      </c>
      <c r="U218" s="40" t="n">
        <f aca="false">IF(M218=0,0,O218/M218)</f>
        <v>0.0111296605453534</v>
      </c>
      <c r="V218" s="41" t="n">
        <f aca="false">IF(M218=0,0,P218/M218)</f>
        <v>0.0211463550361714</v>
      </c>
      <c r="W218" s="40" t="n">
        <f aca="false">IF(L218=0,0,Q218/L218)</f>
        <v>0.046684350132626</v>
      </c>
    </row>
    <row r="219" customFormat="false" ht="15" hidden="false" customHeight="false" outlineLevel="0" collapsed="false">
      <c r="A219" s="37" t="s">
        <v>1480</v>
      </c>
      <c r="B219" s="38" t="n">
        <v>46188.4534490741</v>
      </c>
      <c r="C219" s="37" t="s">
        <v>1201</v>
      </c>
      <c r="D219" s="37" t="s">
        <v>1364</v>
      </c>
      <c r="E219" s="37" t="s">
        <v>1360</v>
      </c>
      <c r="F219" s="37" t="s">
        <v>550</v>
      </c>
      <c r="G219" s="37"/>
      <c r="H219" s="37" t="s">
        <v>66</v>
      </c>
      <c r="I219" s="37"/>
      <c r="J219" s="37" t="s">
        <v>430</v>
      </c>
      <c r="K219" s="37" t="s">
        <v>8</v>
      </c>
      <c r="L219" s="39" t="n">
        <v>13</v>
      </c>
      <c r="M219" s="39" t="n">
        <v>13</v>
      </c>
      <c r="N219" s="39" t="n">
        <v>6</v>
      </c>
      <c r="O219" s="39" t="n">
        <v>2</v>
      </c>
      <c r="P219" s="39" t="n">
        <v>0</v>
      </c>
      <c r="Q219" s="39" t="n">
        <v>0</v>
      </c>
      <c r="R219" s="39" t="n">
        <v>0</v>
      </c>
      <c r="S219" s="39" t="n">
        <v>0</v>
      </c>
      <c r="T219" s="40" t="n">
        <f aca="false">IF(M219=0,0,N219/M219)</f>
        <v>0.461538461538462</v>
      </c>
      <c r="U219" s="40" t="n">
        <f aca="false">IF(M219=0,0,O219/M219)</f>
        <v>0.153846153846154</v>
      </c>
      <c r="V219" s="41" t="n">
        <f aca="false">IF(M219=0,0,P219/M219)</f>
        <v>0</v>
      </c>
      <c r="W219" s="40" t="n">
        <f aca="false">IF(L219=0,0,Q219/L219)</f>
        <v>0</v>
      </c>
    </row>
    <row r="220" customFormat="false" ht="15" hidden="false" customHeight="false" outlineLevel="0" collapsed="false">
      <c r="A220" s="37" t="s">
        <v>1481</v>
      </c>
      <c r="B220" s="38" t="n">
        <v>46188.4392476852</v>
      </c>
      <c r="C220" s="37" t="s">
        <v>1201</v>
      </c>
      <c r="D220" s="37" t="s">
        <v>1366</v>
      </c>
      <c r="E220" s="37" t="s">
        <v>1360</v>
      </c>
      <c r="F220" s="37" t="s">
        <v>550</v>
      </c>
      <c r="G220" s="37"/>
      <c r="H220" s="37" t="s">
        <v>66</v>
      </c>
      <c r="I220" s="37"/>
      <c r="J220" s="37" t="s">
        <v>121</v>
      </c>
      <c r="K220" s="37" t="s">
        <v>1213</v>
      </c>
      <c r="L220" s="39" t="n">
        <v>186</v>
      </c>
      <c r="M220" s="39" t="n">
        <v>185</v>
      </c>
      <c r="N220" s="39" t="n">
        <v>53</v>
      </c>
      <c r="O220" s="39" t="n">
        <v>15</v>
      </c>
      <c r="P220" s="39" t="n">
        <v>0</v>
      </c>
      <c r="Q220" s="39" t="n">
        <v>1</v>
      </c>
      <c r="R220" s="39" t="n">
        <v>1</v>
      </c>
      <c r="S220" s="39" t="n">
        <v>0</v>
      </c>
      <c r="T220" s="40" t="n">
        <f aca="false">IF(M220=0,0,N220/M220)</f>
        <v>0.286486486486487</v>
      </c>
      <c r="U220" s="40" t="n">
        <f aca="false">IF(M220=0,0,O220/M220)</f>
        <v>0.0810810810810811</v>
      </c>
      <c r="V220" s="41" t="n">
        <f aca="false">IF(M220=0,0,P220/M220)</f>
        <v>0</v>
      </c>
      <c r="W220" s="40" t="n">
        <f aca="false">IF(L220=0,0,Q220/L220)</f>
        <v>0.00537634408602151</v>
      </c>
    </row>
    <row r="221" customFormat="false" ht="15" hidden="false" customHeight="false" outlineLevel="0" collapsed="false">
      <c r="A221" s="37" t="s">
        <v>1482</v>
      </c>
      <c r="B221" s="38" t="n">
        <v>46188.4320601852</v>
      </c>
      <c r="C221" s="37" t="s">
        <v>1201</v>
      </c>
      <c r="D221" s="37" t="s">
        <v>1359</v>
      </c>
      <c r="E221" s="37" t="s">
        <v>1360</v>
      </c>
      <c r="F221" s="37" t="s">
        <v>550</v>
      </c>
      <c r="G221" s="37"/>
      <c r="H221" s="37" t="s">
        <v>66</v>
      </c>
      <c r="I221" s="37"/>
      <c r="J221" s="37" t="s">
        <v>430</v>
      </c>
      <c r="K221" s="37" t="s">
        <v>8</v>
      </c>
      <c r="L221" s="39" t="n">
        <v>38</v>
      </c>
      <c r="M221" s="39" t="n">
        <v>38</v>
      </c>
      <c r="N221" s="39" t="n">
        <v>10</v>
      </c>
      <c r="O221" s="39" t="n">
        <v>4</v>
      </c>
      <c r="P221" s="39" t="n">
        <v>0</v>
      </c>
      <c r="Q221" s="39" t="n">
        <v>0</v>
      </c>
      <c r="R221" s="39" t="n">
        <v>0</v>
      </c>
      <c r="S221" s="39" t="n">
        <v>0</v>
      </c>
      <c r="T221" s="40" t="n">
        <f aca="false">IF(M221=0,0,N221/M221)</f>
        <v>0.263157894736842</v>
      </c>
      <c r="U221" s="40" t="n">
        <f aca="false">IF(M221=0,0,O221/M221)</f>
        <v>0.105263157894737</v>
      </c>
      <c r="V221" s="41" t="n">
        <f aca="false">IF(M221=0,0,P221/M221)</f>
        <v>0</v>
      </c>
      <c r="W221" s="40" t="n">
        <f aca="false">IF(L221=0,0,Q221/L221)</f>
        <v>0</v>
      </c>
    </row>
    <row r="222" customFormat="false" ht="15" hidden="false" customHeight="false" outlineLevel="0" collapsed="false">
      <c r="A222" s="37" t="s">
        <v>1483</v>
      </c>
      <c r="B222" s="38" t="n">
        <v>46188.1627199074</v>
      </c>
      <c r="C222" s="37" t="s">
        <v>1201</v>
      </c>
      <c r="D222" s="37" t="s">
        <v>1366</v>
      </c>
      <c r="E222" s="37" t="s">
        <v>1255</v>
      </c>
      <c r="F222" s="37" t="s">
        <v>544</v>
      </c>
      <c r="G222" s="37" t="s">
        <v>1484</v>
      </c>
      <c r="H222" s="37" t="s">
        <v>60</v>
      </c>
      <c r="I222" s="37"/>
      <c r="J222" s="37" t="s">
        <v>121</v>
      </c>
      <c r="K222" s="37" t="s">
        <v>1202</v>
      </c>
      <c r="L222" s="39" t="n">
        <v>40</v>
      </c>
      <c r="M222" s="39" t="n">
        <v>40</v>
      </c>
      <c r="N222" s="39" t="n">
        <v>18</v>
      </c>
      <c r="O222" s="39" t="n">
        <v>9</v>
      </c>
      <c r="P222" s="39" t="n">
        <v>1</v>
      </c>
      <c r="Q222" s="39" t="n">
        <v>0</v>
      </c>
      <c r="R222" s="39" t="n">
        <v>0</v>
      </c>
      <c r="S222" s="39" t="n">
        <v>0</v>
      </c>
      <c r="T222" s="40" t="n">
        <f aca="false">IF(M222=0,0,N222/M222)</f>
        <v>0.45</v>
      </c>
      <c r="U222" s="40" t="n">
        <f aca="false">IF(M222=0,0,O222/M222)</f>
        <v>0.225</v>
      </c>
      <c r="V222" s="41" t="n">
        <f aca="false">IF(M222=0,0,P222/M222)</f>
        <v>0.025</v>
      </c>
      <c r="W222" s="40" t="n">
        <f aca="false">IF(L222=0,0,Q222/L222)</f>
        <v>0</v>
      </c>
    </row>
    <row r="223" customFormat="false" ht="15" hidden="false" customHeight="false" outlineLevel="0" collapsed="false">
      <c r="A223" s="37" t="s">
        <v>1485</v>
      </c>
      <c r="B223" s="38" t="n">
        <v>46187.9957638889</v>
      </c>
      <c r="C223" s="37" t="s">
        <v>1201</v>
      </c>
      <c r="D223" s="37" t="s">
        <v>1435</v>
      </c>
      <c r="E223" s="37" t="s">
        <v>1436</v>
      </c>
      <c r="F223" s="37" t="s">
        <v>544</v>
      </c>
      <c r="G223" s="37"/>
      <c r="H223" s="37" t="s">
        <v>60</v>
      </c>
      <c r="I223" s="37"/>
      <c r="J223" s="37" t="s">
        <v>144</v>
      </c>
      <c r="K223" s="37" t="s">
        <v>1202</v>
      </c>
      <c r="L223" s="39" t="n">
        <v>609</v>
      </c>
      <c r="M223" s="39" t="n">
        <v>602</v>
      </c>
      <c r="N223" s="39" t="n">
        <v>208</v>
      </c>
      <c r="O223" s="39" t="n">
        <v>32</v>
      </c>
      <c r="P223" s="39" t="n">
        <v>4</v>
      </c>
      <c r="Q223" s="39" t="n">
        <v>7</v>
      </c>
      <c r="R223" s="39" t="n">
        <v>5</v>
      </c>
      <c r="S223" s="39" t="n">
        <v>0</v>
      </c>
      <c r="T223" s="40" t="n">
        <f aca="false">IF(M223=0,0,N223/M223)</f>
        <v>0.345514950166113</v>
      </c>
      <c r="U223" s="40" t="n">
        <f aca="false">IF(M223=0,0,O223/M223)</f>
        <v>0.053156146179402</v>
      </c>
      <c r="V223" s="41" t="n">
        <f aca="false">IF(M223=0,0,P223/M223)</f>
        <v>0.00664451827242525</v>
      </c>
      <c r="W223" s="40" t="n">
        <f aca="false">IF(L223=0,0,Q223/L223)</f>
        <v>0.0114942528735632</v>
      </c>
    </row>
    <row r="224" customFormat="false" ht="15" hidden="false" customHeight="false" outlineLevel="0" collapsed="false">
      <c r="A224" s="37" t="s">
        <v>1486</v>
      </c>
      <c r="B224" s="38" t="n">
        <v>46186.3652430556</v>
      </c>
      <c r="C224" s="37" t="s">
        <v>1201</v>
      </c>
      <c r="D224" s="37" t="s">
        <v>1372</v>
      </c>
      <c r="E224" s="37" t="s">
        <v>1373</v>
      </c>
      <c r="F224" s="37" t="s">
        <v>537</v>
      </c>
      <c r="G224" s="37"/>
      <c r="H224" s="37" t="s">
        <v>63</v>
      </c>
      <c r="I224" s="37"/>
      <c r="J224" s="37" t="s">
        <v>296</v>
      </c>
      <c r="K224" s="37" t="s">
        <v>1202</v>
      </c>
      <c r="L224" s="39" t="n">
        <v>2</v>
      </c>
      <c r="M224" s="39" t="n">
        <v>2</v>
      </c>
      <c r="N224" s="39" t="n">
        <v>2</v>
      </c>
      <c r="O224" s="39" t="n">
        <v>0</v>
      </c>
      <c r="P224" s="39" t="n">
        <v>0</v>
      </c>
      <c r="Q224" s="39" t="n">
        <v>0</v>
      </c>
      <c r="R224" s="39" t="n">
        <v>0</v>
      </c>
      <c r="S224" s="39" t="n">
        <v>0</v>
      </c>
      <c r="T224" s="40" t="n">
        <f aca="false">IF(M224=0,0,N224/M224)</f>
        <v>1</v>
      </c>
      <c r="U224" s="40" t="n">
        <f aca="false">IF(M224=0,0,O224/M224)</f>
        <v>0</v>
      </c>
      <c r="V224" s="41" t="n">
        <f aca="false">IF(M224=0,0,P224/M224)</f>
        <v>0</v>
      </c>
      <c r="W224" s="40" t="n">
        <f aca="false">IF(L224=0,0,Q224/L224)</f>
        <v>0</v>
      </c>
    </row>
    <row r="225" customFormat="false" ht="15" hidden="false" customHeight="false" outlineLevel="0" collapsed="false">
      <c r="A225" s="37" t="s">
        <v>1487</v>
      </c>
      <c r="B225" s="38" t="n">
        <v>46185.9690162037</v>
      </c>
      <c r="C225" s="37" t="s">
        <v>1201</v>
      </c>
      <c r="D225" s="37" t="s">
        <v>1372</v>
      </c>
      <c r="E225" s="37" t="s">
        <v>1373</v>
      </c>
      <c r="F225" s="37" t="s">
        <v>537</v>
      </c>
      <c r="G225" s="37"/>
      <c r="H225" s="37" t="s">
        <v>63</v>
      </c>
      <c r="I225" s="37"/>
      <c r="J225" s="37" t="s">
        <v>296</v>
      </c>
      <c r="K225" s="37" t="s">
        <v>1202</v>
      </c>
      <c r="L225" s="39" t="n">
        <v>2</v>
      </c>
      <c r="M225" s="39" t="n">
        <v>2</v>
      </c>
      <c r="N225" s="39" t="n">
        <v>2</v>
      </c>
      <c r="O225" s="39" t="n">
        <v>0</v>
      </c>
      <c r="P225" s="39" t="n">
        <v>0</v>
      </c>
      <c r="Q225" s="39" t="n">
        <v>0</v>
      </c>
      <c r="R225" s="39" t="n">
        <v>0</v>
      </c>
      <c r="S225" s="39" t="n">
        <v>0</v>
      </c>
      <c r="T225" s="40" t="n">
        <f aca="false">IF(M225=0,0,N225/M225)</f>
        <v>1</v>
      </c>
      <c r="U225" s="40" t="n">
        <f aca="false">IF(M225=0,0,O225/M225)</f>
        <v>0</v>
      </c>
      <c r="V225" s="41" t="n">
        <f aca="false">IF(M225=0,0,P225/M225)</f>
        <v>0</v>
      </c>
      <c r="W225" s="40" t="n">
        <f aca="false">IF(L225=0,0,Q225/L225)</f>
        <v>0</v>
      </c>
    </row>
    <row r="226" customFormat="false" ht="15" hidden="false" customHeight="false" outlineLevel="0" collapsed="false">
      <c r="A226" s="37" t="s">
        <v>1488</v>
      </c>
      <c r="B226" s="38" t="n">
        <v>46185.3546180556</v>
      </c>
      <c r="C226" s="37" t="s">
        <v>1201</v>
      </c>
      <c r="D226" s="37" t="s">
        <v>1372</v>
      </c>
      <c r="E226" s="37" t="s">
        <v>1373</v>
      </c>
      <c r="F226" s="37" t="s">
        <v>537</v>
      </c>
      <c r="G226" s="37"/>
      <c r="H226" s="37" t="s">
        <v>60</v>
      </c>
      <c r="I226" s="37"/>
      <c r="J226" s="37" t="s">
        <v>296</v>
      </c>
      <c r="K226" s="37" t="s">
        <v>1202</v>
      </c>
      <c r="L226" s="39" t="n">
        <v>2</v>
      </c>
      <c r="M226" s="39" t="n">
        <v>2</v>
      </c>
      <c r="N226" s="39" t="n">
        <v>2</v>
      </c>
      <c r="O226" s="39" t="n">
        <v>0</v>
      </c>
      <c r="P226" s="39" t="n">
        <v>0</v>
      </c>
      <c r="Q226" s="39" t="n">
        <v>0</v>
      </c>
      <c r="R226" s="39" t="n">
        <v>0</v>
      </c>
      <c r="S226" s="39" t="n">
        <v>0</v>
      </c>
      <c r="T226" s="40" t="n">
        <f aca="false">IF(M226=0,0,N226/M226)</f>
        <v>1</v>
      </c>
      <c r="U226" s="40" t="n">
        <f aca="false">IF(M226=0,0,O226/M226)</f>
        <v>0</v>
      </c>
      <c r="V226" s="41" t="n">
        <f aca="false">IF(M226=0,0,P226/M226)</f>
        <v>0</v>
      </c>
      <c r="W226" s="40" t="n">
        <f aca="false">IF(L226=0,0,Q226/L226)</f>
        <v>0</v>
      </c>
    </row>
    <row r="227" customFormat="false" ht="15" hidden="false" customHeight="false" outlineLevel="0" collapsed="false">
      <c r="A227" s="37" t="s">
        <v>1489</v>
      </c>
      <c r="B227" s="38" t="n">
        <v>46185.0699189815</v>
      </c>
      <c r="C227" s="37" t="s">
        <v>1201</v>
      </c>
      <c r="D227" s="37" t="s">
        <v>1366</v>
      </c>
      <c r="E227" s="37" t="s">
        <v>1255</v>
      </c>
      <c r="F227" s="37" t="s">
        <v>544</v>
      </c>
      <c r="G227" s="37" t="s">
        <v>1484</v>
      </c>
      <c r="H227" s="37" t="s">
        <v>60</v>
      </c>
      <c r="I227" s="37"/>
      <c r="J227" s="37" t="s">
        <v>121</v>
      </c>
      <c r="K227" s="37" t="s">
        <v>1202</v>
      </c>
      <c r="L227" s="39" t="n">
        <v>104</v>
      </c>
      <c r="M227" s="39" t="n">
        <v>101</v>
      </c>
      <c r="N227" s="39" t="n">
        <v>51</v>
      </c>
      <c r="O227" s="39" t="n">
        <v>17</v>
      </c>
      <c r="P227" s="39" t="n">
        <v>1</v>
      </c>
      <c r="Q227" s="39" t="n">
        <v>3</v>
      </c>
      <c r="R227" s="39" t="n">
        <v>3</v>
      </c>
      <c r="S227" s="39" t="n">
        <v>0</v>
      </c>
      <c r="T227" s="40" t="n">
        <f aca="false">IF(M227=0,0,N227/M227)</f>
        <v>0.504950495049505</v>
      </c>
      <c r="U227" s="40" t="n">
        <f aca="false">IF(M227=0,0,O227/M227)</f>
        <v>0.168316831683168</v>
      </c>
      <c r="V227" s="41" t="n">
        <f aca="false">IF(M227=0,0,P227/M227)</f>
        <v>0.0099009900990099</v>
      </c>
      <c r="W227" s="40" t="n">
        <f aca="false">IF(L227=0,0,Q227/L227)</f>
        <v>0.0288461538461538</v>
      </c>
    </row>
    <row r="228" customFormat="false" ht="15" hidden="false" customHeight="false" outlineLevel="0" collapsed="false">
      <c r="A228" s="37" t="s">
        <v>1490</v>
      </c>
      <c r="B228" s="38" t="n">
        <v>46185.0211805556</v>
      </c>
      <c r="C228" s="37" t="s">
        <v>1201</v>
      </c>
      <c r="D228" s="37" t="s">
        <v>1372</v>
      </c>
      <c r="E228" s="37" t="s">
        <v>1373</v>
      </c>
      <c r="F228" s="37" t="s">
        <v>537</v>
      </c>
      <c r="G228" s="37"/>
      <c r="H228" s="37" t="s">
        <v>63</v>
      </c>
      <c r="I228" s="37"/>
      <c r="J228" s="37" t="s">
        <v>296</v>
      </c>
      <c r="K228" s="37" t="s">
        <v>1202</v>
      </c>
      <c r="L228" s="39" t="n">
        <v>2</v>
      </c>
      <c r="M228" s="39" t="n">
        <v>2</v>
      </c>
      <c r="N228" s="39" t="n">
        <v>2</v>
      </c>
      <c r="O228" s="39" t="n">
        <v>0</v>
      </c>
      <c r="P228" s="39" t="n">
        <v>0</v>
      </c>
      <c r="Q228" s="39" t="n">
        <v>0</v>
      </c>
      <c r="R228" s="39" t="n">
        <v>0</v>
      </c>
      <c r="S228" s="39" t="n">
        <v>0</v>
      </c>
      <c r="T228" s="40" t="n">
        <f aca="false">IF(M228=0,0,N228/M228)</f>
        <v>1</v>
      </c>
      <c r="U228" s="40" t="n">
        <f aca="false">IF(M228=0,0,O228/M228)</f>
        <v>0</v>
      </c>
      <c r="V228" s="41" t="n">
        <f aca="false">IF(M228=0,0,P228/M228)</f>
        <v>0</v>
      </c>
      <c r="W228" s="40" t="n">
        <f aca="false">IF(L228=0,0,Q228/L228)</f>
        <v>0</v>
      </c>
    </row>
    <row r="229" customFormat="false" ht="15" hidden="false" customHeight="false" outlineLevel="0" collapsed="false">
      <c r="A229" s="37" t="s">
        <v>1491</v>
      </c>
      <c r="B229" s="38" t="n">
        <v>46184.8126851852</v>
      </c>
      <c r="C229" s="37" t="s">
        <v>1201</v>
      </c>
      <c r="D229" s="37" t="s">
        <v>1372</v>
      </c>
      <c r="E229" s="37" t="s">
        <v>1373</v>
      </c>
      <c r="F229" s="37" t="s">
        <v>537</v>
      </c>
      <c r="G229" s="37"/>
      <c r="H229" s="37" t="s">
        <v>60</v>
      </c>
      <c r="I229" s="37"/>
      <c r="J229" s="37" t="s">
        <v>296</v>
      </c>
      <c r="K229" s="37" t="s">
        <v>1202</v>
      </c>
      <c r="L229" s="39" t="n">
        <v>2</v>
      </c>
      <c r="M229" s="39" t="n">
        <v>2</v>
      </c>
      <c r="N229" s="39" t="n">
        <v>2</v>
      </c>
      <c r="O229" s="39" t="n">
        <v>0</v>
      </c>
      <c r="P229" s="39" t="n">
        <v>0</v>
      </c>
      <c r="Q229" s="39" t="n">
        <v>0</v>
      </c>
      <c r="R229" s="39" t="n">
        <v>0</v>
      </c>
      <c r="S229" s="39" t="n">
        <v>0</v>
      </c>
      <c r="T229" s="40" t="n">
        <f aca="false">IF(M229=0,0,N229/M229)</f>
        <v>1</v>
      </c>
      <c r="U229" s="40" t="n">
        <f aca="false">IF(M229=0,0,O229/M229)</f>
        <v>0</v>
      </c>
      <c r="V229" s="41" t="n">
        <f aca="false">IF(M229=0,0,P229/M229)</f>
        <v>0</v>
      </c>
      <c r="W229" s="40" t="n">
        <f aca="false">IF(L229=0,0,Q229/L229)</f>
        <v>0</v>
      </c>
    </row>
    <row r="230" customFormat="false" ht="15" hidden="false" customHeight="false" outlineLevel="0" collapsed="false">
      <c r="A230" s="37" t="s">
        <v>1492</v>
      </c>
      <c r="B230" s="38" t="n">
        <v>46184.6254861111</v>
      </c>
      <c r="C230" s="37" t="s">
        <v>1252</v>
      </c>
      <c r="D230" s="37" t="s">
        <v>1392</v>
      </c>
      <c r="E230" s="37" t="s">
        <v>166</v>
      </c>
      <c r="F230" s="37" t="s">
        <v>555</v>
      </c>
      <c r="G230" s="37" t="s">
        <v>1393</v>
      </c>
      <c r="H230" s="37" t="s">
        <v>61</v>
      </c>
      <c r="I230" s="37" t="s">
        <v>260</v>
      </c>
      <c r="J230" s="37" t="s">
        <v>164</v>
      </c>
      <c r="K230" s="37" t="s">
        <v>1202</v>
      </c>
      <c r="L230" s="39" t="n">
        <v>22</v>
      </c>
      <c r="M230" s="39" t="n">
        <v>22</v>
      </c>
      <c r="N230" s="39" t="n">
        <v>12</v>
      </c>
      <c r="O230" s="39" t="n">
        <v>1</v>
      </c>
      <c r="P230" s="39" t="n">
        <v>0</v>
      </c>
      <c r="Q230" s="39" t="n">
        <v>0</v>
      </c>
      <c r="R230" s="39" t="n">
        <v>0</v>
      </c>
      <c r="S230" s="39" t="n">
        <v>0</v>
      </c>
      <c r="T230" s="40" t="n">
        <f aca="false">IF(M230=0,0,N230/M230)</f>
        <v>0.545454545454545</v>
      </c>
      <c r="U230" s="40" t="n">
        <f aca="false">IF(M230=0,0,O230/M230)</f>
        <v>0.0454545454545455</v>
      </c>
      <c r="V230" s="41" t="n">
        <f aca="false">IF(M230=0,0,P230/M230)</f>
        <v>0</v>
      </c>
      <c r="W230" s="40" t="n">
        <f aca="false">IF(L230=0,0,Q230/L230)</f>
        <v>0</v>
      </c>
    </row>
    <row r="231" customFormat="false" ht="15" hidden="false" customHeight="false" outlineLevel="0" collapsed="false">
      <c r="A231" s="37" t="s">
        <v>1493</v>
      </c>
      <c r="B231" s="38" t="n">
        <v>46184.3547685185</v>
      </c>
      <c r="C231" s="37" t="s">
        <v>1201</v>
      </c>
      <c r="D231" s="37" t="s">
        <v>1372</v>
      </c>
      <c r="E231" s="37" t="s">
        <v>1373</v>
      </c>
      <c r="F231" s="37" t="s">
        <v>537</v>
      </c>
      <c r="G231" s="37"/>
      <c r="H231" s="37" t="s">
        <v>63</v>
      </c>
      <c r="I231" s="37"/>
      <c r="J231" s="37" t="s">
        <v>296</v>
      </c>
      <c r="K231" s="37" t="s">
        <v>1202</v>
      </c>
      <c r="L231" s="39" t="n">
        <v>1</v>
      </c>
      <c r="M231" s="39" t="n">
        <v>1</v>
      </c>
      <c r="N231" s="39" t="n">
        <v>1</v>
      </c>
      <c r="O231" s="39" t="n">
        <v>0</v>
      </c>
      <c r="P231" s="39" t="n">
        <v>0</v>
      </c>
      <c r="Q231" s="39" t="n">
        <v>0</v>
      </c>
      <c r="R231" s="39" t="n">
        <v>0</v>
      </c>
      <c r="S231" s="39" t="n">
        <v>0</v>
      </c>
      <c r="T231" s="40" t="n">
        <f aca="false">IF(M231=0,0,N231/M231)</f>
        <v>1</v>
      </c>
      <c r="U231" s="40" t="n">
        <f aca="false">IF(M231=0,0,O231/M231)</f>
        <v>0</v>
      </c>
      <c r="V231" s="41" t="n">
        <f aca="false">IF(M231=0,0,P231/M231)</f>
        <v>0</v>
      </c>
      <c r="W231" s="40" t="n">
        <f aca="false">IF(L231=0,0,Q231/L231)</f>
        <v>0</v>
      </c>
    </row>
    <row r="232" customFormat="false" ht="15" hidden="false" customHeight="false" outlineLevel="0" collapsed="false">
      <c r="A232" s="37" t="s">
        <v>1494</v>
      </c>
      <c r="B232" s="38" t="n">
        <v>46184.3545486111</v>
      </c>
      <c r="C232" s="37" t="s">
        <v>1201</v>
      </c>
      <c r="D232" s="37" t="s">
        <v>1372</v>
      </c>
      <c r="E232" s="37" t="s">
        <v>1373</v>
      </c>
      <c r="F232" s="37" t="s">
        <v>537</v>
      </c>
      <c r="G232" s="37"/>
      <c r="H232" s="37" t="s">
        <v>60</v>
      </c>
      <c r="I232" s="37"/>
      <c r="J232" s="37" t="s">
        <v>296</v>
      </c>
      <c r="K232" s="37" t="s">
        <v>1202</v>
      </c>
      <c r="L232" s="39" t="n">
        <v>2</v>
      </c>
      <c r="M232" s="39" t="n">
        <v>2</v>
      </c>
      <c r="N232" s="39" t="n">
        <v>2</v>
      </c>
      <c r="O232" s="39" t="n">
        <v>0</v>
      </c>
      <c r="P232" s="39" t="n">
        <v>0</v>
      </c>
      <c r="Q232" s="39" t="n">
        <v>0</v>
      </c>
      <c r="R232" s="39" t="n">
        <v>0</v>
      </c>
      <c r="S232" s="39" t="n">
        <v>0</v>
      </c>
      <c r="T232" s="40" t="n">
        <f aca="false">IF(M232=0,0,N232/M232)</f>
        <v>1</v>
      </c>
      <c r="U232" s="40" t="n">
        <f aca="false">IF(M232=0,0,O232/M232)</f>
        <v>0</v>
      </c>
      <c r="V232" s="41" t="n">
        <f aca="false">IF(M232=0,0,P232/M232)</f>
        <v>0</v>
      </c>
      <c r="W232" s="40" t="n">
        <f aca="false">IF(L232=0,0,Q232/L232)</f>
        <v>0</v>
      </c>
    </row>
    <row r="233" customFormat="false" ht="15" hidden="false" customHeight="false" outlineLevel="0" collapsed="false">
      <c r="A233" s="37" t="s">
        <v>1495</v>
      </c>
      <c r="B233" s="38" t="n">
        <v>46183.9794907407</v>
      </c>
      <c r="C233" s="37" t="s">
        <v>1201</v>
      </c>
      <c r="D233" s="37" t="s">
        <v>237</v>
      </c>
      <c r="E233" s="37" t="s">
        <v>238</v>
      </c>
      <c r="F233" s="37" t="s">
        <v>559</v>
      </c>
      <c r="G233" s="37" t="s">
        <v>1297</v>
      </c>
      <c r="H233" s="37" t="s">
        <v>61</v>
      </c>
      <c r="I233" s="37" t="s">
        <v>247</v>
      </c>
      <c r="J233" s="37" t="s">
        <v>236</v>
      </c>
      <c r="K233" s="37" t="s">
        <v>1202</v>
      </c>
      <c r="L233" s="39" t="n">
        <v>522</v>
      </c>
      <c r="M233" s="39" t="n">
        <v>516</v>
      </c>
      <c r="N233" s="39" t="n">
        <v>137</v>
      </c>
      <c r="O233" s="39" t="n">
        <v>2</v>
      </c>
      <c r="P233" s="39" t="n">
        <v>1</v>
      </c>
      <c r="Q233" s="39" t="n">
        <v>6</v>
      </c>
      <c r="R233" s="39" t="n">
        <v>2</v>
      </c>
      <c r="S233" s="39" t="n">
        <v>0</v>
      </c>
      <c r="T233" s="40" t="n">
        <f aca="false">IF(M233=0,0,N233/M233)</f>
        <v>0.265503875968992</v>
      </c>
      <c r="U233" s="40" t="n">
        <f aca="false">IF(M233=0,0,O233/M233)</f>
        <v>0.00387596899224806</v>
      </c>
      <c r="V233" s="41" t="n">
        <f aca="false">IF(M233=0,0,P233/M233)</f>
        <v>0.00193798449612403</v>
      </c>
      <c r="W233" s="40" t="n">
        <f aca="false">IF(L233=0,0,Q233/L233)</f>
        <v>0.0114942528735632</v>
      </c>
    </row>
    <row r="234" customFormat="false" ht="15" hidden="false" customHeight="false" outlineLevel="0" collapsed="false">
      <c r="A234" s="37" t="s">
        <v>1496</v>
      </c>
      <c r="B234" s="38" t="n">
        <v>46183.6228819444</v>
      </c>
      <c r="C234" s="37" t="s">
        <v>1201</v>
      </c>
      <c r="D234" s="37" t="s">
        <v>1497</v>
      </c>
      <c r="E234" s="37" t="s">
        <v>1233</v>
      </c>
      <c r="F234" s="37" t="s">
        <v>548</v>
      </c>
      <c r="G234" s="37"/>
      <c r="H234" s="37" t="s">
        <v>61</v>
      </c>
      <c r="I234" s="37"/>
      <c r="J234" s="37" t="s">
        <v>430</v>
      </c>
      <c r="K234" s="37" t="s">
        <v>8</v>
      </c>
      <c r="L234" s="39" t="n">
        <v>64</v>
      </c>
      <c r="M234" s="39" t="n">
        <v>64</v>
      </c>
      <c r="N234" s="39" t="n">
        <v>32</v>
      </c>
      <c r="O234" s="39" t="n">
        <v>10</v>
      </c>
      <c r="P234" s="39" t="n">
        <v>2</v>
      </c>
      <c r="Q234" s="39" t="n">
        <v>0</v>
      </c>
      <c r="R234" s="39" t="n">
        <v>0</v>
      </c>
      <c r="S234" s="39" t="n">
        <v>0</v>
      </c>
      <c r="T234" s="40" t="n">
        <f aca="false">IF(M234=0,0,N234/M234)</f>
        <v>0.5</v>
      </c>
      <c r="U234" s="40" t="n">
        <f aca="false">IF(M234=0,0,O234/M234)</f>
        <v>0.15625</v>
      </c>
      <c r="V234" s="41" t="n">
        <f aca="false">IF(M234=0,0,P234/M234)</f>
        <v>0.03125</v>
      </c>
      <c r="W234" s="40" t="n">
        <f aca="false">IF(L234=0,0,Q234/L234)</f>
        <v>0</v>
      </c>
    </row>
    <row r="235" customFormat="false" ht="15" hidden="false" customHeight="false" outlineLevel="0" collapsed="false">
      <c r="A235" s="37" t="s">
        <v>1498</v>
      </c>
      <c r="B235" s="38" t="n">
        <v>46182.9167708333</v>
      </c>
      <c r="C235" s="37" t="s">
        <v>1246</v>
      </c>
      <c r="D235" s="37" t="s">
        <v>152</v>
      </c>
      <c r="E235" s="37" t="s">
        <v>1344</v>
      </c>
      <c r="F235" s="37" t="s">
        <v>152</v>
      </c>
      <c r="G235" s="37"/>
      <c r="H235" s="37" t="s">
        <v>61</v>
      </c>
      <c r="I235" s="37" t="s">
        <v>150</v>
      </c>
      <c r="J235" s="37" t="s">
        <v>151</v>
      </c>
      <c r="K235" s="37" t="s">
        <v>1202</v>
      </c>
      <c r="L235" s="39" t="n">
        <v>916</v>
      </c>
      <c r="M235" s="39" t="n">
        <v>915</v>
      </c>
      <c r="N235" s="39" t="n">
        <v>298</v>
      </c>
      <c r="O235" s="39" t="n">
        <v>106</v>
      </c>
      <c r="P235" s="39" t="n">
        <v>1</v>
      </c>
      <c r="Q235" s="39" t="n">
        <v>1</v>
      </c>
      <c r="R235" s="39" t="n">
        <v>0</v>
      </c>
      <c r="S235" s="39" t="n">
        <v>0</v>
      </c>
      <c r="T235" s="40" t="n">
        <f aca="false">IF(M235=0,0,N235/M235)</f>
        <v>0.32568306010929</v>
      </c>
      <c r="U235" s="40" t="n">
        <f aca="false">IF(M235=0,0,O235/M235)</f>
        <v>0.115846994535519</v>
      </c>
      <c r="V235" s="41" t="n">
        <f aca="false">IF(M235=0,0,P235/M235)</f>
        <v>0.00109289617486339</v>
      </c>
      <c r="W235" s="40" t="n">
        <f aca="false">IF(L235=0,0,Q235/L235)</f>
        <v>0.00109170305676856</v>
      </c>
    </row>
    <row r="236" customFormat="false" ht="15" hidden="false" customHeight="false" outlineLevel="0" collapsed="false">
      <c r="A236" s="37" t="s">
        <v>1499</v>
      </c>
      <c r="B236" s="38" t="n">
        <v>46182.4887384259</v>
      </c>
      <c r="C236" s="37" t="s">
        <v>1201</v>
      </c>
      <c r="D236" s="37" t="s">
        <v>1364</v>
      </c>
      <c r="E236" s="37" t="s">
        <v>1360</v>
      </c>
      <c r="F236" s="37" t="s">
        <v>550</v>
      </c>
      <c r="G236" s="37"/>
      <c r="H236" s="37" t="s">
        <v>66</v>
      </c>
      <c r="I236" s="37"/>
      <c r="J236" s="37" t="s">
        <v>430</v>
      </c>
      <c r="K236" s="37" t="s">
        <v>8</v>
      </c>
      <c r="L236" s="39" t="n">
        <v>17</v>
      </c>
      <c r="M236" s="39" t="n">
        <v>17</v>
      </c>
      <c r="N236" s="39" t="n">
        <v>13</v>
      </c>
      <c r="O236" s="39" t="n">
        <v>4</v>
      </c>
      <c r="P236" s="39" t="n">
        <v>0</v>
      </c>
      <c r="Q236" s="39" t="n">
        <v>0</v>
      </c>
      <c r="R236" s="39" t="n">
        <v>0</v>
      </c>
      <c r="S236" s="39" t="n">
        <v>0</v>
      </c>
      <c r="T236" s="40" t="n">
        <f aca="false">IF(M236=0,0,N236/M236)</f>
        <v>0.764705882352941</v>
      </c>
      <c r="U236" s="40" t="n">
        <f aca="false">IF(M236=0,0,O236/M236)</f>
        <v>0.235294117647059</v>
      </c>
      <c r="V236" s="41" t="n">
        <f aca="false">IF(M236=0,0,P236/M236)</f>
        <v>0</v>
      </c>
      <c r="W236" s="40" t="n">
        <f aca="false">IF(L236=0,0,Q236/L236)</f>
        <v>0</v>
      </c>
    </row>
    <row r="237" customFormat="false" ht="15" hidden="false" customHeight="false" outlineLevel="0" collapsed="false">
      <c r="A237" s="37" t="s">
        <v>1500</v>
      </c>
      <c r="B237" s="38" t="n">
        <v>46182.4839699074</v>
      </c>
      <c r="C237" s="37" t="s">
        <v>1201</v>
      </c>
      <c r="D237" s="37" t="s">
        <v>1366</v>
      </c>
      <c r="E237" s="37" t="s">
        <v>1360</v>
      </c>
      <c r="F237" s="37" t="s">
        <v>550</v>
      </c>
      <c r="G237" s="37"/>
      <c r="H237" s="37" t="s">
        <v>66</v>
      </c>
      <c r="I237" s="37"/>
      <c r="J237" s="37" t="s">
        <v>121</v>
      </c>
      <c r="K237" s="37" t="s">
        <v>1213</v>
      </c>
      <c r="L237" s="39" t="n">
        <v>186</v>
      </c>
      <c r="M237" s="39" t="n">
        <v>186</v>
      </c>
      <c r="N237" s="39" t="n">
        <v>57</v>
      </c>
      <c r="O237" s="39" t="n">
        <v>17</v>
      </c>
      <c r="P237" s="39" t="n">
        <v>0</v>
      </c>
      <c r="Q237" s="39" t="n">
        <v>0</v>
      </c>
      <c r="R237" s="39" t="n">
        <v>0</v>
      </c>
      <c r="S237" s="39" t="n">
        <v>0</v>
      </c>
      <c r="T237" s="40" t="n">
        <f aca="false">IF(M237=0,0,N237/M237)</f>
        <v>0.306451612903226</v>
      </c>
      <c r="U237" s="40" t="n">
        <f aca="false">IF(M237=0,0,O237/M237)</f>
        <v>0.0913978494623656</v>
      </c>
      <c r="V237" s="41" t="n">
        <f aca="false">IF(M237=0,0,P237/M237)</f>
        <v>0</v>
      </c>
      <c r="W237" s="40" t="n">
        <f aca="false">IF(L237=0,0,Q237/L237)</f>
        <v>0</v>
      </c>
    </row>
    <row r="238" customFormat="false" ht="15" hidden="false" customHeight="false" outlineLevel="0" collapsed="false">
      <c r="A238" s="37" t="s">
        <v>1501</v>
      </c>
      <c r="B238" s="38" t="n">
        <v>46182.4726388889</v>
      </c>
      <c r="C238" s="37" t="s">
        <v>1201</v>
      </c>
      <c r="D238" s="37" t="s">
        <v>1359</v>
      </c>
      <c r="E238" s="37" t="s">
        <v>1360</v>
      </c>
      <c r="F238" s="37" t="s">
        <v>550</v>
      </c>
      <c r="G238" s="37"/>
      <c r="H238" s="37" t="s">
        <v>66</v>
      </c>
      <c r="I238" s="37"/>
      <c r="J238" s="37" t="s">
        <v>430</v>
      </c>
      <c r="K238" s="37" t="s">
        <v>8</v>
      </c>
      <c r="L238" s="39" t="n">
        <v>45</v>
      </c>
      <c r="M238" s="39" t="n">
        <v>45</v>
      </c>
      <c r="N238" s="39" t="n">
        <v>14</v>
      </c>
      <c r="O238" s="39" t="n">
        <v>8</v>
      </c>
      <c r="P238" s="39" t="n">
        <v>0</v>
      </c>
      <c r="Q238" s="39" t="n">
        <v>0</v>
      </c>
      <c r="R238" s="39" t="n">
        <v>0</v>
      </c>
      <c r="S238" s="39" t="n">
        <v>0</v>
      </c>
      <c r="T238" s="40" t="n">
        <f aca="false">IF(M238=0,0,N238/M238)</f>
        <v>0.311111111111111</v>
      </c>
      <c r="U238" s="40" t="n">
        <f aca="false">IF(M238=0,0,O238/M238)</f>
        <v>0.177777777777778</v>
      </c>
      <c r="V238" s="41" t="n">
        <f aca="false">IF(M238=0,0,P238/M238)</f>
        <v>0</v>
      </c>
      <c r="W238" s="40" t="n">
        <f aca="false">IF(L238=0,0,Q238/L238)</f>
        <v>0</v>
      </c>
    </row>
    <row r="239" customFormat="false" ht="15" hidden="false" customHeight="false" outlineLevel="0" collapsed="false">
      <c r="A239" s="37" t="s">
        <v>1502</v>
      </c>
      <c r="B239" s="38" t="n">
        <v>46182.2961111111</v>
      </c>
      <c r="C239" s="37" t="s">
        <v>1201</v>
      </c>
      <c r="D239" s="37" t="s">
        <v>1211</v>
      </c>
      <c r="E239" s="37" t="s">
        <v>1212</v>
      </c>
      <c r="F239" s="37" t="s">
        <v>544</v>
      </c>
      <c r="G239" s="37"/>
      <c r="H239" s="37" t="s">
        <v>60</v>
      </c>
      <c r="I239" s="37"/>
      <c r="J239" s="37" t="s">
        <v>100</v>
      </c>
      <c r="K239" s="37" t="s">
        <v>1213</v>
      </c>
      <c r="L239" s="39" t="n">
        <v>131</v>
      </c>
      <c r="M239" s="39" t="n">
        <v>131</v>
      </c>
      <c r="N239" s="39" t="n">
        <v>81</v>
      </c>
      <c r="O239" s="39" t="n">
        <v>10</v>
      </c>
      <c r="P239" s="39" t="n">
        <v>1</v>
      </c>
      <c r="Q239" s="39" t="n">
        <v>0</v>
      </c>
      <c r="R239" s="39" t="n">
        <v>0</v>
      </c>
      <c r="S239" s="39" t="n">
        <v>0</v>
      </c>
      <c r="T239" s="40" t="n">
        <f aca="false">IF(M239=0,0,N239/M239)</f>
        <v>0.618320610687023</v>
      </c>
      <c r="U239" s="40" t="n">
        <f aca="false">IF(M239=0,0,O239/M239)</f>
        <v>0.0763358778625954</v>
      </c>
      <c r="V239" s="41" t="n">
        <f aca="false">IF(M239=0,0,P239/M239)</f>
        <v>0.00763358778625954</v>
      </c>
      <c r="W239" s="40" t="n">
        <f aca="false">IF(L239=0,0,Q239/L239)</f>
        <v>0</v>
      </c>
    </row>
    <row r="240" customFormat="false" ht="15" hidden="false" customHeight="false" outlineLevel="0" collapsed="false">
      <c r="A240" s="37" t="s">
        <v>1503</v>
      </c>
      <c r="B240" s="38" t="n">
        <v>46182.1187962963</v>
      </c>
      <c r="C240" s="37" t="s">
        <v>1201</v>
      </c>
      <c r="D240" s="37" t="s">
        <v>1504</v>
      </c>
      <c r="E240" s="37" t="s">
        <v>1436</v>
      </c>
      <c r="F240" s="37" t="s">
        <v>555</v>
      </c>
      <c r="G240" s="37"/>
      <c r="H240" s="37" t="s">
        <v>61</v>
      </c>
      <c r="I240" s="37" t="s">
        <v>143</v>
      </c>
      <c r="J240" s="37" t="s">
        <v>144</v>
      </c>
      <c r="K240" s="37" t="s">
        <v>1202</v>
      </c>
      <c r="L240" s="39" t="n">
        <v>2</v>
      </c>
      <c r="M240" s="39" t="n">
        <v>2</v>
      </c>
      <c r="N240" s="39" t="n">
        <v>2</v>
      </c>
      <c r="O240" s="39" t="n">
        <v>1</v>
      </c>
      <c r="P240" s="39" t="n">
        <v>0</v>
      </c>
      <c r="Q240" s="39" t="n">
        <v>0</v>
      </c>
      <c r="R240" s="39" t="n">
        <v>0</v>
      </c>
      <c r="S240" s="39" t="n">
        <v>0</v>
      </c>
      <c r="T240" s="40" t="n">
        <f aca="false">IF(M240=0,0,N240/M240)</f>
        <v>1</v>
      </c>
      <c r="U240" s="40" t="n">
        <f aca="false">IF(M240=0,0,O240/M240)</f>
        <v>0.5</v>
      </c>
      <c r="V240" s="41" t="n">
        <f aca="false">IF(M240=0,0,P240/M240)</f>
        <v>0</v>
      </c>
      <c r="W240" s="40" t="n">
        <f aca="false">IF(L240=0,0,Q240/L240)</f>
        <v>0</v>
      </c>
    </row>
    <row r="241" customFormat="false" ht="15" hidden="false" customHeight="false" outlineLevel="0" collapsed="false">
      <c r="A241" s="37" t="s">
        <v>1505</v>
      </c>
      <c r="B241" s="38" t="n">
        <v>46181.0434259259</v>
      </c>
      <c r="C241" s="37" t="s">
        <v>1201</v>
      </c>
      <c r="D241" s="37" t="s">
        <v>1366</v>
      </c>
      <c r="E241" s="37" t="s">
        <v>1255</v>
      </c>
      <c r="F241" s="37" t="s">
        <v>544</v>
      </c>
      <c r="G241" s="37" t="s">
        <v>1484</v>
      </c>
      <c r="H241" s="37" t="s">
        <v>60</v>
      </c>
      <c r="I241" s="37"/>
      <c r="J241" s="37" t="s">
        <v>121</v>
      </c>
      <c r="K241" s="37" t="s">
        <v>1202</v>
      </c>
      <c r="L241" s="39" t="n">
        <v>672</v>
      </c>
      <c r="M241" s="39" t="n">
        <v>671</v>
      </c>
      <c r="N241" s="39" t="n">
        <v>275</v>
      </c>
      <c r="O241" s="39" t="n">
        <v>89</v>
      </c>
      <c r="P241" s="39" t="n">
        <v>2</v>
      </c>
      <c r="Q241" s="39" t="n">
        <v>1</v>
      </c>
      <c r="R241" s="39" t="n">
        <v>1</v>
      </c>
      <c r="S241" s="39" t="n">
        <v>0</v>
      </c>
      <c r="T241" s="40" t="n">
        <f aca="false">IF(M241=0,0,N241/M241)</f>
        <v>0.409836065573771</v>
      </c>
      <c r="U241" s="40" t="n">
        <f aca="false">IF(M241=0,0,O241/M241)</f>
        <v>0.132637853949329</v>
      </c>
      <c r="V241" s="41" t="n">
        <f aca="false">IF(M241=0,0,P241/M241)</f>
        <v>0.0029806259314456</v>
      </c>
      <c r="W241" s="40" t="n">
        <f aca="false">IF(L241=0,0,Q241/L241)</f>
        <v>0.00148809523809524</v>
      </c>
    </row>
    <row r="242" customFormat="false" ht="15" hidden="false" customHeight="false" outlineLevel="0" collapsed="false">
      <c r="A242" s="37" t="s">
        <v>1506</v>
      </c>
      <c r="B242" s="38" t="n">
        <v>46180.9369907407</v>
      </c>
      <c r="C242" s="37" t="s">
        <v>1201</v>
      </c>
      <c r="D242" s="37" t="s">
        <v>1504</v>
      </c>
      <c r="E242" s="37" t="s">
        <v>1436</v>
      </c>
      <c r="F242" s="37" t="s">
        <v>555</v>
      </c>
      <c r="G242" s="37"/>
      <c r="H242" s="37" t="s">
        <v>61</v>
      </c>
      <c r="I242" s="37" t="s">
        <v>143</v>
      </c>
      <c r="J242" s="37" t="s">
        <v>144</v>
      </c>
      <c r="K242" s="37" t="s">
        <v>1202</v>
      </c>
      <c r="L242" s="39" t="n">
        <v>2026</v>
      </c>
      <c r="M242" s="39" t="n">
        <v>1991</v>
      </c>
      <c r="N242" s="39" t="n">
        <v>667</v>
      </c>
      <c r="O242" s="39" t="n">
        <v>25</v>
      </c>
      <c r="P242" s="39" t="n">
        <v>28</v>
      </c>
      <c r="Q242" s="39" t="n">
        <v>35</v>
      </c>
      <c r="R242" s="39" t="n">
        <v>17</v>
      </c>
      <c r="S242" s="39" t="n">
        <v>0</v>
      </c>
      <c r="T242" s="40" t="n">
        <f aca="false">IF(M242=0,0,N242/M242)</f>
        <v>0.335007533902562</v>
      </c>
      <c r="U242" s="40" t="n">
        <f aca="false">IF(M242=0,0,O242/M242)</f>
        <v>0.0125565042692115</v>
      </c>
      <c r="V242" s="41" t="n">
        <f aca="false">IF(M242=0,0,P242/M242)</f>
        <v>0.0140632847815168</v>
      </c>
      <c r="W242" s="40" t="n">
        <f aca="false">IF(L242=0,0,Q242/L242)</f>
        <v>0.0172754195459033</v>
      </c>
    </row>
    <row r="243" customFormat="false" ht="15" hidden="false" customHeight="false" outlineLevel="0" collapsed="false">
      <c r="A243" s="37" t="s">
        <v>1507</v>
      </c>
      <c r="B243" s="38" t="n">
        <v>46177.6256828704</v>
      </c>
      <c r="C243" s="37" t="s">
        <v>1252</v>
      </c>
      <c r="D243" s="37" t="s">
        <v>1392</v>
      </c>
      <c r="E243" s="37" t="s">
        <v>166</v>
      </c>
      <c r="F243" s="37" t="s">
        <v>555</v>
      </c>
      <c r="G243" s="37" t="s">
        <v>1393</v>
      </c>
      <c r="H243" s="37" t="s">
        <v>61</v>
      </c>
      <c r="I243" s="37" t="s">
        <v>260</v>
      </c>
      <c r="J243" s="37" t="s">
        <v>164</v>
      </c>
      <c r="K243" s="37" t="s">
        <v>1202</v>
      </c>
      <c r="L243" s="39" t="n">
        <v>22</v>
      </c>
      <c r="M243" s="39" t="n">
        <v>22</v>
      </c>
      <c r="N243" s="39" t="n">
        <v>12</v>
      </c>
      <c r="O243" s="39" t="n">
        <v>2</v>
      </c>
      <c r="P243" s="39" t="n">
        <v>0</v>
      </c>
      <c r="Q243" s="39" t="n">
        <v>0</v>
      </c>
      <c r="R243" s="39" t="n">
        <v>0</v>
      </c>
      <c r="S243" s="39" t="n">
        <v>0</v>
      </c>
      <c r="T243" s="40" t="n">
        <f aca="false">IF(M243=0,0,N243/M243)</f>
        <v>0.545454545454545</v>
      </c>
      <c r="U243" s="40" t="n">
        <f aca="false">IF(M243=0,0,O243/M243)</f>
        <v>0.0909090909090909</v>
      </c>
      <c r="V243" s="41" t="n">
        <f aca="false">IF(M243=0,0,P243/M243)</f>
        <v>0</v>
      </c>
      <c r="W243" s="40" t="n">
        <f aca="false">IF(L243=0,0,Q243/L243)</f>
        <v>0</v>
      </c>
    </row>
    <row r="244" customFormat="false" ht="15" hidden="false" customHeight="false" outlineLevel="0" collapsed="false">
      <c r="A244" s="37" t="s">
        <v>1508</v>
      </c>
      <c r="B244" s="38" t="n">
        <v>46177.3855555556</v>
      </c>
      <c r="C244" s="37" t="s">
        <v>1201</v>
      </c>
      <c r="D244" s="37" t="s">
        <v>1372</v>
      </c>
      <c r="E244" s="37" t="s">
        <v>1373</v>
      </c>
      <c r="F244" s="37" t="s">
        <v>537</v>
      </c>
      <c r="G244" s="37"/>
      <c r="H244" s="37" t="s">
        <v>63</v>
      </c>
      <c r="I244" s="37"/>
      <c r="J244" s="37" t="s">
        <v>296</v>
      </c>
      <c r="K244" s="37" t="s">
        <v>1202</v>
      </c>
      <c r="L244" s="39" t="n">
        <v>2</v>
      </c>
      <c r="M244" s="39" t="n">
        <v>2</v>
      </c>
      <c r="N244" s="39" t="n">
        <v>2</v>
      </c>
      <c r="O244" s="39" t="n">
        <v>0</v>
      </c>
      <c r="P244" s="39" t="n">
        <v>0</v>
      </c>
      <c r="Q244" s="39" t="n">
        <v>0</v>
      </c>
      <c r="R244" s="39" t="n">
        <v>0</v>
      </c>
      <c r="S244" s="39" t="n">
        <v>0</v>
      </c>
      <c r="T244" s="40" t="n">
        <f aca="false">IF(M244=0,0,N244/M244)</f>
        <v>1</v>
      </c>
      <c r="U244" s="40" t="n">
        <f aca="false">IF(M244=0,0,O244/M244)</f>
        <v>0</v>
      </c>
      <c r="V244" s="41" t="n">
        <f aca="false">IF(M244=0,0,P244/M244)</f>
        <v>0</v>
      </c>
      <c r="W244" s="40" t="n">
        <f aca="false">IF(L244=0,0,Q244/L244)</f>
        <v>0</v>
      </c>
    </row>
    <row r="245" customFormat="false" ht="15" hidden="false" customHeight="false" outlineLevel="0" collapsed="false">
      <c r="A245" s="37" t="s">
        <v>1509</v>
      </c>
      <c r="B245" s="38" t="n">
        <v>46177.3855208333</v>
      </c>
      <c r="C245" s="37" t="s">
        <v>1201</v>
      </c>
      <c r="D245" s="37" t="s">
        <v>1372</v>
      </c>
      <c r="E245" s="37" t="s">
        <v>1373</v>
      </c>
      <c r="F245" s="37" t="s">
        <v>537</v>
      </c>
      <c r="G245" s="37"/>
      <c r="H245" s="37" t="s">
        <v>63</v>
      </c>
      <c r="I245" s="37"/>
      <c r="J245" s="37" t="s">
        <v>296</v>
      </c>
      <c r="K245" s="37" t="s">
        <v>1202</v>
      </c>
      <c r="L245" s="39" t="n">
        <v>2</v>
      </c>
      <c r="M245" s="39" t="n">
        <v>2</v>
      </c>
      <c r="N245" s="39" t="n">
        <v>2</v>
      </c>
      <c r="O245" s="39" t="n">
        <v>0</v>
      </c>
      <c r="P245" s="39" t="n">
        <v>0</v>
      </c>
      <c r="Q245" s="39" t="n">
        <v>0</v>
      </c>
      <c r="R245" s="39" t="n">
        <v>0</v>
      </c>
      <c r="S245" s="39" t="n">
        <v>0</v>
      </c>
      <c r="T245" s="40" t="n">
        <f aca="false">IF(M245=0,0,N245/M245)</f>
        <v>1</v>
      </c>
      <c r="U245" s="40" t="n">
        <f aca="false">IF(M245=0,0,O245/M245)</f>
        <v>0</v>
      </c>
      <c r="V245" s="41" t="n">
        <f aca="false">IF(M245=0,0,P245/M245)</f>
        <v>0</v>
      </c>
      <c r="W245" s="40" t="n">
        <f aca="false">IF(L245=0,0,Q245/L245)</f>
        <v>0</v>
      </c>
    </row>
    <row r="246" customFormat="false" ht="15" hidden="false" customHeight="false" outlineLevel="0" collapsed="false">
      <c r="A246" s="37" t="s">
        <v>1510</v>
      </c>
      <c r="B246" s="38" t="n">
        <v>46177.2604166667</v>
      </c>
      <c r="C246" s="37" t="s">
        <v>1201</v>
      </c>
      <c r="D246" s="37" t="s">
        <v>1511</v>
      </c>
      <c r="E246" s="37" t="s">
        <v>1512</v>
      </c>
      <c r="F246" s="37" t="s">
        <v>537</v>
      </c>
      <c r="G246" s="37"/>
      <c r="H246" s="37" t="s">
        <v>67</v>
      </c>
      <c r="I246" s="37"/>
      <c r="J246" s="37" t="s">
        <v>296</v>
      </c>
      <c r="K246" s="37" t="s">
        <v>1202</v>
      </c>
      <c r="L246" s="39" t="n">
        <v>680</v>
      </c>
      <c r="M246" s="39" t="n">
        <v>680</v>
      </c>
      <c r="N246" s="39" t="n">
        <v>434</v>
      </c>
      <c r="O246" s="39" t="n">
        <v>34</v>
      </c>
      <c r="P246" s="39" t="n">
        <v>0</v>
      </c>
      <c r="Q246" s="39" t="n">
        <v>0</v>
      </c>
      <c r="R246" s="39" t="n">
        <v>0</v>
      </c>
      <c r="S246" s="39" t="n">
        <v>0</v>
      </c>
      <c r="T246" s="40" t="n">
        <f aca="false">IF(M246=0,0,N246/M246)</f>
        <v>0.638235294117647</v>
      </c>
      <c r="U246" s="40" t="n">
        <f aca="false">IF(M246=0,0,O246/M246)</f>
        <v>0.05</v>
      </c>
      <c r="V246" s="41" t="n">
        <f aca="false">IF(M246=0,0,P246/M246)</f>
        <v>0</v>
      </c>
      <c r="W246" s="40" t="n">
        <f aca="false">IF(L246=0,0,Q246/L246)</f>
        <v>0</v>
      </c>
    </row>
    <row r="247" customFormat="false" ht="15" hidden="false" customHeight="false" outlineLevel="0" collapsed="false">
      <c r="A247" s="37" t="s">
        <v>1513</v>
      </c>
      <c r="B247" s="38" t="n">
        <v>46177.15625</v>
      </c>
      <c r="C247" s="37" t="s">
        <v>1201</v>
      </c>
      <c r="D247" s="37" t="s">
        <v>1328</v>
      </c>
      <c r="E247" s="37" t="s">
        <v>1328</v>
      </c>
      <c r="F247" s="37" t="s">
        <v>555</v>
      </c>
      <c r="G247" s="37"/>
      <c r="H247" s="37" t="s">
        <v>60</v>
      </c>
      <c r="I247" s="37"/>
      <c r="J247" s="37" t="s">
        <v>144</v>
      </c>
      <c r="K247" s="37" t="s">
        <v>1202</v>
      </c>
      <c r="L247" s="39" t="n">
        <v>776</v>
      </c>
      <c r="M247" s="39" t="n">
        <v>759</v>
      </c>
      <c r="N247" s="39" t="n">
        <v>234</v>
      </c>
      <c r="O247" s="39" t="n">
        <v>64</v>
      </c>
      <c r="P247" s="39" t="n">
        <v>11</v>
      </c>
      <c r="Q247" s="39" t="n">
        <v>17</v>
      </c>
      <c r="R247" s="39" t="n">
        <v>7</v>
      </c>
      <c r="S247" s="39" t="n">
        <v>0</v>
      </c>
      <c r="T247" s="40" t="n">
        <f aca="false">IF(M247=0,0,N247/M247)</f>
        <v>0.308300395256917</v>
      </c>
      <c r="U247" s="40" t="n">
        <f aca="false">IF(M247=0,0,O247/M247)</f>
        <v>0.0843214756258235</v>
      </c>
      <c r="V247" s="41" t="n">
        <f aca="false">IF(M247=0,0,P247/M247)</f>
        <v>0.0144927536231884</v>
      </c>
      <c r="W247" s="40" t="n">
        <f aca="false">IF(L247=0,0,Q247/L247)</f>
        <v>0.0219072164948454</v>
      </c>
    </row>
    <row r="248" customFormat="false" ht="15" hidden="false" customHeight="false" outlineLevel="0" collapsed="false">
      <c r="A248" s="37" t="s">
        <v>1514</v>
      </c>
      <c r="B248" s="38" t="n">
        <v>46177.0704050926</v>
      </c>
      <c r="C248" s="37" t="s">
        <v>1201</v>
      </c>
      <c r="D248" s="37" t="s">
        <v>122</v>
      </c>
      <c r="E248" s="37" t="s">
        <v>1515</v>
      </c>
      <c r="F248" s="37" t="s">
        <v>555</v>
      </c>
      <c r="G248" s="37" t="s">
        <v>1256</v>
      </c>
      <c r="H248" s="37" t="s">
        <v>61</v>
      </c>
      <c r="I248" s="37" t="s">
        <v>120</v>
      </c>
      <c r="J248" s="37" t="s">
        <v>121</v>
      </c>
      <c r="K248" s="37" t="s">
        <v>1202</v>
      </c>
      <c r="L248" s="39" t="n">
        <v>5788</v>
      </c>
      <c r="M248" s="39" t="n">
        <v>5732</v>
      </c>
      <c r="N248" s="39" t="n">
        <v>1507</v>
      </c>
      <c r="O248" s="39" t="n">
        <v>93</v>
      </c>
      <c r="P248" s="39" t="n">
        <v>34</v>
      </c>
      <c r="Q248" s="39" t="n">
        <v>56</v>
      </c>
      <c r="R248" s="39" t="n">
        <v>16</v>
      </c>
      <c r="S248" s="39" t="n">
        <v>0</v>
      </c>
      <c r="T248" s="40" t="n">
        <f aca="false">IF(M248=0,0,N248/M248)</f>
        <v>0.262909979064899</v>
      </c>
      <c r="U248" s="40" t="n">
        <f aca="false">IF(M248=0,0,O248/M248)</f>
        <v>0.0162247034193999</v>
      </c>
      <c r="V248" s="41" t="n">
        <f aca="false">IF(M248=0,0,P248/M248)</f>
        <v>0.00593161200279135</v>
      </c>
      <c r="W248" s="40" t="n">
        <f aca="false">IF(L248=0,0,Q248/L248)</f>
        <v>0.00967519004837595</v>
      </c>
    </row>
    <row r="249" customFormat="false" ht="15" hidden="false" customHeight="false" outlineLevel="0" collapsed="false">
      <c r="A249" s="37" t="s">
        <v>1516</v>
      </c>
      <c r="B249" s="38" t="n">
        <v>46176.3343634259</v>
      </c>
      <c r="C249" s="37" t="s">
        <v>1241</v>
      </c>
      <c r="D249" s="37" t="s">
        <v>1242</v>
      </c>
      <c r="E249" s="37" t="s">
        <v>193</v>
      </c>
      <c r="F249" s="37" t="s">
        <v>555</v>
      </c>
      <c r="G249" s="37"/>
      <c r="H249" s="37" t="s">
        <v>66</v>
      </c>
      <c r="I249" s="37"/>
      <c r="J249" s="37" t="s">
        <v>191</v>
      </c>
      <c r="K249" s="37" t="s">
        <v>1202</v>
      </c>
      <c r="L249" s="39" t="n">
        <v>12669</v>
      </c>
      <c r="M249" s="39" t="n">
        <v>11920</v>
      </c>
      <c r="N249" s="39" t="n">
        <v>1396</v>
      </c>
      <c r="O249" s="39" t="n">
        <v>322</v>
      </c>
      <c r="P249" s="39" t="n">
        <v>97</v>
      </c>
      <c r="Q249" s="39" t="n">
        <v>749</v>
      </c>
      <c r="R249" s="39" t="n">
        <v>642</v>
      </c>
      <c r="S249" s="39" t="n">
        <v>1</v>
      </c>
      <c r="T249" s="40" t="n">
        <f aca="false">IF(M249=0,0,N249/M249)</f>
        <v>0.117114093959732</v>
      </c>
      <c r="U249" s="40" t="n">
        <f aca="false">IF(M249=0,0,O249/M249)</f>
        <v>0.0270134228187919</v>
      </c>
      <c r="V249" s="41" t="n">
        <f aca="false">IF(M249=0,0,P249/M249)</f>
        <v>0.00813758389261745</v>
      </c>
      <c r="W249" s="40" t="n">
        <f aca="false">IF(L249=0,0,Q249/L249)</f>
        <v>0.0591206882942616</v>
      </c>
    </row>
    <row r="250" customFormat="false" ht="15" hidden="false" customHeight="false" outlineLevel="0" collapsed="false">
      <c r="A250" s="37" t="s">
        <v>1517</v>
      </c>
      <c r="B250" s="38" t="n">
        <v>46176.0109143519</v>
      </c>
      <c r="C250" s="37" t="s">
        <v>1201</v>
      </c>
      <c r="D250" s="37" t="s">
        <v>1372</v>
      </c>
      <c r="E250" s="37" t="s">
        <v>1373</v>
      </c>
      <c r="F250" s="37" t="s">
        <v>537</v>
      </c>
      <c r="G250" s="37"/>
      <c r="H250" s="37" t="s">
        <v>63</v>
      </c>
      <c r="I250" s="37"/>
      <c r="J250" s="37" t="s">
        <v>296</v>
      </c>
      <c r="K250" s="37" t="s">
        <v>1202</v>
      </c>
      <c r="L250" s="39" t="n">
        <v>2</v>
      </c>
      <c r="M250" s="39" t="n">
        <v>2</v>
      </c>
      <c r="N250" s="39" t="n">
        <v>2</v>
      </c>
      <c r="O250" s="39" t="n">
        <v>0</v>
      </c>
      <c r="P250" s="39" t="n">
        <v>0</v>
      </c>
      <c r="Q250" s="39" t="n">
        <v>0</v>
      </c>
      <c r="R250" s="39" t="n">
        <v>0</v>
      </c>
      <c r="S250" s="39" t="n">
        <v>0</v>
      </c>
      <c r="T250" s="40" t="n">
        <f aca="false">IF(M250=0,0,N250/M250)</f>
        <v>1</v>
      </c>
      <c r="U250" s="40" t="n">
        <f aca="false">IF(M250=0,0,O250/M250)</f>
        <v>0</v>
      </c>
      <c r="V250" s="41" t="n">
        <f aca="false">IF(M250=0,0,P250/M250)</f>
        <v>0</v>
      </c>
      <c r="W250" s="40" t="n">
        <f aca="false">IF(L250=0,0,Q250/L250)</f>
        <v>0</v>
      </c>
    </row>
    <row r="251" customFormat="false" ht="15" hidden="false" customHeight="false" outlineLevel="0" collapsed="false">
      <c r="A251" s="37" t="s">
        <v>1518</v>
      </c>
      <c r="B251" s="38" t="n">
        <v>46176.0107407407</v>
      </c>
      <c r="C251" s="37" t="s">
        <v>1201</v>
      </c>
      <c r="D251" s="37" t="s">
        <v>1475</v>
      </c>
      <c r="E251" s="37" t="s">
        <v>1373</v>
      </c>
      <c r="F251" s="37" t="s">
        <v>537</v>
      </c>
      <c r="G251" s="37"/>
      <c r="H251" s="37" t="s">
        <v>64</v>
      </c>
      <c r="I251" s="37"/>
      <c r="J251" s="37" t="s">
        <v>296</v>
      </c>
      <c r="K251" s="37" t="s">
        <v>1202</v>
      </c>
      <c r="L251" s="39" t="n">
        <v>2</v>
      </c>
      <c r="M251" s="39" t="n">
        <v>1</v>
      </c>
      <c r="N251" s="39" t="n">
        <v>1</v>
      </c>
      <c r="O251" s="39" t="n">
        <v>0</v>
      </c>
      <c r="P251" s="39" t="n">
        <v>0</v>
      </c>
      <c r="Q251" s="39" t="n">
        <v>1</v>
      </c>
      <c r="R251" s="39" t="n">
        <v>1</v>
      </c>
      <c r="S251" s="39" t="n">
        <v>0</v>
      </c>
      <c r="T251" s="40" t="n">
        <f aca="false">IF(M251=0,0,N251/M251)</f>
        <v>1</v>
      </c>
      <c r="U251" s="40" t="n">
        <f aca="false">IF(M251=0,0,O251/M251)</f>
        <v>0</v>
      </c>
      <c r="V251" s="41" t="n">
        <f aca="false">IF(M251=0,0,P251/M251)</f>
        <v>0</v>
      </c>
      <c r="W251" s="40" t="n">
        <f aca="false">IF(L251=0,0,Q251/L251)</f>
        <v>0.5</v>
      </c>
    </row>
    <row r="252" customFormat="false" ht="15" hidden="false" customHeight="false" outlineLevel="0" collapsed="false">
      <c r="A252" s="37" t="s">
        <v>1519</v>
      </c>
      <c r="B252" s="38" t="n">
        <v>46176.0107291667</v>
      </c>
      <c r="C252" s="37" t="s">
        <v>1201</v>
      </c>
      <c r="D252" s="37" t="s">
        <v>1372</v>
      </c>
      <c r="E252" s="37" t="s">
        <v>1373</v>
      </c>
      <c r="F252" s="37" t="s">
        <v>537</v>
      </c>
      <c r="G252" s="37"/>
      <c r="H252" s="37" t="s">
        <v>63</v>
      </c>
      <c r="I252" s="37"/>
      <c r="J252" s="37" t="s">
        <v>296</v>
      </c>
      <c r="K252" s="37" t="s">
        <v>1202</v>
      </c>
      <c r="L252" s="39" t="n">
        <v>2</v>
      </c>
      <c r="M252" s="39" t="n">
        <v>2</v>
      </c>
      <c r="N252" s="39" t="n">
        <v>2</v>
      </c>
      <c r="O252" s="39" t="n">
        <v>0</v>
      </c>
      <c r="P252" s="39" t="n">
        <v>0</v>
      </c>
      <c r="Q252" s="39" t="n">
        <v>0</v>
      </c>
      <c r="R252" s="39" t="n">
        <v>0</v>
      </c>
      <c r="S252" s="39" t="n">
        <v>0</v>
      </c>
      <c r="T252" s="40" t="n">
        <f aca="false">IF(M252=0,0,N252/M252)</f>
        <v>1</v>
      </c>
      <c r="U252" s="40" t="n">
        <f aca="false">IF(M252=0,0,O252/M252)</f>
        <v>0</v>
      </c>
      <c r="V252" s="41" t="n">
        <f aca="false">IF(M252=0,0,P252/M252)</f>
        <v>0</v>
      </c>
      <c r="W252" s="40" t="n">
        <f aca="false">IF(L252=0,0,Q252/L252)</f>
        <v>0</v>
      </c>
    </row>
    <row r="253" customFormat="false" ht="15" hidden="false" customHeight="false" outlineLevel="0" collapsed="false">
      <c r="A253" s="37" t="s">
        <v>1520</v>
      </c>
      <c r="B253" s="38" t="n">
        <v>46176.0105324074</v>
      </c>
      <c r="C253" s="37" t="s">
        <v>1201</v>
      </c>
      <c r="D253" s="37" t="s">
        <v>1372</v>
      </c>
      <c r="E253" s="37" t="s">
        <v>1373</v>
      </c>
      <c r="F253" s="37" t="s">
        <v>537</v>
      </c>
      <c r="G253" s="37"/>
      <c r="H253" s="37" t="s">
        <v>63</v>
      </c>
      <c r="I253" s="37"/>
      <c r="J253" s="37" t="s">
        <v>296</v>
      </c>
      <c r="K253" s="37" t="s">
        <v>1202</v>
      </c>
      <c r="L253" s="39" t="n">
        <v>2</v>
      </c>
      <c r="M253" s="39" t="n">
        <v>2</v>
      </c>
      <c r="N253" s="39" t="n">
        <v>2</v>
      </c>
      <c r="O253" s="39" t="n">
        <v>0</v>
      </c>
      <c r="P253" s="39" t="n">
        <v>0</v>
      </c>
      <c r="Q253" s="39" t="n">
        <v>0</v>
      </c>
      <c r="R253" s="39" t="n">
        <v>0</v>
      </c>
      <c r="S253" s="39" t="n">
        <v>0</v>
      </c>
      <c r="T253" s="40" t="n">
        <f aca="false">IF(M253=0,0,N253/M253)</f>
        <v>1</v>
      </c>
      <c r="U253" s="40" t="n">
        <f aca="false">IF(M253=0,0,O253/M253)</f>
        <v>0</v>
      </c>
      <c r="V253" s="41" t="n">
        <f aca="false">IF(M253=0,0,P253/M253)</f>
        <v>0</v>
      </c>
      <c r="W253" s="40" t="n">
        <f aca="false">IF(L253=0,0,Q253/L253)</f>
        <v>0</v>
      </c>
    </row>
    <row r="254" customFormat="false" ht="15" hidden="false" customHeight="false" outlineLevel="0" collapsed="false">
      <c r="A254" s="37" t="s">
        <v>1521</v>
      </c>
      <c r="B254" s="38" t="n">
        <v>46175.2222916667</v>
      </c>
      <c r="C254" s="37" t="s">
        <v>1201</v>
      </c>
      <c r="D254" s="37" t="s">
        <v>251</v>
      </c>
      <c r="E254" s="37" t="s">
        <v>252</v>
      </c>
      <c r="F254" s="37" t="s">
        <v>544</v>
      </c>
      <c r="G254" s="37"/>
      <c r="H254" s="37" t="s">
        <v>60</v>
      </c>
      <c r="I254" s="37" t="s">
        <v>250</v>
      </c>
      <c r="J254" s="37" t="s">
        <v>109</v>
      </c>
      <c r="K254" s="37" t="s">
        <v>1202</v>
      </c>
      <c r="L254" s="39" t="n">
        <v>35</v>
      </c>
      <c r="M254" s="39" t="n">
        <v>35</v>
      </c>
      <c r="N254" s="39" t="n">
        <v>19</v>
      </c>
      <c r="O254" s="39" t="n">
        <v>3</v>
      </c>
      <c r="P254" s="39" t="n">
        <v>1</v>
      </c>
      <c r="Q254" s="39" t="n">
        <v>0</v>
      </c>
      <c r="R254" s="39" t="n">
        <v>0</v>
      </c>
      <c r="S254" s="39" t="n">
        <v>0</v>
      </c>
      <c r="T254" s="40" t="n">
        <f aca="false">IF(M254=0,0,N254/M254)</f>
        <v>0.542857142857143</v>
      </c>
      <c r="U254" s="40" t="n">
        <f aca="false">IF(M254=0,0,O254/M254)</f>
        <v>0.0857142857142857</v>
      </c>
      <c r="V254" s="41" t="n">
        <f aca="false">IF(M254=0,0,P254/M254)</f>
        <v>0.0285714285714286</v>
      </c>
      <c r="W254" s="40" t="n">
        <f aca="false">IF(L254=0,0,Q254/L254)</f>
        <v>0</v>
      </c>
    </row>
    <row r="255" customFormat="false" ht="15" hidden="false" customHeight="false" outlineLevel="0" collapsed="false">
      <c r="A255" s="37" t="s">
        <v>1522</v>
      </c>
      <c r="B255" s="38" t="n">
        <v>46174.4922453704</v>
      </c>
      <c r="C255" s="37" t="s">
        <v>1201</v>
      </c>
      <c r="D255" s="37" t="s">
        <v>1523</v>
      </c>
      <c r="E255" s="37" t="s">
        <v>166</v>
      </c>
      <c r="F255" s="37" t="s">
        <v>555</v>
      </c>
      <c r="G255" s="37" t="s">
        <v>1524</v>
      </c>
      <c r="H255" s="37" t="s">
        <v>60</v>
      </c>
      <c r="I255" s="37"/>
      <c r="J255" s="37" t="s">
        <v>164</v>
      </c>
      <c r="K255" s="37" t="s">
        <v>1202</v>
      </c>
      <c r="L255" s="39" t="n">
        <v>449</v>
      </c>
      <c r="M255" s="39" t="n">
        <v>449</v>
      </c>
      <c r="N255" s="39" t="n">
        <v>169</v>
      </c>
      <c r="O255" s="39" t="n">
        <v>32</v>
      </c>
      <c r="P255" s="39" t="n">
        <v>0</v>
      </c>
      <c r="Q255" s="39" t="n">
        <v>0</v>
      </c>
      <c r="R255" s="39" t="n">
        <v>0</v>
      </c>
      <c r="S255" s="39" t="n">
        <v>0</v>
      </c>
      <c r="T255" s="40" t="n">
        <f aca="false">IF(M255=0,0,N255/M255)</f>
        <v>0.376391982182628</v>
      </c>
      <c r="U255" s="40" t="n">
        <f aca="false">IF(M255=0,0,O255/M255)</f>
        <v>0.0712694877505568</v>
      </c>
      <c r="V255" s="41" t="n">
        <f aca="false">IF(M255=0,0,P255/M255)</f>
        <v>0</v>
      </c>
      <c r="W255" s="40" t="n">
        <f aca="false">IF(L255=0,0,Q255/L255)</f>
        <v>0</v>
      </c>
    </row>
    <row r="256" customFormat="false" ht="15" hidden="false" customHeight="false" outlineLevel="0" collapsed="false">
      <c r="A256" s="37" t="s">
        <v>1525</v>
      </c>
      <c r="B256" s="38" t="n">
        <v>46174.1681944444</v>
      </c>
      <c r="C256" s="37" t="s">
        <v>1201</v>
      </c>
      <c r="D256" s="37" t="s">
        <v>1526</v>
      </c>
      <c r="E256" s="37" t="s">
        <v>1527</v>
      </c>
      <c r="F256" s="37" t="s">
        <v>548</v>
      </c>
      <c r="G256" s="37"/>
      <c r="H256" s="37" t="s">
        <v>60</v>
      </c>
      <c r="I256" s="37"/>
      <c r="J256" s="37" t="s">
        <v>364</v>
      </c>
      <c r="K256" s="37" t="s">
        <v>1202</v>
      </c>
      <c r="L256" s="39" t="n">
        <v>474</v>
      </c>
      <c r="M256" s="39" t="n">
        <v>472</v>
      </c>
      <c r="N256" s="39" t="n">
        <v>196</v>
      </c>
      <c r="O256" s="39" t="n">
        <v>20</v>
      </c>
      <c r="P256" s="39" t="n">
        <v>3</v>
      </c>
      <c r="Q256" s="39" t="n">
        <v>2</v>
      </c>
      <c r="R256" s="39" t="n">
        <v>1</v>
      </c>
      <c r="S256" s="39" t="n">
        <v>0</v>
      </c>
      <c r="T256" s="40" t="n">
        <f aca="false">IF(M256=0,0,N256/M256)</f>
        <v>0.415254237288136</v>
      </c>
      <c r="U256" s="40" t="n">
        <f aca="false">IF(M256=0,0,O256/M256)</f>
        <v>0.0423728813559322</v>
      </c>
      <c r="V256" s="41" t="n">
        <f aca="false">IF(M256=0,0,P256/M256)</f>
        <v>0.00635593220338983</v>
      </c>
      <c r="W256" s="40" t="n">
        <f aca="false">IF(L256=0,0,Q256/L256)</f>
        <v>0.00421940928270042</v>
      </c>
    </row>
    <row r="257" customFormat="false" ht="15" hidden="false" customHeight="false" outlineLevel="0" collapsed="false">
      <c r="A257" s="37" t="s">
        <v>1528</v>
      </c>
      <c r="B257" s="38" t="n">
        <v>46171.5004976852</v>
      </c>
      <c r="C257" s="37" t="s">
        <v>1201</v>
      </c>
      <c r="D257" s="37" t="s">
        <v>297</v>
      </c>
      <c r="E257" s="37" t="s">
        <v>1209</v>
      </c>
      <c r="F257" s="37" t="s">
        <v>537</v>
      </c>
      <c r="G257" s="37"/>
      <c r="H257" s="37" t="s">
        <v>61</v>
      </c>
      <c r="I257" s="37" t="s">
        <v>294</v>
      </c>
      <c r="J257" s="37" t="s">
        <v>296</v>
      </c>
      <c r="K257" s="37" t="s">
        <v>1202</v>
      </c>
      <c r="L257" s="39" t="n">
        <v>557</v>
      </c>
      <c r="M257" s="39" t="n">
        <v>556</v>
      </c>
      <c r="N257" s="39" t="n">
        <v>408</v>
      </c>
      <c r="O257" s="39" t="n">
        <v>38</v>
      </c>
      <c r="P257" s="39" t="n">
        <v>0</v>
      </c>
      <c r="Q257" s="39" t="n">
        <v>1</v>
      </c>
      <c r="R257" s="39" t="n">
        <v>1</v>
      </c>
      <c r="S257" s="39" t="n">
        <v>0</v>
      </c>
      <c r="T257" s="40" t="n">
        <f aca="false">IF(M257=0,0,N257/M257)</f>
        <v>0.733812949640288</v>
      </c>
      <c r="U257" s="40" t="n">
        <f aca="false">IF(M257=0,0,O257/M257)</f>
        <v>0.0683453237410072</v>
      </c>
      <c r="V257" s="41" t="n">
        <f aca="false">IF(M257=0,0,P257/M257)</f>
        <v>0</v>
      </c>
      <c r="W257" s="40" t="n">
        <f aca="false">IF(L257=0,0,Q257/L257)</f>
        <v>0.00179533213644524</v>
      </c>
    </row>
    <row r="258" customFormat="false" ht="15" hidden="false" customHeight="false" outlineLevel="0" collapsed="false">
      <c r="A258" s="37" t="s">
        <v>1529</v>
      </c>
      <c r="B258" s="38" t="n">
        <v>46171.3443634259</v>
      </c>
      <c r="C258" s="37" t="s">
        <v>1252</v>
      </c>
      <c r="D258" s="37" t="s">
        <v>101</v>
      </c>
      <c r="E258" s="37" t="s">
        <v>1222</v>
      </c>
      <c r="F258" s="37" t="s">
        <v>548</v>
      </c>
      <c r="G258" s="37" t="s">
        <v>1223</v>
      </c>
      <c r="H258" s="37" t="s">
        <v>61</v>
      </c>
      <c r="I258" s="37" t="s">
        <v>98</v>
      </c>
      <c r="J258" s="37" t="s">
        <v>100</v>
      </c>
      <c r="K258" s="37" t="s">
        <v>1202</v>
      </c>
      <c r="L258" s="39" t="n">
        <v>14849</v>
      </c>
      <c r="M258" s="39" t="n">
        <v>14722</v>
      </c>
      <c r="N258" s="39" t="n">
        <v>1293</v>
      </c>
      <c r="O258" s="39" t="n">
        <v>169</v>
      </c>
      <c r="P258" s="39" t="n">
        <v>95</v>
      </c>
      <c r="Q258" s="39" t="n">
        <v>127</v>
      </c>
      <c r="R258" s="39" t="n">
        <v>42</v>
      </c>
      <c r="S258" s="39" t="n">
        <v>0</v>
      </c>
      <c r="T258" s="40" t="n">
        <f aca="false">IF(M258=0,0,N258/M258)</f>
        <v>0.0878277407960875</v>
      </c>
      <c r="U258" s="40" t="n">
        <f aca="false">IF(M258=0,0,O258/M258)</f>
        <v>0.0114794185572612</v>
      </c>
      <c r="V258" s="41" t="n">
        <f aca="false">IF(M258=0,0,P258/M258)</f>
        <v>0.00645292759135987</v>
      </c>
      <c r="W258" s="40" t="n">
        <f aca="false">IF(L258=0,0,Q258/L258)</f>
        <v>0.00855276449592565</v>
      </c>
    </row>
    <row r="259" customFormat="false" ht="15" hidden="false" customHeight="false" outlineLevel="0" collapsed="false">
      <c r="A259" s="37" t="s">
        <v>1530</v>
      </c>
      <c r="B259" s="38" t="n">
        <v>46171.3150462963</v>
      </c>
      <c r="C259" s="37" t="s">
        <v>1201</v>
      </c>
      <c r="D259" s="37" t="s">
        <v>1211</v>
      </c>
      <c r="E259" s="37" t="s">
        <v>1212</v>
      </c>
      <c r="F259" s="37" t="s">
        <v>544</v>
      </c>
      <c r="G259" s="37"/>
      <c r="H259" s="37" t="s">
        <v>60</v>
      </c>
      <c r="I259" s="37"/>
      <c r="J259" s="37" t="s">
        <v>100</v>
      </c>
      <c r="K259" s="37" t="s">
        <v>1213</v>
      </c>
      <c r="L259" s="39" t="n">
        <v>131</v>
      </c>
      <c r="M259" s="39" t="n">
        <v>131</v>
      </c>
      <c r="N259" s="39" t="n">
        <v>89</v>
      </c>
      <c r="O259" s="39" t="n">
        <v>16</v>
      </c>
      <c r="P259" s="39" t="n">
        <v>1</v>
      </c>
      <c r="Q259" s="39" t="n">
        <v>0</v>
      </c>
      <c r="R259" s="39" t="n">
        <v>0</v>
      </c>
      <c r="S259" s="39" t="n">
        <v>0</v>
      </c>
      <c r="T259" s="40" t="n">
        <f aca="false">IF(M259=0,0,N259/M259)</f>
        <v>0.679389312977099</v>
      </c>
      <c r="U259" s="40" t="n">
        <f aca="false">IF(M259=0,0,O259/M259)</f>
        <v>0.122137404580153</v>
      </c>
      <c r="V259" s="41" t="n">
        <f aca="false">IF(M259=0,0,P259/M259)</f>
        <v>0.00763358778625954</v>
      </c>
      <c r="W259" s="40" t="n">
        <f aca="false">IF(L259=0,0,Q259/L259)</f>
        <v>0</v>
      </c>
    </row>
    <row r="260" customFormat="false" ht="15" hidden="false" customHeight="false" outlineLevel="0" collapsed="false">
      <c r="A260" s="37" t="s">
        <v>1531</v>
      </c>
      <c r="B260" s="38" t="n">
        <v>46171.062974537</v>
      </c>
      <c r="C260" s="37" t="s">
        <v>1201</v>
      </c>
      <c r="D260" s="37" t="s">
        <v>110</v>
      </c>
      <c r="E260" s="37" t="s">
        <v>252</v>
      </c>
      <c r="F260" s="37" t="s">
        <v>555</v>
      </c>
      <c r="G260" s="37" t="s">
        <v>1215</v>
      </c>
      <c r="H260" s="37" t="s">
        <v>61</v>
      </c>
      <c r="I260" s="37" t="s">
        <v>107</v>
      </c>
      <c r="J260" s="37" t="s">
        <v>109</v>
      </c>
      <c r="K260" s="37" t="s">
        <v>1202</v>
      </c>
      <c r="L260" s="39" t="n">
        <v>7075</v>
      </c>
      <c r="M260" s="39" t="n">
        <v>7019</v>
      </c>
      <c r="N260" s="39" t="n">
        <v>1720</v>
      </c>
      <c r="O260" s="39" t="n">
        <v>71</v>
      </c>
      <c r="P260" s="39" t="n">
        <v>61</v>
      </c>
      <c r="Q260" s="39" t="n">
        <v>56</v>
      </c>
      <c r="R260" s="39" t="n">
        <v>23</v>
      </c>
      <c r="S260" s="39" t="n">
        <v>0</v>
      </c>
      <c r="T260" s="40" t="n">
        <f aca="false">IF(M260=0,0,N260/M260)</f>
        <v>0.245049152300898</v>
      </c>
      <c r="U260" s="40" t="n">
        <f aca="false">IF(M260=0,0,O260/M260)</f>
        <v>0.0101154010542812</v>
      </c>
      <c r="V260" s="41" t="n">
        <f aca="false">IF(M260=0,0,P260/M260)</f>
        <v>0.00869069668043881</v>
      </c>
      <c r="W260" s="40" t="n">
        <f aca="false">IF(L260=0,0,Q260/L260)</f>
        <v>0.00791519434628975</v>
      </c>
    </row>
    <row r="261" customFormat="false" ht="15" hidden="false" customHeight="false" outlineLevel="0" collapsed="false">
      <c r="A261" s="37" t="s">
        <v>1532</v>
      </c>
      <c r="B261" s="38" t="n">
        <v>46171.0109953704</v>
      </c>
      <c r="C261" s="37" t="s">
        <v>1201</v>
      </c>
      <c r="D261" s="37" t="s">
        <v>1372</v>
      </c>
      <c r="E261" s="37" t="s">
        <v>1373</v>
      </c>
      <c r="F261" s="37" t="s">
        <v>537</v>
      </c>
      <c r="G261" s="37"/>
      <c r="H261" s="37" t="s">
        <v>60</v>
      </c>
      <c r="I261" s="37"/>
      <c r="J261" s="37" t="s">
        <v>296</v>
      </c>
      <c r="K261" s="37" t="s">
        <v>1202</v>
      </c>
      <c r="L261" s="39" t="n">
        <v>2</v>
      </c>
      <c r="M261" s="39" t="n">
        <v>2</v>
      </c>
      <c r="N261" s="39" t="n">
        <v>2</v>
      </c>
      <c r="O261" s="39" t="n">
        <v>0</v>
      </c>
      <c r="P261" s="39" t="n">
        <v>0</v>
      </c>
      <c r="Q261" s="39" t="n">
        <v>0</v>
      </c>
      <c r="R261" s="39" t="n">
        <v>0</v>
      </c>
      <c r="S261" s="39" t="n">
        <v>0</v>
      </c>
      <c r="T261" s="40" t="n">
        <f aca="false">IF(M261=0,0,N261/M261)</f>
        <v>1</v>
      </c>
      <c r="U261" s="40" t="n">
        <f aca="false">IF(M261=0,0,O261/M261)</f>
        <v>0</v>
      </c>
      <c r="V261" s="41" t="n">
        <f aca="false">IF(M261=0,0,P261/M261)</f>
        <v>0</v>
      </c>
      <c r="W261" s="40" t="n">
        <f aca="false">IF(L261=0,0,Q261/L261)</f>
        <v>0</v>
      </c>
    </row>
    <row r="262" customFormat="false" ht="15" hidden="false" customHeight="false" outlineLevel="0" collapsed="false">
      <c r="A262" s="37" t="s">
        <v>1533</v>
      </c>
      <c r="B262" s="38" t="n">
        <v>46170.6898032407</v>
      </c>
      <c r="C262" s="37" t="s">
        <v>1201</v>
      </c>
      <c r="D262" s="37" t="s">
        <v>1237</v>
      </c>
      <c r="E262" s="37" t="s">
        <v>1237</v>
      </c>
      <c r="F262" s="37" t="s">
        <v>555</v>
      </c>
      <c r="G262" s="37"/>
      <c r="H262" s="37" t="s">
        <v>66</v>
      </c>
      <c r="I262" s="37"/>
      <c r="J262" s="37" t="s">
        <v>430</v>
      </c>
      <c r="K262" s="37" t="s">
        <v>8</v>
      </c>
      <c r="L262" s="39" t="n">
        <v>240</v>
      </c>
      <c r="M262" s="39" t="n">
        <v>240</v>
      </c>
      <c r="N262" s="39" t="n">
        <v>134</v>
      </c>
      <c r="O262" s="39" t="n">
        <v>53</v>
      </c>
      <c r="P262" s="39" t="n">
        <v>1</v>
      </c>
      <c r="Q262" s="39" t="n">
        <v>0</v>
      </c>
      <c r="R262" s="39" t="n">
        <v>0</v>
      </c>
      <c r="S262" s="39" t="n">
        <v>0</v>
      </c>
      <c r="T262" s="40" t="n">
        <f aca="false">IF(M262=0,0,N262/M262)</f>
        <v>0.558333333333333</v>
      </c>
      <c r="U262" s="40" t="n">
        <f aca="false">IF(M262=0,0,O262/M262)</f>
        <v>0.220833333333333</v>
      </c>
      <c r="V262" s="41" t="n">
        <f aca="false">IF(M262=0,0,P262/M262)</f>
        <v>0.00416666666666667</v>
      </c>
      <c r="W262" s="40" t="n">
        <f aca="false">IF(L262=0,0,Q262/L262)</f>
        <v>0</v>
      </c>
    </row>
    <row r="263" customFormat="false" ht="15" hidden="false" customHeight="false" outlineLevel="0" collapsed="false">
      <c r="A263" s="37" t="s">
        <v>1534</v>
      </c>
      <c r="B263" s="38" t="n">
        <v>46170.6252662037</v>
      </c>
      <c r="C263" s="37" t="s">
        <v>1252</v>
      </c>
      <c r="D263" s="37" t="s">
        <v>1392</v>
      </c>
      <c r="E263" s="37" t="s">
        <v>166</v>
      </c>
      <c r="F263" s="37" t="s">
        <v>555</v>
      </c>
      <c r="G263" s="37" t="s">
        <v>1393</v>
      </c>
      <c r="H263" s="37" t="s">
        <v>61</v>
      </c>
      <c r="I263" s="37" t="s">
        <v>260</v>
      </c>
      <c r="J263" s="37" t="s">
        <v>164</v>
      </c>
      <c r="K263" s="37" t="s">
        <v>1202</v>
      </c>
      <c r="L263" s="39" t="n">
        <v>22</v>
      </c>
      <c r="M263" s="39" t="n">
        <v>22</v>
      </c>
      <c r="N263" s="39" t="n">
        <v>12</v>
      </c>
      <c r="O263" s="39" t="n">
        <v>1</v>
      </c>
      <c r="P263" s="39" t="n">
        <v>0</v>
      </c>
      <c r="Q263" s="39" t="n">
        <v>0</v>
      </c>
      <c r="R263" s="39" t="n">
        <v>0</v>
      </c>
      <c r="S263" s="39" t="n">
        <v>0</v>
      </c>
      <c r="T263" s="40" t="n">
        <f aca="false">IF(M263=0,0,N263/M263)</f>
        <v>0.545454545454545</v>
      </c>
      <c r="U263" s="40" t="n">
        <f aca="false">IF(M263=0,0,O263/M263)</f>
        <v>0.0454545454545455</v>
      </c>
      <c r="V263" s="41" t="n">
        <f aca="false">IF(M263=0,0,P263/M263)</f>
        <v>0</v>
      </c>
      <c r="W263" s="40" t="n">
        <f aca="false">IF(L263=0,0,Q263/L263)</f>
        <v>0</v>
      </c>
    </row>
    <row r="264" customFormat="false" ht="15" hidden="false" customHeight="false" outlineLevel="0" collapsed="false">
      <c r="A264" s="37" t="s">
        <v>1535</v>
      </c>
      <c r="B264" s="38" t="n">
        <v>46170.3267824074</v>
      </c>
      <c r="C264" s="37" t="s">
        <v>1201</v>
      </c>
      <c r="D264" s="37" t="s">
        <v>1372</v>
      </c>
      <c r="E264" s="37" t="s">
        <v>1373</v>
      </c>
      <c r="F264" s="37" t="s">
        <v>537</v>
      </c>
      <c r="G264" s="37"/>
      <c r="H264" s="37" t="s">
        <v>60</v>
      </c>
      <c r="I264" s="37"/>
      <c r="J264" s="37" t="s">
        <v>296</v>
      </c>
      <c r="K264" s="37" t="s">
        <v>1202</v>
      </c>
      <c r="L264" s="39" t="n">
        <v>2</v>
      </c>
      <c r="M264" s="39" t="n">
        <v>2</v>
      </c>
      <c r="N264" s="39" t="n">
        <v>2</v>
      </c>
      <c r="O264" s="39" t="n">
        <v>0</v>
      </c>
      <c r="P264" s="39" t="n">
        <v>0</v>
      </c>
      <c r="Q264" s="39" t="n">
        <v>0</v>
      </c>
      <c r="R264" s="39" t="n">
        <v>0</v>
      </c>
      <c r="S264" s="39" t="n">
        <v>0</v>
      </c>
      <c r="T264" s="40" t="n">
        <f aca="false">IF(M264=0,0,N264/M264)</f>
        <v>1</v>
      </c>
      <c r="U264" s="40" t="n">
        <f aca="false">IF(M264=0,0,O264/M264)</f>
        <v>0</v>
      </c>
      <c r="V264" s="41" t="n">
        <f aca="false">IF(M264=0,0,P264/M264)</f>
        <v>0</v>
      </c>
      <c r="W264" s="40" t="n">
        <f aca="false">IF(L264=0,0,Q264/L264)</f>
        <v>0</v>
      </c>
    </row>
    <row r="265" customFormat="false" ht="15" hidden="false" customHeight="false" outlineLevel="0" collapsed="false">
      <c r="A265" s="37" t="s">
        <v>1536</v>
      </c>
      <c r="B265" s="38" t="n">
        <v>46170.3255439815</v>
      </c>
      <c r="C265" s="37" t="s">
        <v>1201</v>
      </c>
      <c r="D265" s="37" t="s">
        <v>1372</v>
      </c>
      <c r="E265" s="37" t="s">
        <v>1373</v>
      </c>
      <c r="F265" s="37" t="s">
        <v>537</v>
      </c>
      <c r="G265" s="37"/>
      <c r="H265" s="37" t="s">
        <v>60</v>
      </c>
      <c r="I265" s="37"/>
      <c r="J265" s="37" t="s">
        <v>296</v>
      </c>
      <c r="K265" s="37" t="s">
        <v>1202</v>
      </c>
      <c r="L265" s="39" t="n">
        <v>1</v>
      </c>
      <c r="M265" s="39" t="n">
        <v>1</v>
      </c>
      <c r="N265" s="39" t="n">
        <v>1</v>
      </c>
      <c r="O265" s="39" t="n">
        <v>0</v>
      </c>
      <c r="P265" s="39" t="n">
        <v>0</v>
      </c>
      <c r="Q265" s="39" t="n">
        <v>0</v>
      </c>
      <c r="R265" s="39" t="n">
        <v>0</v>
      </c>
      <c r="S265" s="39" t="n">
        <v>0</v>
      </c>
      <c r="T265" s="40" t="n">
        <f aca="false">IF(M265=0,0,N265/M265)</f>
        <v>1</v>
      </c>
      <c r="U265" s="40" t="n">
        <f aca="false">IF(M265=0,0,O265/M265)</f>
        <v>0</v>
      </c>
      <c r="V265" s="41" t="n">
        <f aca="false">IF(M265=0,0,P265/M265)</f>
        <v>0</v>
      </c>
      <c r="W265" s="40" t="n">
        <f aca="false">IF(L265=0,0,Q265/L265)</f>
        <v>0</v>
      </c>
    </row>
    <row r="266" customFormat="false" ht="15" hidden="false" customHeight="false" outlineLevel="0" collapsed="false">
      <c r="A266" s="37" t="s">
        <v>1537</v>
      </c>
      <c r="B266" s="38" t="n">
        <v>46170.0402199074</v>
      </c>
      <c r="C266" s="37" t="s">
        <v>1201</v>
      </c>
      <c r="D266" s="37" t="s">
        <v>1366</v>
      </c>
      <c r="E266" s="37" t="s">
        <v>1255</v>
      </c>
      <c r="F266" s="37" t="s">
        <v>544</v>
      </c>
      <c r="G266" s="37" t="s">
        <v>1484</v>
      </c>
      <c r="H266" s="37" t="s">
        <v>60</v>
      </c>
      <c r="I266" s="37"/>
      <c r="J266" s="37" t="s">
        <v>121</v>
      </c>
      <c r="K266" s="37" t="s">
        <v>1202</v>
      </c>
      <c r="L266" s="39" t="n">
        <v>118</v>
      </c>
      <c r="M266" s="39" t="n">
        <v>115</v>
      </c>
      <c r="N266" s="39" t="n">
        <v>47</v>
      </c>
      <c r="O266" s="39" t="n">
        <v>11</v>
      </c>
      <c r="P266" s="39" t="n">
        <v>0</v>
      </c>
      <c r="Q266" s="39" t="n">
        <v>3</v>
      </c>
      <c r="R266" s="39" t="n">
        <v>3</v>
      </c>
      <c r="S266" s="39" t="n">
        <v>0</v>
      </c>
      <c r="T266" s="40" t="n">
        <f aca="false">IF(M266=0,0,N266/M266)</f>
        <v>0.408695652173913</v>
      </c>
      <c r="U266" s="40" t="n">
        <f aca="false">IF(M266=0,0,O266/M266)</f>
        <v>0.0956521739130435</v>
      </c>
      <c r="V266" s="41" t="n">
        <f aca="false">IF(M266=0,0,P266/M266)</f>
        <v>0</v>
      </c>
      <c r="W266" s="40" t="n">
        <f aca="false">IF(L266=0,0,Q266/L266)</f>
        <v>0.0254237288135593</v>
      </c>
    </row>
    <row r="267" customFormat="false" ht="15" hidden="false" customHeight="false" outlineLevel="0" collapsed="false">
      <c r="A267" s="37" t="s">
        <v>1538</v>
      </c>
      <c r="B267" s="38" t="n">
        <v>46169.9795023148</v>
      </c>
      <c r="C267" s="37" t="s">
        <v>1201</v>
      </c>
      <c r="D267" s="37" t="s">
        <v>237</v>
      </c>
      <c r="E267" s="37" t="s">
        <v>238</v>
      </c>
      <c r="F267" s="37" t="s">
        <v>559</v>
      </c>
      <c r="G267" s="37" t="s">
        <v>1297</v>
      </c>
      <c r="H267" s="37" t="s">
        <v>60</v>
      </c>
      <c r="I267" s="37" t="s">
        <v>234</v>
      </c>
      <c r="J267" s="37" t="s">
        <v>236</v>
      </c>
      <c r="K267" s="37" t="s">
        <v>1202</v>
      </c>
      <c r="L267" s="39" t="n">
        <v>4491</v>
      </c>
      <c r="M267" s="39" t="n">
        <v>4441</v>
      </c>
      <c r="N267" s="39" t="n">
        <v>871</v>
      </c>
      <c r="O267" s="39" t="n">
        <v>141</v>
      </c>
      <c r="P267" s="39" t="n">
        <v>17</v>
      </c>
      <c r="Q267" s="39" t="n">
        <v>50</v>
      </c>
      <c r="R267" s="39" t="n">
        <v>45</v>
      </c>
      <c r="S267" s="39" t="n">
        <v>0</v>
      </c>
      <c r="T267" s="40" t="n">
        <f aca="false">IF(M267=0,0,N267/M267)</f>
        <v>0.196126998423778</v>
      </c>
      <c r="U267" s="40" t="n">
        <f aca="false">IF(M267=0,0,O267/M267)</f>
        <v>0.0317496059446071</v>
      </c>
      <c r="V267" s="41" t="n">
        <f aca="false">IF(M267=0,0,P267/M267)</f>
        <v>0.00382796667417248</v>
      </c>
      <c r="W267" s="40" t="n">
        <f aca="false">IF(L267=0,0,Q267/L267)</f>
        <v>0.0111333778668448</v>
      </c>
    </row>
    <row r="268" customFormat="false" ht="15" hidden="false" customHeight="false" outlineLevel="0" collapsed="false">
      <c r="A268" s="37" t="s">
        <v>1539</v>
      </c>
      <c r="B268" s="38" t="n">
        <v>46169.7922916667</v>
      </c>
      <c r="C268" s="37" t="s">
        <v>1201</v>
      </c>
      <c r="D268" s="37" t="s">
        <v>1372</v>
      </c>
      <c r="E268" s="37" t="s">
        <v>1373</v>
      </c>
      <c r="F268" s="37" t="s">
        <v>537</v>
      </c>
      <c r="G268" s="37"/>
      <c r="H268" s="37" t="s">
        <v>60</v>
      </c>
      <c r="I268" s="37"/>
      <c r="J268" s="37" t="s">
        <v>296</v>
      </c>
      <c r="K268" s="37" t="s">
        <v>1202</v>
      </c>
      <c r="L268" s="39" t="n">
        <v>2</v>
      </c>
      <c r="M268" s="39" t="n">
        <v>2</v>
      </c>
      <c r="N268" s="39" t="n">
        <v>2</v>
      </c>
      <c r="O268" s="39" t="n">
        <v>0</v>
      </c>
      <c r="P268" s="39" t="n">
        <v>0</v>
      </c>
      <c r="Q268" s="39" t="n">
        <v>0</v>
      </c>
      <c r="R268" s="39" t="n">
        <v>0</v>
      </c>
      <c r="S268" s="39" t="n">
        <v>0</v>
      </c>
      <c r="T268" s="40" t="n">
        <f aca="false">IF(M268=0,0,N268/M268)</f>
        <v>1</v>
      </c>
      <c r="U268" s="40" t="n">
        <f aca="false">IF(M268=0,0,O268/M268)</f>
        <v>0</v>
      </c>
      <c r="V268" s="41" t="n">
        <f aca="false">IF(M268=0,0,P268/M268)</f>
        <v>0</v>
      </c>
      <c r="W268" s="40" t="n">
        <f aca="false">IF(L268=0,0,Q268/L268)</f>
        <v>0</v>
      </c>
    </row>
    <row r="269" customFormat="false" ht="15" hidden="false" customHeight="false" outlineLevel="0" collapsed="false">
      <c r="A269" s="37" t="s">
        <v>1540</v>
      </c>
      <c r="B269" s="38" t="n">
        <v>46169.7504861111</v>
      </c>
      <c r="C269" s="37" t="s">
        <v>1201</v>
      </c>
      <c r="D269" s="37" t="s">
        <v>1372</v>
      </c>
      <c r="E269" s="37" t="s">
        <v>1373</v>
      </c>
      <c r="F269" s="37" t="s">
        <v>537</v>
      </c>
      <c r="G269" s="37"/>
      <c r="H269" s="37" t="s">
        <v>63</v>
      </c>
      <c r="I269" s="37"/>
      <c r="J269" s="37" t="s">
        <v>296</v>
      </c>
      <c r="K269" s="37" t="s">
        <v>1202</v>
      </c>
      <c r="L269" s="39" t="n">
        <v>2</v>
      </c>
      <c r="M269" s="39" t="n">
        <v>2</v>
      </c>
      <c r="N269" s="39" t="n">
        <v>1</v>
      </c>
      <c r="O269" s="39" t="n">
        <v>0</v>
      </c>
      <c r="P269" s="39" t="n">
        <v>0</v>
      </c>
      <c r="Q269" s="39" t="n">
        <v>0</v>
      </c>
      <c r="R269" s="39" t="n">
        <v>0</v>
      </c>
      <c r="S269" s="39" t="n">
        <v>0</v>
      </c>
      <c r="T269" s="40" t="n">
        <f aca="false">IF(M269=0,0,N269/M269)</f>
        <v>0.5</v>
      </c>
      <c r="U269" s="40" t="n">
        <f aca="false">IF(M269=0,0,O269/M269)</f>
        <v>0</v>
      </c>
      <c r="V269" s="41" t="n">
        <f aca="false">IF(M269=0,0,P269/M269)</f>
        <v>0</v>
      </c>
      <c r="W269" s="40" t="n">
        <f aca="false">IF(L269=0,0,Q269/L269)</f>
        <v>0</v>
      </c>
    </row>
    <row r="270" customFormat="false" ht="15" hidden="false" customHeight="false" outlineLevel="0" collapsed="false">
      <c r="A270" s="37" t="s">
        <v>1541</v>
      </c>
      <c r="B270" s="38" t="n">
        <v>46169.5993981482</v>
      </c>
      <c r="C270" s="37" t="s">
        <v>1201</v>
      </c>
      <c r="D270" s="37" t="s">
        <v>1523</v>
      </c>
      <c r="E270" s="37" t="s">
        <v>166</v>
      </c>
      <c r="F270" s="37" t="s">
        <v>555</v>
      </c>
      <c r="G270" s="37" t="s">
        <v>1524</v>
      </c>
      <c r="H270" s="37" t="s">
        <v>60</v>
      </c>
      <c r="I270" s="37"/>
      <c r="J270" s="37" t="s">
        <v>164</v>
      </c>
      <c r="K270" s="37" t="s">
        <v>1202</v>
      </c>
      <c r="L270" s="39" t="n">
        <v>452</v>
      </c>
      <c r="M270" s="39" t="n">
        <v>451</v>
      </c>
      <c r="N270" s="39" t="n">
        <v>185</v>
      </c>
      <c r="O270" s="39" t="n">
        <v>28</v>
      </c>
      <c r="P270" s="39" t="n">
        <v>0</v>
      </c>
      <c r="Q270" s="39" t="n">
        <v>1</v>
      </c>
      <c r="R270" s="39" t="n">
        <v>1</v>
      </c>
      <c r="S270" s="39" t="n">
        <v>0</v>
      </c>
      <c r="T270" s="40" t="n">
        <f aca="false">IF(M270=0,0,N270/M270)</f>
        <v>0.41019955654102</v>
      </c>
      <c r="U270" s="40" t="n">
        <f aca="false">IF(M270=0,0,O270/M270)</f>
        <v>0.0620842572062084</v>
      </c>
      <c r="V270" s="41" t="n">
        <f aca="false">IF(M270=0,0,P270/M270)</f>
        <v>0</v>
      </c>
      <c r="W270" s="40" t="n">
        <f aca="false">IF(L270=0,0,Q270/L270)</f>
        <v>0.00221238938053097</v>
      </c>
    </row>
    <row r="271" customFormat="false" ht="15" hidden="false" customHeight="false" outlineLevel="0" collapsed="false">
      <c r="A271" s="37" t="s">
        <v>1542</v>
      </c>
      <c r="B271" s="38" t="n">
        <v>46169.3215740741</v>
      </c>
      <c r="C271" s="37" t="s">
        <v>1201</v>
      </c>
      <c r="D271" s="37" t="s">
        <v>1372</v>
      </c>
      <c r="E271" s="37" t="s">
        <v>1373</v>
      </c>
      <c r="F271" s="37" t="s">
        <v>537</v>
      </c>
      <c r="G271" s="37"/>
      <c r="H271" s="37" t="s">
        <v>60</v>
      </c>
      <c r="I271" s="37"/>
      <c r="J271" s="37" t="s">
        <v>296</v>
      </c>
      <c r="K271" s="37" t="s">
        <v>1202</v>
      </c>
      <c r="L271" s="39" t="n">
        <v>1</v>
      </c>
      <c r="M271" s="39" t="n">
        <v>1</v>
      </c>
      <c r="N271" s="39" t="n">
        <v>1</v>
      </c>
      <c r="O271" s="39" t="n">
        <v>0</v>
      </c>
      <c r="P271" s="39" t="n">
        <v>0</v>
      </c>
      <c r="Q271" s="39" t="n">
        <v>0</v>
      </c>
      <c r="R271" s="39" t="n">
        <v>0</v>
      </c>
      <c r="S271" s="39" t="n">
        <v>0</v>
      </c>
      <c r="T271" s="40" t="n">
        <f aca="false">IF(M271=0,0,N271/M271)</f>
        <v>1</v>
      </c>
      <c r="U271" s="40" t="n">
        <f aca="false">IF(M271=0,0,O271/M271)</f>
        <v>0</v>
      </c>
      <c r="V271" s="41" t="n">
        <f aca="false">IF(M271=0,0,P271/M271)</f>
        <v>0</v>
      </c>
      <c r="W271" s="40" t="n">
        <f aca="false">IF(L271=0,0,Q271/L271)</f>
        <v>0</v>
      </c>
    </row>
    <row r="272" customFormat="false" ht="15" hidden="false" customHeight="false" outlineLevel="0" collapsed="false">
      <c r="A272" s="37" t="s">
        <v>1543</v>
      </c>
      <c r="B272" s="38" t="n">
        <v>46168.9171296296</v>
      </c>
      <c r="C272" s="37" t="s">
        <v>1201</v>
      </c>
      <c r="D272" s="37" t="s">
        <v>152</v>
      </c>
      <c r="E272" s="37" t="s">
        <v>1344</v>
      </c>
      <c r="F272" s="37" t="s">
        <v>152</v>
      </c>
      <c r="G272" s="37"/>
      <c r="H272" s="37" t="s">
        <v>61</v>
      </c>
      <c r="I272" s="37" t="s">
        <v>150</v>
      </c>
      <c r="J272" s="37" t="s">
        <v>151</v>
      </c>
      <c r="K272" s="37" t="s">
        <v>1202</v>
      </c>
      <c r="L272" s="39" t="n">
        <v>922</v>
      </c>
      <c r="M272" s="39" t="n">
        <v>918</v>
      </c>
      <c r="N272" s="39" t="n">
        <v>405</v>
      </c>
      <c r="O272" s="39" t="n">
        <v>79</v>
      </c>
      <c r="P272" s="39" t="n">
        <v>3</v>
      </c>
      <c r="Q272" s="39" t="n">
        <v>4</v>
      </c>
      <c r="R272" s="39" t="n">
        <v>3</v>
      </c>
      <c r="S272" s="39" t="n">
        <v>0</v>
      </c>
      <c r="T272" s="40" t="n">
        <f aca="false">IF(M272=0,0,N272/M272)</f>
        <v>0.441176470588235</v>
      </c>
      <c r="U272" s="40" t="n">
        <f aca="false">IF(M272=0,0,O272/M272)</f>
        <v>0.0860566448801743</v>
      </c>
      <c r="V272" s="41" t="n">
        <f aca="false">IF(M272=0,0,P272/M272)</f>
        <v>0.00326797385620915</v>
      </c>
      <c r="W272" s="40" t="n">
        <f aca="false">IF(L272=0,0,Q272/L272)</f>
        <v>0.00433839479392625</v>
      </c>
    </row>
    <row r="273" customFormat="false" ht="15" hidden="false" customHeight="false" outlineLevel="0" collapsed="false">
      <c r="A273" s="37" t="s">
        <v>1544</v>
      </c>
      <c r="B273" s="38" t="n">
        <v>46168.2768055556</v>
      </c>
      <c r="C273" s="37" t="s">
        <v>1201</v>
      </c>
      <c r="D273" s="37" t="s">
        <v>1211</v>
      </c>
      <c r="E273" s="37" t="s">
        <v>1212</v>
      </c>
      <c r="F273" s="37" t="s">
        <v>544</v>
      </c>
      <c r="G273" s="37"/>
      <c r="H273" s="37" t="s">
        <v>60</v>
      </c>
      <c r="I273" s="37"/>
      <c r="J273" s="37" t="s">
        <v>100</v>
      </c>
      <c r="K273" s="37" t="s">
        <v>1213</v>
      </c>
      <c r="L273" s="39" t="n">
        <v>110</v>
      </c>
      <c r="M273" s="39" t="n">
        <v>110</v>
      </c>
      <c r="N273" s="39" t="n">
        <v>77</v>
      </c>
      <c r="O273" s="39" t="n">
        <v>0</v>
      </c>
      <c r="P273" s="39" t="n">
        <v>2</v>
      </c>
      <c r="Q273" s="39" t="n">
        <v>0</v>
      </c>
      <c r="R273" s="39" t="n">
        <v>0</v>
      </c>
      <c r="S273" s="39" t="n">
        <v>0</v>
      </c>
      <c r="T273" s="40" t="n">
        <f aca="false">IF(M273=0,0,N273/M273)</f>
        <v>0.7</v>
      </c>
      <c r="U273" s="40" t="n">
        <f aca="false">IF(M273=0,0,O273/M273)</f>
        <v>0</v>
      </c>
      <c r="V273" s="41" t="n">
        <f aca="false">IF(M273=0,0,P273/M273)</f>
        <v>0.0181818181818182</v>
      </c>
      <c r="W273" s="40" t="n">
        <f aca="false">IF(L273=0,0,Q273/L273)</f>
        <v>0</v>
      </c>
    </row>
    <row r="274" customFormat="false" ht="15" hidden="false" customHeight="false" outlineLevel="0" collapsed="false">
      <c r="A274" s="37" t="s">
        <v>1545</v>
      </c>
      <c r="B274" s="38" t="n">
        <v>46168.1820949074</v>
      </c>
      <c r="C274" s="37" t="s">
        <v>1201</v>
      </c>
      <c r="D274" s="37" t="s">
        <v>647</v>
      </c>
      <c r="E274" s="37" t="s">
        <v>1546</v>
      </c>
      <c r="F274" s="37" t="s">
        <v>544</v>
      </c>
      <c r="G274" s="37" t="s">
        <v>1107</v>
      </c>
      <c r="H274" s="37" t="s">
        <v>60</v>
      </c>
      <c r="I274" s="37"/>
      <c r="J274" s="37" t="s">
        <v>236</v>
      </c>
      <c r="K274" s="37" t="s">
        <v>1202</v>
      </c>
      <c r="L274" s="39" t="n">
        <v>101</v>
      </c>
      <c r="M274" s="39" t="n">
        <v>100</v>
      </c>
      <c r="N274" s="39" t="n">
        <v>41</v>
      </c>
      <c r="O274" s="39" t="n">
        <v>5</v>
      </c>
      <c r="P274" s="39" t="n">
        <v>2</v>
      </c>
      <c r="Q274" s="39" t="n">
        <v>1</v>
      </c>
      <c r="R274" s="39" t="n">
        <v>1</v>
      </c>
      <c r="S274" s="39" t="n">
        <v>0</v>
      </c>
      <c r="T274" s="40" t="n">
        <f aca="false">IF(M274=0,0,N274/M274)</f>
        <v>0.41</v>
      </c>
      <c r="U274" s="40" t="n">
        <f aca="false">IF(M274=0,0,O274/M274)</f>
        <v>0.05</v>
      </c>
      <c r="V274" s="41" t="n">
        <f aca="false">IF(M274=0,0,P274/M274)</f>
        <v>0.02</v>
      </c>
      <c r="W274" s="40" t="n">
        <f aca="false">IF(L274=0,0,Q274/L274)</f>
        <v>0.0099009900990099</v>
      </c>
    </row>
    <row r="275" customFormat="false" ht="15" hidden="false" customHeight="false" outlineLevel="0" collapsed="false">
      <c r="A275" s="37" t="s">
        <v>1547</v>
      </c>
      <c r="B275" s="38" t="n">
        <v>46168.1778472222</v>
      </c>
      <c r="C275" s="37" t="s">
        <v>1201</v>
      </c>
      <c r="D275" s="37" t="s">
        <v>647</v>
      </c>
      <c r="E275" s="37" t="s">
        <v>1546</v>
      </c>
      <c r="F275" s="37" t="s">
        <v>544</v>
      </c>
      <c r="G275" s="37" t="s">
        <v>1107</v>
      </c>
      <c r="H275" s="37" t="s">
        <v>60</v>
      </c>
      <c r="I275" s="37"/>
      <c r="J275" s="37" t="s">
        <v>236</v>
      </c>
      <c r="K275" s="37" t="s">
        <v>1202</v>
      </c>
      <c r="L275" s="39" t="n">
        <v>373</v>
      </c>
      <c r="M275" s="39" t="n">
        <v>372</v>
      </c>
      <c r="N275" s="39" t="n">
        <v>157</v>
      </c>
      <c r="O275" s="39" t="n">
        <v>30</v>
      </c>
      <c r="P275" s="39" t="n">
        <v>0</v>
      </c>
      <c r="Q275" s="39" t="n">
        <v>1</v>
      </c>
      <c r="R275" s="39" t="n">
        <v>1</v>
      </c>
      <c r="S275" s="39" t="n">
        <v>0</v>
      </c>
      <c r="T275" s="40" t="n">
        <f aca="false">IF(M275=0,0,N275/M275)</f>
        <v>0.422043010752688</v>
      </c>
      <c r="U275" s="40" t="n">
        <f aca="false">IF(M275=0,0,O275/M275)</f>
        <v>0.0806451612903226</v>
      </c>
      <c r="V275" s="41" t="n">
        <f aca="false">IF(M275=0,0,P275/M275)</f>
        <v>0</v>
      </c>
      <c r="W275" s="40" t="n">
        <f aca="false">IF(L275=0,0,Q275/L275)</f>
        <v>0.00268096514745308</v>
      </c>
    </row>
    <row r="276" customFormat="false" ht="15" hidden="false" customHeight="false" outlineLevel="0" collapsed="false">
      <c r="A276" s="37" t="s">
        <v>1548</v>
      </c>
      <c r="B276" s="38" t="n">
        <v>46167.8320949074</v>
      </c>
      <c r="C276" s="37" t="s">
        <v>1201</v>
      </c>
      <c r="D276" s="37" t="s">
        <v>127</v>
      </c>
      <c r="E276" s="37" t="s">
        <v>128</v>
      </c>
      <c r="F276" s="37" t="s">
        <v>127</v>
      </c>
      <c r="G276" s="37"/>
      <c r="H276" s="37" t="s">
        <v>61</v>
      </c>
      <c r="I276" s="37" t="s">
        <v>125</v>
      </c>
      <c r="J276" s="37" t="s">
        <v>126</v>
      </c>
      <c r="K276" s="37" t="s">
        <v>1202</v>
      </c>
      <c r="L276" s="39" t="n">
        <v>3019</v>
      </c>
      <c r="M276" s="39" t="n">
        <v>2986</v>
      </c>
      <c r="N276" s="39" t="n">
        <v>612</v>
      </c>
      <c r="O276" s="39" t="n">
        <v>64</v>
      </c>
      <c r="P276" s="39" t="n">
        <v>8</v>
      </c>
      <c r="Q276" s="39" t="n">
        <v>33</v>
      </c>
      <c r="R276" s="39" t="n">
        <v>23</v>
      </c>
      <c r="S276" s="39" t="n">
        <v>0</v>
      </c>
      <c r="T276" s="40" t="n">
        <f aca="false">IF(M276=0,0,N276/M276)</f>
        <v>0.204956463496316</v>
      </c>
      <c r="U276" s="40" t="n">
        <f aca="false">IF(M276=0,0,O276/M276)</f>
        <v>0.0214333556597455</v>
      </c>
      <c r="V276" s="41" t="n">
        <f aca="false">IF(M276=0,0,P276/M276)</f>
        <v>0.00267916945746818</v>
      </c>
      <c r="W276" s="40" t="n">
        <f aca="false">IF(L276=0,0,Q276/L276)</f>
        <v>0.0109307717787347</v>
      </c>
    </row>
    <row r="277" customFormat="false" ht="15" hidden="false" customHeight="false" outlineLevel="0" collapsed="false">
      <c r="A277" s="37" t="s">
        <v>1549</v>
      </c>
      <c r="B277" s="38" t="n">
        <v>46165.3570486111</v>
      </c>
      <c r="C277" s="37" t="s">
        <v>1201</v>
      </c>
      <c r="D277" s="37" t="s">
        <v>1372</v>
      </c>
      <c r="E277" s="37" t="s">
        <v>1373</v>
      </c>
      <c r="F277" s="37" t="s">
        <v>537</v>
      </c>
      <c r="G277" s="37"/>
      <c r="H277" s="37" t="s">
        <v>60</v>
      </c>
      <c r="I277" s="37"/>
      <c r="J277" s="37" t="s">
        <v>296</v>
      </c>
      <c r="K277" s="37" t="s">
        <v>1202</v>
      </c>
      <c r="L277" s="39" t="n">
        <v>2</v>
      </c>
      <c r="M277" s="39" t="n">
        <v>2</v>
      </c>
      <c r="N277" s="39" t="n">
        <v>0</v>
      </c>
      <c r="O277" s="39" t="n">
        <v>0</v>
      </c>
      <c r="P277" s="39" t="n">
        <v>0</v>
      </c>
      <c r="Q277" s="39" t="n">
        <v>0</v>
      </c>
      <c r="R277" s="39" t="n">
        <v>0</v>
      </c>
      <c r="S277" s="39" t="n">
        <v>0</v>
      </c>
      <c r="T277" s="40" t="n">
        <f aca="false">IF(M277=0,0,N277/M277)</f>
        <v>0</v>
      </c>
      <c r="U277" s="40" t="n">
        <f aca="false">IF(M277=0,0,O277/M277)</f>
        <v>0</v>
      </c>
      <c r="V277" s="41" t="n">
        <f aca="false">IF(M277=0,0,P277/M277)</f>
        <v>0</v>
      </c>
      <c r="W277" s="40" t="n">
        <f aca="false">IF(L277=0,0,Q277/L277)</f>
        <v>0</v>
      </c>
    </row>
    <row r="278" customFormat="false" ht="15" hidden="false" customHeight="false" outlineLevel="0" collapsed="false">
      <c r="A278" s="37" t="s">
        <v>1550</v>
      </c>
      <c r="B278" s="38" t="n">
        <v>46164.5003472222</v>
      </c>
      <c r="C278" s="37" t="s">
        <v>1201</v>
      </c>
      <c r="D278" s="37" t="s">
        <v>1366</v>
      </c>
      <c r="E278" s="37" t="s">
        <v>1222</v>
      </c>
      <c r="F278" s="37" t="s">
        <v>544</v>
      </c>
      <c r="G278" s="37"/>
      <c r="H278" s="37" t="s">
        <v>66</v>
      </c>
      <c r="I278" s="37"/>
      <c r="J278" s="37" t="s">
        <v>121</v>
      </c>
      <c r="K278" s="37" t="s">
        <v>1213</v>
      </c>
      <c r="L278" s="39" t="n">
        <v>1783</v>
      </c>
      <c r="M278" s="39" t="n">
        <v>1782</v>
      </c>
      <c r="N278" s="39" t="n">
        <v>893</v>
      </c>
      <c r="O278" s="39" t="n">
        <v>192</v>
      </c>
      <c r="P278" s="39" t="n">
        <v>5</v>
      </c>
      <c r="Q278" s="39" t="n">
        <v>1</v>
      </c>
      <c r="R278" s="39" t="n">
        <v>0</v>
      </c>
      <c r="S278" s="39" t="n">
        <v>0</v>
      </c>
      <c r="T278" s="40" t="n">
        <f aca="false">IF(M278=0,0,N278/M278)</f>
        <v>0.501122334455668</v>
      </c>
      <c r="U278" s="40" t="n">
        <f aca="false">IF(M278=0,0,O278/M278)</f>
        <v>0.107744107744108</v>
      </c>
      <c r="V278" s="41" t="n">
        <f aca="false">IF(M278=0,0,P278/M278)</f>
        <v>0.00280583613916947</v>
      </c>
      <c r="W278" s="40" t="n">
        <f aca="false">IF(L278=0,0,Q278/L278)</f>
        <v>0.000560852495793606</v>
      </c>
    </row>
    <row r="279" customFormat="false" ht="15" hidden="false" customHeight="false" outlineLevel="0" collapsed="false">
      <c r="A279" s="37" t="s">
        <v>1551</v>
      </c>
      <c r="B279" s="38" t="n">
        <v>46164.3743171296</v>
      </c>
      <c r="C279" s="37" t="s">
        <v>1201</v>
      </c>
      <c r="D279" s="37" t="s">
        <v>1475</v>
      </c>
      <c r="E279" s="37" t="s">
        <v>1373</v>
      </c>
      <c r="F279" s="37" t="s">
        <v>537</v>
      </c>
      <c r="G279" s="37"/>
      <c r="H279" s="37" t="s">
        <v>63</v>
      </c>
      <c r="I279" s="37"/>
      <c r="J279" s="37" t="s">
        <v>296</v>
      </c>
      <c r="K279" s="37" t="s">
        <v>1202</v>
      </c>
      <c r="L279" s="39" t="n">
        <v>2</v>
      </c>
      <c r="M279" s="39" t="n">
        <v>2</v>
      </c>
      <c r="N279" s="39" t="n">
        <v>2</v>
      </c>
      <c r="O279" s="39" t="n">
        <v>0</v>
      </c>
      <c r="P279" s="39" t="n">
        <v>0</v>
      </c>
      <c r="Q279" s="39" t="n">
        <v>0</v>
      </c>
      <c r="R279" s="39" t="n">
        <v>0</v>
      </c>
      <c r="S279" s="39" t="n">
        <v>0</v>
      </c>
      <c r="T279" s="40" t="n">
        <f aca="false">IF(M279=0,0,N279/M279)</f>
        <v>1</v>
      </c>
      <c r="U279" s="40" t="n">
        <f aca="false">IF(M279=0,0,O279/M279)</f>
        <v>0</v>
      </c>
      <c r="V279" s="41" t="n">
        <f aca="false">IF(M279=0,0,P279/M279)</f>
        <v>0</v>
      </c>
      <c r="W279" s="40" t="n">
        <f aca="false">IF(L279=0,0,Q279/L279)</f>
        <v>0</v>
      </c>
    </row>
    <row r="280" customFormat="false" ht="15" hidden="false" customHeight="false" outlineLevel="0" collapsed="false">
      <c r="A280" s="37" t="s">
        <v>1552</v>
      </c>
      <c r="B280" s="38" t="n">
        <v>46164.3691550926</v>
      </c>
      <c r="C280" s="37" t="s">
        <v>1252</v>
      </c>
      <c r="D280" s="37" t="s">
        <v>1475</v>
      </c>
      <c r="E280" s="37" t="s">
        <v>1373</v>
      </c>
      <c r="F280" s="37" t="s">
        <v>537</v>
      </c>
      <c r="G280" s="37"/>
      <c r="H280" s="37" t="s">
        <v>64</v>
      </c>
      <c r="I280" s="37"/>
      <c r="J280" s="37" t="s">
        <v>296</v>
      </c>
      <c r="K280" s="37" t="s">
        <v>1202</v>
      </c>
      <c r="L280" s="39" t="n">
        <v>2</v>
      </c>
      <c r="M280" s="39" t="n">
        <v>2</v>
      </c>
      <c r="N280" s="39" t="n">
        <v>1</v>
      </c>
      <c r="O280" s="39" t="n">
        <v>0</v>
      </c>
      <c r="P280" s="39" t="n">
        <v>0</v>
      </c>
      <c r="Q280" s="39" t="n">
        <v>0</v>
      </c>
      <c r="R280" s="39" t="n">
        <v>0</v>
      </c>
      <c r="S280" s="39" t="n">
        <v>0</v>
      </c>
      <c r="T280" s="40" t="n">
        <f aca="false">IF(M280=0,0,N280/M280)</f>
        <v>0.5</v>
      </c>
      <c r="U280" s="40" t="n">
        <f aca="false">IF(M280=0,0,O280/M280)</f>
        <v>0</v>
      </c>
      <c r="V280" s="41" t="n">
        <f aca="false">IF(M280=0,0,P280/M280)</f>
        <v>0</v>
      </c>
      <c r="W280" s="40" t="n">
        <f aca="false">IF(L280=0,0,Q280/L280)</f>
        <v>0</v>
      </c>
    </row>
    <row r="281" customFormat="false" ht="15" hidden="false" customHeight="false" outlineLevel="0" collapsed="false">
      <c r="A281" s="37" t="s">
        <v>1553</v>
      </c>
      <c r="B281" s="38" t="n">
        <v>46164.1511689815</v>
      </c>
      <c r="C281" s="37" t="s">
        <v>1201</v>
      </c>
      <c r="D281" s="37" t="s">
        <v>171</v>
      </c>
      <c r="E281" s="37" t="s">
        <v>172</v>
      </c>
      <c r="F281" s="37" t="s">
        <v>555</v>
      </c>
      <c r="G281" s="37"/>
      <c r="H281" s="37" t="s">
        <v>61</v>
      </c>
      <c r="I281" s="37" t="s">
        <v>169</v>
      </c>
      <c r="J281" s="37" t="s">
        <v>170</v>
      </c>
      <c r="K281" s="37" t="s">
        <v>1202</v>
      </c>
      <c r="L281" s="39" t="n">
        <v>1423</v>
      </c>
      <c r="M281" s="39" t="n">
        <v>1414</v>
      </c>
      <c r="N281" s="39" t="n">
        <v>196</v>
      </c>
      <c r="O281" s="39" t="n">
        <v>6</v>
      </c>
      <c r="P281" s="39" t="n">
        <v>14</v>
      </c>
      <c r="Q281" s="39" t="n">
        <v>9</v>
      </c>
      <c r="R281" s="39" t="n">
        <v>6</v>
      </c>
      <c r="S281" s="39" t="n">
        <v>0</v>
      </c>
      <c r="T281" s="40" t="n">
        <f aca="false">IF(M281=0,0,N281/M281)</f>
        <v>0.138613861386139</v>
      </c>
      <c r="U281" s="40" t="n">
        <f aca="false">IF(M281=0,0,O281/M281)</f>
        <v>0.00424328147100424</v>
      </c>
      <c r="V281" s="41" t="n">
        <f aca="false">IF(M281=0,0,P281/M281)</f>
        <v>0.0099009900990099</v>
      </c>
      <c r="W281" s="40" t="n">
        <f aca="false">IF(L281=0,0,Q281/L281)</f>
        <v>0.00632466619817287</v>
      </c>
    </row>
    <row r="282" customFormat="false" ht="15" hidden="false" customHeight="false" outlineLevel="0" collapsed="false">
      <c r="A282" s="37" t="s">
        <v>1554</v>
      </c>
      <c r="B282" s="38" t="n">
        <v>46164.1222106482</v>
      </c>
      <c r="C282" s="37" t="s">
        <v>1201</v>
      </c>
      <c r="D282" s="37" t="s">
        <v>1526</v>
      </c>
      <c r="E282" s="37" t="s">
        <v>1527</v>
      </c>
      <c r="F282" s="37" t="s">
        <v>548</v>
      </c>
      <c r="G282" s="37"/>
      <c r="H282" s="37" t="s">
        <v>60</v>
      </c>
      <c r="I282" s="37"/>
      <c r="J282" s="37" t="s">
        <v>364</v>
      </c>
      <c r="K282" s="37" t="s">
        <v>1202</v>
      </c>
      <c r="L282" s="39" t="n">
        <v>485</v>
      </c>
      <c r="M282" s="39" t="n">
        <v>483</v>
      </c>
      <c r="N282" s="39" t="n">
        <v>234</v>
      </c>
      <c r="O282" s="39" t="n">
        <v>24</v>
      </c>
      <c r="P282" s="39" t="n">
        <v>6</v>
      </c>
      <c r="Q282" s="39" t="n">
        <v>2</v>
      </c>
      <c r="R282" s="39" t="n">
        <v>2</v>
      </c>
      <c r="S282" s="39" t="n">
        <v>0</v>
      </c>
      <c r="T282" s="40" t="n">
        <f aca="false">IF(M282=0,0,N282/M282)</f>
        <v>0.484472049689441</v>
      </c>
      <c r="U282" s="40" t="n">
        <f aca="false">IF(M282=0,0,O282/M282)</f>
        <v>0.0496894409937888</v>
      </c>
      <c r="V282" s="41" t="n">
        <f aca="false">IF(M282=0,0,P282/M282)</f>
        <v>0.0124223602484472</v>
      </c>
      <c r="W282" s="40" t="n">
        <f aca="false">IF(L282=0,0,Q282/L282)</f>
        <v>0.00412371134020619</v>
      </c>
    </row>
    <row r="283" customFormat="false" ht="15" hidden="false" customHeight="false" outlineLevel="0" collapsed="false">
      <c r="A283" s="37" t="s">
        <v>1555</v>
      </c>
      <c r="B283" s="38" t="n">
        <v>46164.0212615741</v>
      </c>
      <c r="C283" s="37" t="s">
        <v>1201</v>
      </c>
      <c r="D283" s="37" t="s">
        <v>1475</v>
      </c>
      <c r="E283" s="37" t="s">
        <v>1373</v>
      </c>
      <c r="F283" s="37" t="s">
        <v>537</v>
      </c>
      <c r="G283" s="37"/>
      <c r="H283" s="37" t="s">
        <v>64</v>
      </c>
      <c r="I283" s="37"/>
      <c r="J283" s="37" t="s">
        <v>296</v>
      </c>
      <c r="K283" s="37" t="s">
        <v>1202</v>
      </c>
      <c r="L283" s="39" t="n">
        <v>2</v>
      </c>
      <c r="M283" s="39" t="n">
        <v>2</v>
      </c>
      <c r="N283" s="39" t="n">
        <v>1</v>
      </c>
      <c r="O283" s="39" t="n">
        <v>0</v>
      </c>
      <c r="P283" s="39" t="n">
        <v>0</v>
      </c>
      <c r="Q283" s="39" t="n">
        <v>0</v>
      </c>
      <c r="R283" s="39" t="n">
        <v>0</v>
      </c>
      <c r="S283" s="39" t="n">
        <v>0</v>
      </c>
      <c r="T283" s="40" t="n">
        <f aca="false">IF(M283=0,0,N283/M283)</f>
        <v>0.5</v>
      </c>
      <c r="U283" s="40" t="n">
        <f aca="false">IF(M283=0,0,O283/M283)</f>
        <v>0</v>
      </c>
      <c r="V283" s="41" t="n">
        <f aca="false">IF(M283=0,0,P283/M283)</f>
        <v>0</v>
      </c>
      <c r="W283" s="40" t="n">
        <f aca="false">IF(L283=0,0,Q283/L283)</f>
        <v>0</v>
      </c>
    </row>
    <row r="284" customFormat="false" ht="15" hidden="false" customHeight="false" outlineLevel="0" collapsed="false">
      <c r="A284" s="37" t="s">
        <v>1556</v>
      </c>
      <c r="B284" s="38" t="n">
        <v>46164.0106365741</v>
      </c>
      <c r="C284" s="37" t="s">
        <v>1201</v>
      </c>
      <c r="D284" s="37" t="s">
        <v>1475</v>
      </c>
      <c r="E284" s="37" t="s">
        <v>1373</v>
      </c>
      <c r="F284" s="37" t="s">
        <v>537</v>
      </c>
      <c r="G284" s="37"/>
      <c r="H284" s="37" t="s">
        <v>64</v>
      </c>
      <c r="I284" s="37"/>
      <c r="J284" s="37" t="s">
        <v>296</v>
      </c>
      <c r="K284" s="37" t="s">
        <v>1202</v>
      </c>
      <c r="L284" s="39" t="n">
        <v>2</v>
      </c>
      <c r="M284" s="39" t="n">
        <v>2</v>
      </c>
      <c r="N284" s="39" t="n">
        <v>2</v>
      </c>
      <c r="O284" s="39" t="n">
        <v>0</v>
      </c>
      <c r="P284" s="39" t="n">
        <v>0</v>
      </c>
      <c r="Q284" s="39" t="n">
        <v>0</v>
      </c>
      <c r="R284" s="39" t="n">
        <v>0</v>
      </c>
      <c r="S284" s="39" t="n">
        <v>0</v>
      </c>
      <c r="T284" s="40" t="n">
        <f aca="false">IF(M284=0,0,N284/M284)</f>
        <v>1</v>
      </c>
      <c r="U284" s="40" t="n">
        <f aca="false">IF(M284=0,0,O284/M284)</f>
        <v>0</v>
      </c>
      <c r="V284" s="41" t="n">
        <f aca="false">IF(M284=0,0,P284/M284)</f>
        <v>0</v>
      </c>
      <c r="W284" s="40" t="n">
        <f aca="false">IF(L284=0,0,Q284/L284)</f>
        <v>0</v>
      </c>
    </row>
    <row r="285" customFormat="false" ht="15" hidden="false" customHeight="false" outlineLevel="0" collapsed="false">
      <c r="A285" s="37" t="s">
        <v>1557</v>
      </c>
      <c r="B285" s="38" t="n">
        <v>46163.792025463</v>
      </c>
      <c r="C285" s="37" t="s">
        <v>1201</v>
      </c>
      <c r="D285" s="37" t="s">
        <v>1475</v>
      </c>
      <c r="E285" s="37" t="s">
        <v>1373</v>
      </c>
      <c r="F285" s="37" t="s">
        <v>537</v>
      </c>
      <c r="G285" s="37"/>
      <c r="H285" s="37" t="s">
        <v>63</v>
      </c>
      <c r="I285" s="37"/>
      <c r="J285" s="37" t="s">
        <v>296</v>
      </c>
      <c r="K285" s="37" t="s">
        <v>1202</v>
      </c>
      <c r="L285" s="39" t="n">
        <v>2</v>
      </c>
      <c r="M285" s="39" t="n">
        <v>2</v>
      </c>
      <c r="N285" s="39" t="n">
        <v>2</v>
      </c>
      <c r="O285" s="39" t="n">
        <v>0</v>
      </c>
      <c r="P285" s="39" t="n">
        <v>0</v>
      </c>
      <c r="Q285" s="39" t="n">
        <v>0</v>
      </c>
      <c r="R285" s="39" t="n">
        <v>0</v>
      </c>
      <c r="S285" s="39" t="n">
        <v>0</v>
      </c>
      <c r="T285" s="40" t="n">
        <f aca="false">IF(M285=0,0,N285/M285)</f>
        <v>1</v>
      </c>
      <c r="U285" s="40" t="n">
        <f aca="false">IF(M285=0,0,O285/M285)</f>
        <v>0</v>
      </c>
      <c r="V285" s="41" t="n">
        <f aca="false">IF(M285=0,0,P285/M285)</f>
        <v>0</v>
      </c>
      <c r="W285" s="40" t="n">
        <f aca="false">IF(L285=0,0,Q285/L285)</f>
        <v>0</v>
      </c>
    </row>
    <row r="286" customFormat="false" ht="15" hidden="false" customHeight="false" outlineLevel="0" collapsed="false">
      <c r="A286" s="37" t="s">
        <v>1558</v>
      </c>
      <c r="B286" s="38" t="n">
        <v>46163.4159143519</v>
      </c>
      <c r="C286" s="37" t="s">
        <v>1201</v>
      </c>
      <c r="D286" s="37" t="s">
        <v>1392</v>
      </c>
      <c r="E286" s="37" t="s">
        <v>166</v>
      </c>
      <c r="F286" s="37" t="s">
        <v>555</v>
      </c>
      <c r="G286" s="37" t="s">
        <v>1393</v>
      </c>
      <c r="H286" s="37" t="s">
        <v>61</v>
      </c>
      <c r="I286" s="37" t="s">
        <v>260</v>
      </c>
      <c r="J286" s="37" t="s">
        <v>164</v>
      </c>
      <c r="K286" s="37" t="s">
        <v>1202</v>
      </c>
      <c r="L286" s="39" t="n">
        <v>22</v>
      </c>
      <c r="M286" s="39" t="n">
        <v>22</v>
      </c>
      <c r="N286" s="39" t="n">
        <v>13</v>
      </c>
      <c r="O286" s="39" t="n">
        <v>0</v>
      </c>
      <c r="P286" s="39" t="n">
        <v>0</v>
      </c>
      <c r="Q286" s="39" t="n">
        <v>0</v>
      </c>
      <c r="R286" s="39" t="n">
        <v>0</v>
      </c>
      <c r="S286" s="39" t="n">
        <v>0</v>
      </c>
      <c r="T286" s="40" t="n">
        <f aca="false">IF(M286=0,0,N286/M286)</f>
        <v>0.590909090909091</v>
      </c>
      <c r="U286" s="40" t="n">
        <f aca="false">IF(M286=0,0,O286/M286)</f>
        <v>0</v>
      </c>
      <c r="V286" s="41" t="n">
        <f aca="false">IF(M286=0,0,P286/M286)</f>
        <v>0</v>
      </c>
      <c r="W286" s="40" t="n">
        <f aca="false">IF(L286=0,0,Q286/L286)</f>
        <v>0</v>
      </c>
    </row>
    <row r="287" customFormat="false" ht="15" hidden="false" customHeight="false" outlineLevel="0" collapsed="false">
      <c r="A287" s="37" t="s">
        <v>1559</v>
      </c>
      <c r="B287" s="38" t="n">
        <v>46163.368287037</v>
      </c>
      <c r="C287" s="37" t="s">
        <v>1201</v>
      </c>
      <c r="D287" s="37" t="s">
        <v>1372</v>
      </c>
      <c r="E287" s="37" t="s">
        <v>1373</v>
      </c>
      <c r="F287" s="37" t="s">
        <v>537</v>
      </c>
      <c r="G287" s="37"/>
      <c r="H287" s="37" t="s">
        <v>64</v>
      </c>
      <c r="I287" s="37"/>
      <c r="J287" s="37" t="s">
        <v>296</v>
      </c>
      <c r="K287" s="37" t="s">
        <v>1202</v>
      </c>
      <c r="L287" s="39" t="n">
        <v>1</v>
      </c>
      <c r="M287" s="39" t="n">
        <v>1</v>
      </c>
      <c r="N287" s="39" t="n">
        <v>1</v>
      </c>
      <c r="O287" s="39" t="n">
        <v>0</v>
      </c>
      <c r="P287" s="39" t="n">
        <v>0</v>
      </c>
      <c r="Q287" s="39" t="n">
        <v>0</v>
      </c>
      <c r="R287" s="39" t="n">
        <v>0</v>
      </c>
      <c r="S287" s="39" t="n">
        <v>0</v>
      </c>
      <c r="T287" s="40" t="n">
        <f aca="false">IF(M287=0,0,N287/M287)</f>
        <v>1</v>
      </c>
      <c r="U287" s="40" t="n">
        <f aca="false">IF(M287=0,0,O287/M287)</f>
        <v>0</v>
      </c>
      <c r="V287" s="41" t="n">
        <f aca="false">IF(M287=0,0,P287/M287)</f>
        <v>0</v>
      </c>
      <c r="W287" s="40" t="n">
        <f aca="false">IF(L287=0,0,Q287/L287)</f>
        <v>0</v>
      </c>
    </row>
    <row r="288" customFormat="false" ht="15" hidden="false" customHeight="false" outlineLevel="0" collapsed="false">
      <c r="A288" s="37" t="s">
        <v>1560</v>
      </c>
      <c r="B288" s="38" t="n">
        <v>46163.3670138889</v>
      </c>
      <c r="C288" s="37" t="s">
        <v>1201</v>
      </c>
      <c r="D288" s="37" t="s">
        <v>1372</v>
      </c>
      <c r="E288" s="37" t="s">
        <v>1373</v>
      </c>
      <c r="F288" s="37" t="s">
        <v>537</v>
      </c>
      <c r="G288" s="37"/>
      <c r="H288" s="37" t="s">
        <v>60</v>
      </c>
      <c r="I288" s="37"/>
      <c r="J288" s="37" t="s">
        <v>296</v>
      </c>
      <c r="K288" s="37" t="s">
        <v>1202</v>
      </c>
      <c r="L288" s="39" t="n">
        <v>1</v>
      </c>
      <c r="M288" s="39" t="n">
        <v>1</v>
      </c>
      <c r="N288" s="39" t="n">
        <v>1</v>
      </c>
      <c r="O288" s="39" t="n">
        <v>0</v>
      </c>
      <c r="P288" s="39" t="n">
        <v>0</v>
      </c>
      <c r="Q288" s="39" t="n">
        <v>0</v>
      </c>
      <c r="R288" s="39" t="n">
        <v>0</v>
      </c>
      <c r="S288" s="39" t="n">
        <v>0</v>
      </c>
      <c r="T288" s="40" t="n">
        <f aca="false">IF(M288=0,0,N288/M288)</f>
        <v>1</v>
      </c>
      <c r="U288" s="40" t="n">
        <f aca="false">IF(M288=0,0,O288/M288)</f>
        <v>0</v>
      </c>
      <c r="V288" s="41" t="n">
        <f aca="false">IF(M288=0,0,P288/M288)</f>
        <v>0</v>
      </c>
      <c r="W288" s="40" t="n">
        <f aca="false">IF(L288=0,0,Q288/L288)</f>
        <v>0</v>
      </c>
    </row>
    <row r="289" customFormat="false" ht="15" hidden="false" customHeight="false" outlineLevel="0" collapsed="false">
      <c r="A289" s="37" t="s">
        <v>1561</v>
      </c>
      <c r="B289" s="38" t="n">
        <v>46163.3437847222</v>
      </c>
      <c r="C289" s="37" t="s">
        <v>1252</v>
      </c>
      <c r="D289" s="37" t="s">
        <v>1562</v>
      </c>
      <c r="E289" s="37" t="s">
        <v>288</v>
      </c>
      <c r="F289" s="37" t="s">
        <v>544</v>
      </c>
      <c r="G289" s="37"/>
      <c r="H289" s="37" t="s">
        <v>60</v>
      </c>
      <c r="I289" s="37"/>
      <c r="J289" s="37" t="s">
        <v>287</v>
      </c>
      <c r="K289" s="37" t="s">
        <v>1202</v>
      </c>
      <c r="L289" s="39" t="n">
        <v>140</v>
      </c>
      <c r="M289" s="39" t="n">
        <v>140</v>
      </c>
      <c r="N289" s="39" t="n">
        <v>69</v>
      </c>
      <c r="O289" s="39" t="n">
        <v>9</v>
      </c>
      <c r="P289" s="39" t="n">
        <v>0</v>
      </c>
      <c r="Q289" s="39" t="n">
        <v>0</v>
      </c>
      <c r="R289" s="39" t="n">
        <v>0</v>
      </c>
      <c r="S289" s="39" t="n">
        <v>0</v>
      </c>
      <c r="T289" s="40" t="n">
        <f aca="false">IF(M289=0,0,N289/M289)</f>
        <v>0.492857142857143</v>
      </c>
      <c r="U289" s="40" t="n">
        <f aca="false">IF(M289=0,0,O289/M289)</f>
        <v>0.0642857142857143</v>
      </c>
      <c r="V289" s="41" t="n">
        <f aca="false">IF(M289=0,0,P289/M289)</f>
        <v>0</v>
      </c>
      <c r="W289" s="40" t="n">
        <f aca="false">IF(L289=0,0,Q289/L289)</f>
        <v>0</v>
      </c>
    </row>
    <row r="290" customFormat="false" ht="15" hidden="false" customHeight="false" outlineLevel="0" collapsed="false">
      <c r="A290" s="37" t="s">
        <v>1563</v>
      </c>
      <c r="B290" s="38" t="n">
        <v>46162.7668865741</v>
      </c>
      <c r="C290" s="37" t="s">
        <v>1201</v>
      </c>
      <c r="D290" s="37" t="s">
        <v>1211</v>
      </c>
      <c r="E290" s="37" t="s">
        <v>1212</v>
      </c>
      <c r="F290" s="37" t="s">
        <v>544</v>
      </c>
      <c r="G290" s="37"/>
      <c r="H290" s="37" t="s">
        <v>64</v>
      </c>
      <c r="I290" s="37"/>
      <c r="J290" s="37" t="s">
        <v>100</v>
      </c>
      <c r="K290" s="37" t="s">
        <v>1213</v>
      </c>
      <c r="L290" s="39" t="n">
        <v>110</v>
      </c>
      <c r="M290" s="39" t="n">
        <v>110</v>
      </c>
      <c r="N290" s="39" t="n">
        <v>81</v>
      </c>
      <c r="O290" s="39" t="n">
        <v>0</v>
      </c>
      <c r="P290" s="39" t="n">
        <v>1</v>
      </c>
      <c r="Q290" s="39" t="n">
        <v>0</v>
      </c>
      <c r="R290" s="39" t="n">
        <v>0</v>
      </c>
      <c r="S290" s="39" t="n">
        <v>0</v>
      </c>
      <c r="T290" s="40" t="n">
        <f aca="false">IF(M290=0,0,N290/M290)</f>
        <v>0.736363636363636</v>
      </c>
      <c r="U290" s="40" t="n">
        <f aca="false">IF(M290=0,0,O290/M290)</f>
        <v>0</v>
      </c>
      <c r="V290" s="41" t="n">
        <f aca="false">IF(M290=0,0,P290/M290)</f>
        <v>0.00909090909090909</v>
      </c>
      <c r="W290" s="40" t="n">
        <f aca="false">IF(L290=0,0,Q290/L290)</f>
        <v>0</v>
      </c>
    </row>
    <row r="291" customFormat="false" ht="15" hidden="false" customHeight="false" outlineLevel="0" collapsed="false">
      <c r="A291" s="37" t="s">
        <v>1564</v>
      </c>
      <c r="B291" s="38" t="n">
        <v>46162.6255671296</v>
      </c>
      <c r="C291" s="37" t="s">
        <v>1201</v>
      </c>
      <c r="D291" s="37" t="s">
        <v>160</v>
      </c>
      <c r="E291" s="37" t="s">
        <v>160</v>
      </c>
      <c r="F291" s="37" t="s">
        <v>555</v>
      </c>
      <c r="G291" s="37" t="s">
        <v>1114</v>
      </c>
      <c r="H291" s="37" t="s">
        <v>60</v>
      </c>
      <c r="I291" s="37" t="s">
        <v>157</v>
      </c>
      <c r="J291" s="37" t="s">
        <v>158</v>
      </c>
      <c r="K291" s="37" t="s">
        <v>1202</v>
      </c>
      <c r="L291" s="39" t="n">
        <v>1909</v>
      </c>
      <c r="M291" s="39" t="n">
        <v>1896</v>
      </c>
      <c r="N291" s="39" t="n">
        <v>765</v>
      </c>
      <c r="O291" s="39" t="n">
        <v>83</v>
      </c>
      <c r="P291" s="39" t="n">
        <v>13</v>
      </c>
      <c r="Q291" s="39" t="n">
        <v>12</v>
      </c>
      <c r="R291" s="39" t="n">
        <v>9</v>
      </c>
      <c r="S291" s="39" t="n">
        <v>0</v>
      </c>
      <c r="T291" s="40" t="n">
        <f aca="false">IF(M291=0,0,N291/M291)</f>
        <v>0.403481012658228</v>
      </c>
      <c r="U291" s="40" t="n">
        <f aca="false">IF(M291=0,0,O291/M291)</f>
        <v>0.0437763713080169</v>
      </c>
      <c r="V291" s="41" t="n">
        <f aca="false">IF(M291=0,0,P291/M291)</f>
        <v>0.00685654008438819</v>
      </c>
      <c r="W291" s="40" t="n">
        <f aca="false">IF(L291=0,0,Q291/L291)</f>
        <v>0.00628601361969618</v>
      </c>
    </row>
    <row r="292" customFormat="false" ht="15" hidden="false" customHeight="false" outlineLevel="0" collapsed="false">
      <c r="A292" s="37" t="s">
        <v>1565</v>
      </c>
      <c r="B292" s="38" t="n">
        <v>46162.3217361111</v>
      </c>
      <c r="C292" s="37" t="s">
        <v>1201</v>
      </c>
      <c r="D292" s="37" t="s">
        <v>1211</v>
      </c>
      <c r="E292" s="37" t="s">
        <v>1212</v>
      </c>
      <c r="F292" s="37" t="s">
        <v>544</v>
      </c>
      <c r="G292" s="37"/>
      <c r="H292" s="37" t="s">
        <v>60</v>
      </c>
      <c r="I292" s="37"/>
      <c r="J292" s="37" t="s">
        <v>100</v>
      </c>
      <c r="K292" s="37" t="s">
        <v>1213</v>
      </c>
      <c r="L292" s="39" t="n">
        <v>112</v>
      </c>
      <c r="M292" s="39" t="n">
        <v>111</v>
      </c>
      <c r="N292" s="39" t="n">
        <v>65</v>
      </c>
      <c r="O292" s="39" t="n">
        <v>2</v>
      </c>
      <c r="P292" s="39" t="n">
        <v>1</v>
      </c>
      <c r="Q292" s="39" t="n">
        <v>1</v>
      </c>
      <c r="R292" s="39" t="n">
        <v>1</v>
      </c>
      <c r="S292" s="39" t="n">
        <v>0</v>
      </c>
      <c r="T292" s="40" t="n">
        <f aca="false">IF(M292=0,0,N292/M292)</f>
        <v>0.585585585585586</v>
      </c>
      <c r="U292" s="40" t="n">
        <f aca="false">IF(M292=0,0,O292/M292)</f>
        <v>0.018018018018018</v>
      </c>
      <c r="V292" s="41" t="n">
        <f aca="false">IF(M292=0,0,P292/M292)</f>
        <v>0.00900900900900901</v>
      </c>
      <c r="W292" s="40" t="n">
        <f aca="false">IF(L292=0,0,Q292/L292)</f>
        <v>0.00892857142857143</v>
      </c>
    </row>
    <row r="293" customFormat="false" ht="15" hidden="false" customHeight="false" outlineLevel="0" collapsed="false">
      <c r="A293" s="37" t="s">
        <v>1566</v>
      </c>
      <c r="B293" s="38" t="n">
        <v>46162.0214930556</v>
      </c>
      <c r="C293" s="37" t="s">
        <v>1201</v>
      </c>
      <c r="D293" s="37" t="s">
        <v>1372</v>
      </c>
      <c r="E293" s="37" t="s">
        <v>1373</v>
      </c>
      <c r="F293" s="37" t="s">
        <v>537</v>
      </c>
      <c r="G293" s="37"/>
      <c r="H293" s="37" t="s">
        <v>60</v>
      </c>
      <c r="I293" s="37"/>
      <c r="J293" s="37" t="s">
        <v>296</v>
      </c>
      <c r="K293" s="37" t="s">
        <v>1202</v>
      </c>
      <c r="L293" s="39" t="n">
        <v>2</v>
      </c>
      <c r="M293" s="39" t="n">
        <v>2</v>
      </c>
      <c r="N293" s="39" t="n">
        <v>1</v>
      </c>
      <c r="O293" s="39" t="n">
        <v>0</v>
      </c>
      <c r="P293" s="39" t="n">
        <v>0</v>
      </c>
      <c r="Q293" s="39" t="n">
        <v>0</v>
      </c>
      <c r="R293" s="39" t="n">
        <v>0</v>
      </c>
      <c r="S293" s="39" t="n">
        <v>0</v>
      </c>
      <c r="T293" s="40" t="n">
        <f aca="false">IF(M293=0,0,N293/M293)</f>
        <v>0.5</v>
      </c>
      <c r="U293" s="40" t="n">
        <f aca="false">IF(M293=0,0,O293/M293)</f>
        <v>0</v>
      </c>
      <c r="V293" s="41" t="n">
        <f aca="false">IF(M293=0,0,P293/M293)</f>
        <v>0</v>
      </c>
      <c r="W293" s="40" t="n">
        <f aca="false">IF(L293=0,0,Q293/L293)</f>
        <v>0</v>
      </c>
    </row>
    <row r="294" customFormat="false" ht="15" hidden="false" customHeight="false" outlineLevel="0" collapsed="false">
      <c r="A294" s="37" t="s">
        <v>1567</v>
      </c>
      <c r="B294" s="38" t="n">
        <v>46161.3809722222</v>
      </c>
      <c r="C294" s="37" t="s">
        <v>1201</v>
      </c>
      <c r="D294" s="37" t="s">
        <v>1523</v>
      </c>
      <c r="E294" s="37" t="s">
        <v>166</v>
      </c>
      <c r="F294" s="37" t="s">
        <v>555</v>
      </c>
      <c r="G294" s="37" t="s">
        <v>1524</v>
      </c>
      <c r="H294" s="37" t="s">
        <v>60</v>
      </c>
      <c r="I294" s="37"/>
      <c r="J294" s="37" t="s">
        <v>164</v>
      </c>
      <c r="K294" s="37" t="s">
        <v>1202</v>
      </c>
      <c r="L294" s="39" t="n">
        <v>452</v>
      </c>
      <c r="M294" s="39" t="n">
        <v>451</v>
      </c>
      <c r="N294" s="39" t="n">
        <v>170</v>
      </c>
      <c r="O294" s="39" t="n">
        <v>29</v>
      </c>
      <c r="P294" s="39" t="n">
        <v>1</v>
      </c>
      <c r="Q294" s="39" t="n">
        <v>1</v>
      </c>
      <c r="R294" s="39" t="n">
        <v>1</v>
      </c>
      <c r="S294" s="39" t="n">
        <v>0</v>
      </c>
      <c r="T294" s="40" t="n">
        <f aca="false">IF(M294=0,0,N294/M294)</f>
        <v>0.376940133037694</v>
      </c>
      <c r="U294" s="40" t="n">
        <f aca="false">IF(M294=0,0,O294/M294)</f>
        <v>0.0643015521064302</v>
      </c>
      <c r="V294" s="41" t="n">
        <f aca="false">IF(M294=0,0,P294/M294)</f>
        <v>0.00221729490022173</v>
      </c>
      <c r="W294" s="40" t="n">
        <f aca="false">IF(L294=0,0,Q294/L294)</f>
        <v>0.00221238938053097</v>
      </c>
    </row>
    <row r="295" customFormat="false" ht="15" hidden="false" customHeight="false" outlineLevel="0" collapsed="false">
      <c r="A295" s="37" t="s">
        <v>1568</v>
      </c>
      <c r="B295" s="38" t="n">
        <v>46160.6129050926</v>
      </c>
      <c r="C295" s="37" t="s">
        <v>1201</v>
      </c>
      <c r="D295" s="37" t="s">
        <v>623</v>
      </c>
      <c r="E295" s="37" t="s">
        <v>166</v>
      </c>
      <c r="F295" s="37" t="s">
        <v>555</v>
      </c>
      <c r="G295" s="37" t="s">
        <v>1121</v>
      </c>
      <c r="H295" s="37" t="s">
        <v>61</v>
      </c>
      <c r="I295" s="37" t="s">
        <v>163</v>
      </c>
      <c r="J295" s="37" t="s">
        <v>164</v>
      </c>
      <c r="K295" s="37" t="s">
        <v>1202</v>
      </c>
      <c r="L295" s="39" t="n">
        <v>1386</v>
      </c>
      <c r="M295" s="39" t="n">
        <v>1380</v>
      </c>
      <c r="N295" s="39" t="n">
        <v>648</v>
      </c>
      <c r="O295" s="39" t="n">
        <v>46</v>
      </c>
      <c r="P295" s="39" t="n">
        <v>16</v>
      </c>
      <c r="Q295" s="39" t="n">
        <v>6</v>
      </c>
      <c r="R295" s="39" t="n">
        <v>6</v>
      </c>
      <c r="S295" s="39" t="n">
        <v>0</v>
      </c>
      <c r="T295" s="40" t="n">
        <f aca="false">IF(M295=0,0,N295/M295)</f>
        <v>0.469565217391304</v>
      </c>
      <c r="U295" s="40" t="n">
        <f aca="false">IF(M295=0,0,O295/M295)</f>
        <v>0.0333333333333333</v>
      </c>
      <c r="V295" s="41" t="n">
        <f aca="false">IF(M295=0,0,P295/M295)</f>
        <v>0.0115942028985507</v>
      </c>
      <c r="W295" s="40" t="n">
        <f aca="false">IF(L295=0,0,Q295/L295)</f>
        <v>0.00432900432900433</v>
      </c>
    </row>
    <row r="296" customFormat="false" ht="15" hidden="false" customHeight="false" outlineLevel="0" collapsed="false">
      <c r="A296" s="37" t="s">
        <v>1568</v>
      </c>
      <c r="B296" s="38" t="n">
        <v>46160.6121759259</v>
      </c>
      <c r="C296" s="37" t="s">
        <v>1201</v>
      </c>
      <c r="D296" s="37" t="s">
        <v>623</v>
      </c>
      <c r="E296" s="37" t="s">
        <v>166</v>
      </c>
      <c r="F296" s="37" t="s">
        <v>555</v>
      </c>
      <c r="G296" s="37" t="s">
        <v>1121</v>
      </c>
      <c r="H296" s="37" t="s">
        <v>61</v>
      </c>
      <c r="I296" s="37" t="s">
        <v>163</v>
      </c>
      <c r="J296" s="37" t="s">
        <v>164</v>
      </c>
      <c r="K296" s="37" t="s">
        <v>1202</v>
      </c>
      <c r="L296" s="39" t="n">
        <v>0</v>
      </c>
      <c r="M296" s="39" t="n">
        <v>0</v>
      </c>
      <c r="N296" s="39" t="n">
        <v>0</v>
      </c>
      <c r="O296" s="39" t="n">
        <v>0</v>
      </c>
      <c r="P296" s="39" t="n">
        <v>0</v>
      </c>
      <c r="Q296" s="39" t="n">
        <v>0</v>
      </c>
      <c r="R296" s="39" t="n">
        <v>0</v>
      </c>
      <c r="S296" s="39" t="n">
        <v>0</v>
      </c>
      <c r="T296" s="40" t="n">
        <f aca="false">IF(M296=0,0,N296/M296)</f>
        <v>0</v>
      </c>
      <c r="U296" s="40" t="n">
        <f aca="false">IF(M296=0,0,O296/M296)</f>
        <v>0</v>
      </c>
      <c r="V296" s="41" t="n">
        <f aca="false">IF(M296=0,0,P296/M296)</f>
        <v>0</v>
      </c>
      <c r="W296" s="40" t="n">
        <f aca="false">IF(L296=0,0,Q296/L296)</f>
        <v>0</v>
      </c>
    </row>
    <row r="297" customFormat="false" ht="15" hidden="false" customHeight="false" outlineLevel="0" collapsed="false">
      <c r="A297" s="37" t="s">
        <v>1569</v>
      </c>
      <c r="B297" s="38" t="n">
        <v>46160.563125</v>
      </c>
      <c r="C297" s="37" t="s">
        <v>1201</v>
      </c>
      <c r="D297" s="37" t="s">
        <v>1570</v>
      </c>
      <c r="E297" s="37" t="s">
        <v>1570</v>
      </c>
      <c r="F297" s="37" t="s">
        <v>544</v>
      </c>
      <c r="G297" s="37"/>
      <c r="H297" s="37" t="s">
        <v>60</v>
      </c>
      <c r="I297" s="37"/>
      <c r="J297" s="37" t="s">
        <v>430</v>
      </c>
      <c r="K297" s="37" t="s">
        <v>8</v>
      </c>
      <c r="L297" s="39" t="n">
        <v>900</v>
      </c>
      <c r="M297" s="39" t="n">
        <v>900</v>
      </c>
      <c r="N297" s="39" t="n">
        <v>580</v>
      </c>
      <c r="O297" s="39" t="n">
        <v>111</v>
      </c>
      <c r="P297" s="39" t="n">
        <v>2</v>
      </c>
      <c r="Q297" s="39" t="n">
        <v>0</v>
      </c>
      <c r="R297" s="39" t="n">
        <v>0</v>
      </c>
      <c r="S297" s="39" t="n">
        <v>0</v>
      </c>
      <c r="T297" s="40" t="n">
        <f aca="false">IF(M297=0,0,N297/M297)</f>
        <v>0.644444444444445</v>
      </c>
      <c r="U297" s="40" t="n">
        <f aca="false">IF(M297=0,0,O297/M297)</f>
        <v>0.123333333333333</v>
      </c>
      <c r="V297" s="41" t="n">
        <f aca="false">IF(M297=0,0,P297/M297)</f>
        <v>0.00222222222222222</v>
      </c>
      <c r="W297" s="40" t="n">
        <f aca="false">IF(L297=0,0,Q297/L297)</f>
        <v>0</v>
      </c>
    </row>
    <row r="298" customFormat="false" ht="15" hidden="false" customHeight="false" outlineLevel="0" collapsed="false">
      <c r="A298" s="37" t="s">
        <v>1571</v>
      </c>
      <c r="B298" s="38" t="n">
        <v>46157.6450115741</v>
      </c>
      <c r="C298" s="37" t="s">
        <v>1201</v>
      </c>
      <c r="D298" s="37" t="s">
        <v>1392</v>
      </c>
      <c r="E298" s="37" t="s">
        <v>166</v>
      </c>
      <c r="F298" s="37" t="s">
        <v>555</v>
      </c>
      <c r="G298" s="37" t="s">
        <v>1393</v>
      </c>
      <c r="H298" s="37" t="s">
        <v>61</v>
      </c>
      <c r="I298" s="37" t="s">
        <v>260</v>
      </c>
      <c r="J298" s="37" t="s">
        <v>164</v>
      </c>
      <c r="K298" s="37" t="s">
        <v>1202</v>
      </c>
      <c r="L298" s="39" t="n">
        <v>22</v>
      </c>
      <c r="M298" s="39" t="n">
        <v>22</v>
      </c>
      <c r="N298" s="39" t="n">
        <v>12</v>
      </c>
      <c r="O298" s="39" t="n">
        <v>2</v>
      </c>
      <c r="P298" s="39" t="n">
        <v>0</v>
      </c>
      <c r="Q298" s="39" t="n">
        <v>0</v>
      </c>
      <c r="R298" s="39" t="n">
        <v>0</v>
      </c>
      <c r="S298" s="39" t="n">
        <v>0</v>
      </c>
      <c r="T298" s="40" t="n">
        <f aca="false">IF(M298=0,0,N298/M298)</f>
        <v>0.545454545454545</v>
      </c>
      <c r="U298" s="40" t="n">
        <f aca="false">IF(M298=0,0,O298/M298)</f>
        <v>0.0909090909090909</v>
      </c>
      <c r="V298" s="41" t="n">
        <f aca="false">IF(M298=0,0,P298/M298)</f>
        <v>0</v>
      </c>
      <c r="W298" s="40" t="n">
        <f aca="false">IF(L298=0,0,Q298/L298)</f>
        <v>0</v>
      </c>
    </row>
    <row r="299" customFormat="false" ht="15" hidden="false" customHeight="false" outlineLevel="0" collapsed="false">
      <c r="A299" s="37" t="s">
        <v>1572</v>
      </c>
      <c r="B299" s="38" t="n">
        <v>46157.4206018519</v>
      </c>
      <c r="C299" s="37" t="s">
        <v>1201</v>
      </c>
      <c r="D299" s="37" t="s">
        <v>1573</v>
      </c>
      <c r="E299" s="37" t="s">
        <v>1237</v>
      </c>
      <c r="F299" s="37" t="s">
        <v>555</v>
      </c>
      <c r="G299" s="37"/>
      <c r="H299" s="37" t="s">
        <v>60</v>
      </c>
      <c r="I299" s="37"/>
      <c r="J299" s="37" t="s">
        <v>430</v>
      </c>
      <c r="K299" s="37" t="s">
        <v>8</v>
      </c>
      <c r="L299" s="39" t="n">
        <v>5702</v>
      </c>
      <c r="M299" s="39" t="n">
        <v>5654</v>
      </c>
      <c r="N299" s="39" t="n">
        <v>2084</v>
      </c>
      <c r="O299" s="39" t="n">
        <v>156</v>
      </c>
      <c r="P299" s="39" t="n">
        <v>45</v>
      </c>
      <c r="Q299" s="39" t="n">
        <v>48</v>
      </c>
      <c r="R299" s="39" t="n">
        <v>7</v>
      </c>
      <c r="S299" s="39" t="n">
        <v>0</v>
      </c>
      <c r="T299" s="40" t="n">
        <f aca="false">IF(M299=0,0,N299/M299)</f>
        <v>0.368588609833746</v>
      </c>
      <c r="U299" s="40" t="n">
        <f aca="false">IF(M299=0,0,O299/M299)</f>
        <v>0.0275910859568447</v>
      </c>
      <c r="V299" s="41" t="n">
        <f aca="false">IF(M299=0,0,P299/M299)</f>
        <v>0.00795896710293598</v>
      </c>
      <c r="W299" s="40" t="n">
        <f aca="false">IF(L299=0,0,Q299/L299)</f>
        <v>0.00841809891266222</v>
      </c>
    </row>
    <row r="300" customFormat="false" ht="15" hidden="false" customHeight="false" outlineLevel="0" collapsed="false">
      <c r="A300" s="37" t="s">
        <v>1574</v>
      </c>
      <c r="B300" s="38" t="n">
        <v>46157.1238541667</v>
      </c>
      <c r="C300" s="37" t="s">
        <v>1201</v>
      </c>
      <c r="D300" s="37" t="s">
        <v>251</v>
      </c>
      <c r="E300" s="37" t="s">
        <v>252</v>
      </c>
      <c r="F300" s="37" t="s">
        <v>544</v>
      </c>
      <c r="G300" s="37"/>
      <c r="H300" s="37" t="s">
        <v>60</v>
      </c>
      <c r="I300" s="37"/>
      <c r="J300" s="37" t="s">
        <v>109</v>
      </c>
      <c r="K300" s="37" t="s">
        <v>1202</v>
      </c>
      <c r="L300" s="39" t="n">
        <v>35</v>
      </c>
      <c r="M300" s="39" t="n">
        <v>35</v>
      </c>
      <c r="N300" s="39" t="n">
        <v>16</v>
      </c>
      <c r="O300" s="39" t="n">
        <v>0</v>
      </c>
      <c r="P300" s="39" t="n">
        <v>0</v>
      </c>
      <c r="Q300" s="39" t="n">
        <v>0</v>
      </c>
      <c r="R300" s="39" t="n">
        <v>0</v>
      </c>
      <c r="S300" s="39" t="n">
        <v>0</v>
      </c>
      <c r="T300" s="40" t="n">
        <f aca="false">IF(M300=0,0,N300/M300)</f>
        <v>0.457142857142857</v>
      </c>
      <c r="U300" s="40" t="n">
        <f aca="false">IF(M300=0,0,O300/M300)</f>
        <v>0</v>
      </c>
      <c r="V300" s="41" t="n">
        <f aca="false">IF(M300=0,0,P300/M300)</f>
        <v>0</v>
      </c>
      <c r="W300" s="40" t="n">
        <f aca="false">IF(L300=0,0,Q300/L300)</f>
        <v>0</v>
      </c>
    </row>
    <row r="301" customFormat="false" ht="15" hidden="false" customHeight="false" outlineLevel="0" collapsed="false">
      <c r="A301" s="37" t="s">
        <v>1575</v>
      </c>
      <c r="B301" s="38" t="n">
        <v>46156.3025347222</v>
      </c>
      <c r="C301" s="37" t="s">
        <v>1201</v>
      </c>
      <c r="D301" s="37" t="s">
        <v>1576</v>
      </c>
      <c r="E301" s="37" t="s">
        <v>1222</v>
      </c>
      <c r="F301" s="37" t="s">
        <v>544</v>
      </c>
      <c r="G301" s="37"/>
      <c r="H301" s="37" t="s">
        <v>60</v>
      </c>
      <c r="I301" s="37"/>
      <c r="J301" s="37" t="s">
        <v>430</v>
      </c>
      <c r="K301" s="37" t="s">
        <v>8</v>
      </c>
      <c r="L301" s="39" t="n">
        <v>2129</v>
      </c>
      <c r="M301" s="39" t="n">
        <v>2128</v>
      </c>
      <c r="N301" s="39" t="n">
        <v>972</v>
      </c>
      <c r="O301" s="39" t="n">
        <v>272</v>
      </c>
      <c r="P301" s="39" t="n">
        <v>6</v>
      </c>
      <c r="Q301" s="39" t="n">
        <v>1</v>
      </c>
      <c r="R301" s="39" t="n">
        <v>1</v>
      </c>
      <c r="S301" s="39" t="n">
        <v>0</v>
      </c>
      <c r="T301" s="40" t="n">
        <f aca="false">IF(M301=0,0,N301/M301)</f>
        <v>0.456766917293233</v>
      </c>
      <c r="U301" s="40" t="n">
        <f aca="false">IF(M301=0,0,O301/M301)</f>
        <v>0.12781954887218</v>
      </c>
      <c r="V301" s="41" t="n">
        <f aca="false">IF(M301=0,0,P301/M301)</f>
        <v>0.00281954887218045</v>
      </c>
      <c r="W301" s="40" t="n">
        <f aca="false">IF(L301=0,0,Q301/L301)</f>
        <v>0.000469704086425552</v>
      </c>
    </row>
    <row r="302" customFormat="false" ht="15" hidden="false" customHeight="false" outlineLevel="0" collapsed="false">
      <c r="A302" s="37" t="s">
        <v>1577</v>
      </c>
      <c r="B302" s="38" t="n">
        <v>46156.2697569444</v>
      </c>
      <c r="C302" s="37" t="s">
        <v>1201</v>
      </c>
      <c r="D302" s="37" t="s">
        <v>1211</v>
      </c>
      <c r="E302" s="37" t="s">
        <v>1212</v>
      </c>
      <c r="F302" s="37" t="s">
        <v>544</v>
      </c>
      <c r="G302" s="37"/>
      <c r="H302" s="37" t="s">
        <v>60</v>
      </c>
      <c r="I302" s="37"/>
      <c r="J302" s="37" t="s">
        <v>100</v>
      </c>
      <c r="K302" s="37" t="s">
        <v>1213</v>
      </c>
      <c r="L302" s="39" t="n">
        <v>112</v>
      </c>
      <c r="M302" s="39" t="n">
        <v>112</v>
      </c>
      <c r="N302" s="39" t="n">
        <v>68</v>
      </c>
      <c r="O302" s="39" t="n">
        <v>16</v>
      </c>
      <c r="P302" s="39" t="n">
        <v>1</v>
      </c>
      <c r="Q302" s="39" t="n">
        <v>0</v>
      </c>
      <c r="R302" s="39" t="n">
        <v>0</v>
      </c>
      <c r="S302" s="39" t="n">
        <v>0</v>
      </c>
      <c r="T302" s="40" t="n">
        <f aca="false">IF(M302=0,0,N302/M302)</f>
        <v>0.607142857142857</v>
      </c>
      <c r="U302" s="40" t="n">
        <f aca="false">IF(M302=0,0,O302/M302)</f>
        <v>0.142857142857143</v>
      </c>
      <c r="V302" s="41" t="n">
        <f aca="false">IF(M302=0,0,P302/M302)</f>
        <v>0.00892857142857143</v>
      </c>
      <c r="W302" s="40" t="n">
        <f aca="false">IF(L302=0,0,Q302/L302)</f>
        <v>0</v>
      </c>
    </row>
    <row r="303" customFormat="false" ht="15" hidden="false" customHeight="false" outlineLevel="0" collapsed="false">
      <c r="A303" s="37" t="s">
        <v>1578</v>
      </c>
      <c r="B303" s="38" t="n">
        <v>46155.2509375</v>
      </c>
      <c r="C303" s="37" t="s">
        <v>1246</v>
      </c>
      <c r="D303" s="37" t="s">
        <v>1579</v>
      </c>
      <c r="E303" s="37" t="s">
        <v>1293</v>
      </c>
      <c r="F303" s="37" t="s">
        <v>544</v>
      </c>
      <c r="G303" s="37" t="s">
        <v>1580</v>
      </c>
      <c r="H303" s="37" t="s">
        <v>60</v>
      </c>
      <c r="I303" s="37"/>
      <c r="J303" s="37" t="s">
        <v>386</v>
      </c>
      <c r="K303" s="37" t="s">
        <v>1202</v>
      </c>
      <c r="L303" s="39" t="n">
        <v>62</v>
      </c>
      <c r="M303" s="39" t="n">
        <v>61</v>
      </c>
      <c r="N303" s="39" t="n">
        <v>12</v>
      </c>
      <c r="O303" s="39" t="n">
        <v>4</v>
      </c>
      <c r="P303" s="39" t="n">
        <v>1</v>
      </c>
      <c r="Q303" s="39" t="n">
        <v>1</v>
      </c>
      <c r="R303" s="39" t="n">
        <v>1</v>
      </c>
      <c r="S303" s="39" t="n">
        <v>0</v>
      </c>
      <c r="T303" s="40" t="n">
        <f aca="false">IF(M303=0,0,N303/M303)</f>
        <v>0.19672131147541</v>
      </c>
      <c r="U303" s="40" t="n">
        <f aca="false">IF(M303=0,0,O303/M303)</f>
        <v>0.0655737704918033</v>
      </c>
      <c r="V303" s="41" t="n">
        <f aca="false">IF(M303=0,0,P303/M303)</f>
        <v>0.0163934426229508</v>
      </c>
      <c r="W303" s="40" t="n">
        <f aca="false">IF(L303=0,0,Q303/L303)</f>
        <v>0.0161290322580645</v>
      </c>
    </row>
    <row r="304" customFormat="false" ht="15" hidden="false" customHeight="false" outlineLevel="0" collapsed="false">
      <c r="A304" s="37" t="s">
        <v>1581</v>
      </c>
      <c r="B304" s="38" t="n">
        <v>46155.1547916667</v>
      </c>
      <c r="C304" s="37" t="s">
        <v>1246</v>
      </c>
      <c r="D304" s="37" t="s">
        <v>1582</v>
      </c>
      <c r="E304" s="37" t="s">
        <v>1115</v>
      </c>
      <c r="F304" s="37" t="s">
        <v>537</v>
      </c>
      <c r="G304" s="37"/>
      <c r="H304" s="37" t="s">
        <v>67</v>
      </c>
      <c r="I304" s="37"/>
      <c r="J304" s="37" t="s">
        <v>296</v>
      </c>
      <c r="K304" s="37" t="s">
        <v>1202</v>
      </c>
      <c r="L304" s="39" t="n">
        <v>0</v>
      </c>
      <c r="M304" s="39" t="n">
        <v>0</v>
      </c>
      <c r="N304" s="39" t="n">
        <v>0</v>
      </c>
      <c r="O304" s="39" t="n">
        <v>0</v>
      </c>
      <c r="P304" s="39" t="n">
        <v>0</v>
      </c>
      <c r="Q304" s="39" t="n">
        <v>0</v>
      </c>
      <c r="R304" s="39" t="n">
        <v>0</v>
      </c>
      <c r="S304" s="39" t="n">
        <v>0</v>
      </c>
      <c r="T304" s="40" t="n">
        <f aca="false">IF(M304=0,0,N304/M304)</f>
        <v>0</v>
      </c>
      <c r="U304" s="40" t="n">
        <f aca="false">IF(M304=0,0,O304/M304)</f>
        <v>0</v>
      </c>
      <c r="V304" s="41" t="n">
        <f aca="false">IF(M304=0,0,P304/M304)</f>
        <v>0</v>
      </c>
      <c r="W304" s="40" t="n">
        <f aca="false">IF(L304=0,0,Q304/L304)</f>
        <v>0</v>
      </c>
    </row>
    <row r="305" customFormat="false" ht="15" hidden="false" customHeight="false" outlineLevel="0" collapsed="false">
      <c r="A305" s="37" t="s">
        <v>1583</v>
      </c>
      <c r="B305" s="38" t="n">
        <v>46155.0569907407</v>
      </c>
      <c r="C305" s="37" t="s">
        <v>1201</v>
      </c>
      <c r="D305" s="37" t="s">
        <v>1366</v>
      </c>
      <c r="E305" s="37" t="s">
        <v>1255</v>
      </c>
      <c r="F305" s="37" t="s">
        <v>544</v>
      </c>
      <c r="G305" s="37" t="s">
        <v>1484</v>
      </c>
      <c r="H305" s="37" t="s">
        <v>60</v>
      </c>
      <c r="I305" s="37"/>
      <c r="J305" s="37" t="s">
        <v>121</v>
      </c>
      <c r="K305" s="37" t="s">
        <v>1202</v>
      </c>
      <c r="L305" s="39" t="n">
        <v>495</v>
      </c>
      <c r="M305" s="39" t="n">
        <v>495</v>
      </c>
      <c r="N305" s="39" t="n">
        <v>229</v>
      </c>
      <c r="O305" s="39" t="n">
        <v>58</v>
      </c>
      <c r="P305" s="39" t="n">
        <v>4</v>
      </c>
      <c r="Q305" s="39" t="n">
        <v>0</v>
      </c>
      <c r="R305" s="39" t="n">
        <v>0</v>
      </c>
      <c r="S305" s="39" t="n">
        <v>0</v>
      </c>
      <c r="T305" s="40" t="n">
        <f aca="false">IF(M305=0,0,N305/M305)</f>
        <v>0.462626262626263</v>
      </c>
      <c r="U305" s="40" t="n">
        <f aca="false">IF(M305=0,0,O305/M305)</f>
        <v>0.117171717171717</v>
      </c>
      <c r="V305" s="41" t="n">
        <f aca="false">IF(M305=0,0,P305/M305)</f>
        <v>0.00808080808080808</v>
      </c>
      <c r="W305" s="40" t="n">
        <f aca="false">IF(L305=0,0,Q305/L305)</f>
        <v>0</v>
      </c>
    </row>
    <row r="306" customFormat="false" ht="15" hidden="false" customHeight="false" outlineLevel="0" collapsed="false">
      <c r="A306" s="37" t="s">
        <v>1584</v>
      </c>
      <c r="B306" s="38" t="n">
        <v>46154.917037037</v>
      </c>
      <c r="C306" s="37" t="s">
        <v>1201</v>
      </c>
      <c r="D306" s="37" t="s">
        <v>152</v>
      </c>
      <c r="E306" s="37" t="s">
        <v>1344</v>
      </c>
      <c r="F306" s="37" t="s">
        <v>152</v>
      </c>
      <c r="G306" s="37"/>
      <c r="H306" s="37" t="s">
        <v>61</v>
      </c>
      <c r="I306" s="37" t="s">
        <v>150</v>
      </c>
      <c r="J306" s="37" t="s">
        <v>151</v>
      </c>
      <c r="K306" s="37" t="s">
        <v>1202</v>
      </c>
      <c r="L306" s="39" t="n">
        <v>171</v>
      </c>
      <c r="M306" s="39" t="n">
        <v>171</v>
      </c>
      <c r="N306" s="39" t="n">
        <v>34</v>
      </c>
      <c r="O306" s="39" t="n">
        <v>5</v>
      </c>
      <c r="P306" s="39" t="n">
        <v>0</v>
      </c>
      <c r="Q306" s="39" t="n">
        <v>0</v>
      </c>
      <c r="R306" s="39" t="n">
        <v>0</v>
      </c>
      <c r="S306" s="39" t="n">
        <v>0</v>
      </c>
      <c r="T306" s="40" t="n">
        <f aca="false">IF(M306=0,0,N306/M306)</f>
        <v>0.198830409356725</v>
      </c>
      <c r="U306" s="40" t="n">
        <f aca="false">IF(M306=0,0,O306/M306)</f>
        <v>0.0292397660818713</v>
      </c>
      <c r="V306" s="41" t="n">
        <f aca="false">IF(M306=0,0,P306/M306)</f>
        <v>0</v>
      </c>
      <c r="W306" s="40" t="n">
        <f aca="false">IF(L306=0,0,Q306/L306)</f>
        <v>0</v>
      </c>
    </row>
    <row r="307" customFormat="false" ht="15" hidden="false" customHeight="false" outlineLevel="0" collapsed="false">
      <c r="A307" s="37" t="s">
        <v>1585</v>
      </c>
      <c r="B307" s="38" t="n">
        <v>46154.4341435185</v>
      </c>
      <c r="C307" s="37" t="s">
        <v>1201</v>
      </c>
      <c r="D307" s="37" t="s">
        <v>1453</v>
      </c>
      <c r="E307" s="37" t="s">
        <v>1360</v>
      </c>
      <c r="F307" s="37" t="s">
        <v>544</v>
      </c>
      <c r="G307" s="37"/>
      <c r="H307" s="37" t="s">
        <v>60</v>
      </c>
      <c r="I307" s="37"/>
      <c r="J307" s="37" t="s">
        <v>100</v>
      </c>
      <c r="K307" s="37" t="s">
        <v>1202</v>
      </c>
      <c r="L307" s="39" t="n">
        <v>2011</v>
      </c>
      <c r="M307" s="39" t="n">
        <v>2010</v>
      </c>
      <c r="N307" s="39" t="n">
        <v>1024</v>
      </c>
      <c r="O307" s="39" t="n">
        <v>346</v>
      </c>
      <c r="P307" s="39" t="n">
        <v>6</v>
      </c>
      <c r="Q307" s="39" t="n">
        <v>1</v>
      </c>
      <c r="R307" s="39" t="n">
        <v>1</v>
      </c>
      <c r="S307" s="39" t="n">
        <v>0</v>
      </c>
      <c r="T307" s="40" t="n">
        <f aca="false">IF(M307=0,0,N307/M307)</f>
        <v>0.509452736318408</v>
      </c>
      <c r="U307" s="40" t="n">
        <f aca="false">IF(M307=0,0,O307/M307)</f>
        <v>0.172139303482587</v>
      </c>
      <c r="V307" s="41" t="n">
        <f aca="false">IF(M307=0,0,P307/M307)</f>
        <v>0.00298507462686567</v>
      </c>
      <c r="W307" s="40" t="n">
        <f aca="false">IF(L307=0,0,Q307/L307)</f>
        <v>0.000497265042267529</v>
      </c>
    </row>
    <row r="308" customFormat="false" ht="15" hidden="false" customHeight="false" outlineLevel="0" collapsed="false">
      <c r="A308" s="37" t="s">
        <v>1586</v>
      </c>
      <c r="B308" s="38" t="n">
        <v>46154.3312962963</v>
      </c>
      <c r="C308" s="37" t="s">
        <v>1201</v>
      </c>
      <c r="D308" s="37" t="s">
        <v>185</v>
      </c>
      <c r="E308" s="37" t="s">
        <v>186</v>
      </c>
      <c r="F308" s="37" t="s">
        <v>544</v>
      </c>
      <c r="G308" s="37"/>
      <c r="H308" s="37" t="s">
        <v>60</v>
      </c>
      <c r="I308" s="37"/>
      <c r="J308" s="37" t="s">
        <v>184</v>
      </c>
      <c r="K308" s="37" t="s">
        <v>1202</v>
      </c>
      <c r="L308" s="39" t="n">
        <v>108</v>
      </c>
      <c r="M308" s="39" t="n">
        <v>107</v>
      </c>
      <c r="N308" s="39" t="n">
        <v>40</v>
      </c>
      <c r="O308" s="39" t="n">
        <v>11</v>
      </c>
      <c r="P308" s="39" t="n">
        <v>2</v>
      </c>
      <c r="Q308" s="39" t="n">
        <v>1</v>
      </c>
      <c r="R308" s="39" t="n">
        <v>1</v>
      </c>
      <c r="S308" s="39" t="n">
        <v>0</v>
      </c>
      <c r="T308" s="40" t="n">
        <f aca="false">IF(M308=0,0,N308/M308)</f>
        <v>0.373831775700935</v>
      </c>
      <c r="U308" s="40" t="n">
        <f aca="false">IF(M308=0,0,O308/M308)</f>
        <v>0.102803738317757</v>
      </c>
      <c r="V308" s="41" t="n">
        <f aca="false">IF(M308=0,0,P308/M308)</f>
        <v>0.0186915887850467</v>
      </c>
      <c r="W308" s="40" t="n">
        <f aca="false">IF(L308=0,0,Q308/L308)</f>
        <v>0.00925925925925926</v>
      </c>
    </row>
    <row r="309" customFormat="false" ht="15" hidden="false" customHeight="false" outlineLevel="0" collapsed="false">
      <c r="A309" s="37" t="s">
        <v>1587</v>
      </c>
      <c r="B309" s="38" t="n">
        <v>46154.1122106482</v>
      </c>
      <c r="C309" s="37" t="s">
        <v>1201</v>
      </c>
      <c r="D309" s="37" t="s">
        <v>185</v>
      </c>
      <c r="E309" s="37" t="s">
        <v>186</v>
      </c>
      <c r="F309" s="37" t="s">
        <v>544</v>
      </c>
      <c r="G309" s="37"/>
      <c r="H309" s="37" t="s">
        <v>66</v>
      </c>
      <c r="I309" s="37"/>
      <c r="J309" s="37" t="s">
        <v>184</v>
      </c>
      <c r="K309" s="37" t="s">
        <v>1202</v>
      </c>
      <c r="L309" s="39" t="n">
        <v>1</v>
      </c>
      <c r="M309" s="39" t="n">
        <v>1</v>
      </c>
      <c r="N309" s="39" t="n">
        <v>1</v>
      </c>
      <c r="O309" s="39" t="n">
        <v>0</v>
      </c>
      <c r="P309" s="39" t="n">
        <v>0</v>
      </c>
      <c r="Q309" s="39" t="n">
        <v>0</v>
      </c>
      <c r="R309" s="39" t="n">
        <v>0</v>
      </c>
      <c r="S309" s="39" t="n">
        <v>0</v>
      </c>
      <c r="T309" s="40" t="n">
        <f aca="false">IF(M309=0,0,N309/M309)</f>
        <v>1</v>
      </c>
      <c r="U309" s="40" t="n">
        <f aca="false">IF(M309=0,0,O309/M309)</f>
        <v>0</v>
      </c>
      <c r="V309" s="41" t="n">
        <f aca="false">IF(M309=0,0,P309/M309)</f>
        <v>0</v>
      </c>
      <c r="W309" s="40" t="n">
        <f aca="false">IF(L309=0,0,Q309/L309)</f>
        <v>0</v>
      </c>
    </row>
    <row r="310" customFormat="false" ht="15" hidden="false" customHeight="false" outlineLevel="0" collapsed="false">
      <c r="A310" s="37" t="s">
        <v>1588</v>
      </c>
      <c r="B310" s="38" t="n">
        <v>46153.5464814815</v>
      </c>
      <c r="C310" s="37" t="s">
        <v>1201</v>
      </c>
      <c r="D310" s="37" t="s">
        <v>1573</v>
      </c>
      <c r="E310" s="37" t="s">
        <v>1237</v>
      </c>
      <c r="F310" s="37" t="s">
        <v>555</v>
      </c>
      <c r="G310" s="37"/>
      <c r="H310" s="37" t="s">
        <v>60</v>
      </c>
      <c r="I310" s="37"/>
      <c r="J310" s="37" t="s">
        <v>430</v>
      </c>
      <c r="K310" s="37" t="s">
        <v>8</v>
      </c>
      <c r="L310" s="39" t="n">
        <v>99</v>
      </c>
      <c r="M310" s="39" t="n">
        <v>96</v>
      </c>
      <c r="N310" s="39" t="n">
        <v>27</v>
      </c>
      <c r="O310" s="39" t="n">
        <v>9</v>
      </c>
      <c r="P310" s="39" t="n">
        <v>1</v>
      </c>
      <c r="Q310" s="39" t="n">
        <v>3</v>
      </c>
      <c r="R310" s="39" t="n">
        <v>3</v>
      </c>
      <c r="S310" s="39" t="n">
        <v>0</v>
      </c>
      <c r="T310" s="40" t="n">
        <f aca="false">IF(M310=0,0,N310/M310)</f>
        <v>0.28125</v>
      </c>
      <c r="U310" s="40" t="n">
        <f aca="false">IF(M310=0,0,O310/M310)</f>
        <v>0.09375</v>
      </c>
      <c r="V310" s="41" t="n">
        <f aca="false">IF(M310=0,0,P310/M310)</f>
        <v>0.0104166666666667</v>
      </c>
      <c r="W310" s="40" t="n">
        <f aca="false">IF(L310=0,0,Q310/L310)</f>
        <v>0.0303030303030303</v>
      </c>
    </row>
    <row r="311" customFormat="false" ht="15" hidden="false" customHeight="false" outlineLevel="0" collapsed="false">
      <c r="A311" s="37" t="s">
        <v>1589</v>
      </c>
      <c r="B311" s="38" t="n">
        <v>46153.0685532407</v>
      </c>
      <c r="C311" s="37" t="s">
        <v>1201</v>
      </c>
      <c r="D311" s="37" t="s">
        <v>122</v>
      </c>
      <c r="E311" s="37" t="s">
        <v>1255</v>
      </c>
      <c r="F311" s="37" t="s">
        <v>555</v>
      </c>
      <c r="G311" s="37" t="s">
        <v>1256</v>
      </c>
      <c r="H311" s="37" t="s">
        <v>61</v>
      </c>
      <c r="I311" s="37" t="s">
        <v>120</v>
      </c>
      <c r="J311" s="37" t="s">
        <v>121</v>
      </c>
      <c r="K311" s="37" t="s">
        <v>1202</v>
      </c>
      <c r="L311" s="39" t="n">
        <v>5884</v>
      </c>
      <c r="M311" s="39" t="n">
        <v>5816</v>
      </c>
      <c r="N311" s="39" t="n">
        <v>1581</v>
      </c>
      <c r="O311" s="39" t="n">
        <v>80</v>
      </c>
      <c r="P311" s="39" t="n">
        <v>67</v>
      </c>
      <c r="Q311" s="39" t="n">
        <v>68</v>
      </c>
      <c r="R311" s="39" t="n">
        <v>31</v>
      </c>
      <c r="S311" s="39" t="n">
        <v>0</v>
      </c>
      <c r="T311" s="40" t="n">
        <f aca="false">IF(M311=0,0,N311/M311)</f>
        <v>0.271836313617607</v>
      </c>
      <c r="U311" s="40" t="n">
        <f aca="false">IF(M311=0,0,O311/M311)</f>
        <v>0.0137551581843191</v>
      </c>
      <c r="V311" s="41" t="n">
        <f aca="false">IF(M311=0,0,P311/M311)</f>
        <v>0.0115199449793673</v>
      </c>
      <c r="W311" s="40" t="n">
        <f aca="false">IF(L311=0,0,Q311/L311)</f>
        <v>0.0115567641060503</v>
      </c>
    </row>
    <row r="312" customFormat="false" ht="15" hidden="false" customHeight="false" outlineLevel="0" collapsed="false">
      <c r="A312" s="37" t="s">
        <v>1590</v>
      </c>
      <c r="B312" s="38" t="n">
        <v>46152.8166550926</v>
      </c>
      <c r="C312" s="37" t="s">
        <v>1201</v>
      </c>
      <c r="D312" s="37" t="s">
        <v>127</v>
      </c>
      <c r="E312" s="37" t="s">
        <v>1591</v>
      </c>
      <c r="F312" s="37" t="s">
        <v>127</v>
      </c>
      <c r="G312" s="37"/>
      <c r="H312" s="37" t="s">
        <v>60</v>
      </c>
      <c r="I312" s="37"/>
      <c r="J312" s="37" t="s">
        <v>126</v>
      </c>
      <c r="K312" s="37" t="s">
        <v>1202</v>
      </c>
      <c r="L312" s="39" t="n">
        <v>101</v>
      </c>
      <c r="M312" s="39" t="n">
        <v>101</v>
      </c>
      <c r="N312" s="39" t="n">
        <v>33</v>
      </c>
      <c r="O312" s="39" t="n">
        <v>13</v>
      </c>
      <c r="P312" s="39" t="n">
        <v>0</v>
      </c>
      <c r="Q312" s="39" t="n">
        <v>0</v>
      </c>
      <c r="R312" s="39" t="n">
        <v>0</v>
      </c>
      <c r="S312" s="39" t="n">
        <v>0</v>
      </c>
      <c r="T312" s="40" t="n">
        <f aca="false">IF(M312=0,0,N312/M312)</f>
        <v>0.326732673267327</v>
      </c>
      <c r="U312" s="40" t="n">
        <f aca="false">IF(M312=0,0,O312/M312)</f>
        <v>0.128712871287129</v>
      </c>
      <c r="V312" s="41" t="n">
        <f aca="false">IF(M312=0,0,P312/M312)</f>
        <v>0</v>
      </c>
      <c r="W312" s="40" t="n">
        <f aca="false">IF(L312=0,0,Q312/L312)</f>
        <v>0</v>
      </c>
    </row>
    <row r="313" customFormat="false" ht="15" hidden="false" customHeight="false" outlineLevel="0" collapsed="false">
      <c r="A313" s="37" t="s">
        <v>1592</v>
      </c>
      <c r="B313" s="38" t="n">
        <v>46150.2900115741</v>
      </c>
      <c r="C313" s="37" t="s">
        <v>1201</v>
      </c>
      <c r="D313" s="37" t="s">
        <v>185</v>
      </c>
      <c r="E313" s="37" t="s">
        <v>186</v>
      </c>
      <c r="F313" s="37" t="s">
        <v>544</v>
      </c>
      <c r="G313" s="37" t="s">
        <v>1107</v>
      </c>
      <c r="H313" s="37" t="s">
        <v>66</v>
      </c>
      <c r="I313" s="37"/>
      <c r="J313" s="37" t="s">
        <v>236</v>
      </c>
      <c r="K313" s="37" t="s">
        <v>1202</v>
      </c>
      <c r="L313" s="39" t="n">
        <v>158</v>
      </c>
      <c r="M313" s="39" t="n">
        <v>156</v>
      </c>
      <c r="N313" s="39" t="n">
        <v>81</v>
      </c>
      <c r="O313" s="39" t="n">
        <v>45</v>
      </c>
      <c r="P313" s="39" t="n">
        <v>0</v>
      </c>
      <c r="Q313" s="39" t="n">
        <v>2</v>
      </c>
      <c r="R313" s="39" t="n">
        <v>2</v>
      </c>
      <c r="S313" s="39" t="n">
        <v>0</v>
      </c>
      <c r="T313" s="40" t="n">
        <f aca="false">IF(M313=0,0,N313/M313)</f>
        <v>0.519230769230769</v>
      </c>
      <c r="U313" s="40" t="n">
        <f aca="false">IF(M313=0,0,O313/M313)</f>
        <v>0.288461538461538</v>
      </c>
      <c r="V313" s="41" t="n">
        <f aca="false">IF(M313=0,0,P313/M313)</f>
        <v>0</v>
      </c>
      <c r="W313" s="40" t="n">
        <f aca="false">IF(L313=0,0,Q313/L313)</f>
        <v>0.0126582278481013</v>
      </c>
    </row>
    <row r="314" customFormat="false" ht="15" hidden="false" customHeight="false" outlineLevel="0" collapsed="false">
      <c r="A314" s="37" t="s">
        <v>1593</v>
      </c>
      <c r="B314" s="38" t="n">
        <v>46149.8567592593</v>
      </c>
      <c r="C314" s="37" t="s">
        <v>1201</v>
      </c>
      <c r="D314" s="37" t="s">
        <v>127</v>
      </c>
      <c r="E314" s="37" t="s">
        <v>128</v>
      </c>
      <c r="F314" s="37" t="s">
        <v>127</v>
      </c>
      <c r="G314" s="37"/>
      <c r="H314" s="37" t="s">
        <v>60</v>
      </c>
      <c r="I314" s="37"/>
      <c r="J314" s="37" t="s">
        <v>126</v>
      </c>
      <c r="K314" s="37" t="s">
        <v>1202</v>
      </c>
      <c r="L314" s="39" t="n">
        <v>46</v>
      </c>
      <c r="M314" s="39" t="n">
        <v>45</v>
      </c>
      <c r="N314" s="39" t="n">
        <v>17</v>
      </c>
      <c r="O314" s="39" t="n">
        <v>4</v>
      </c>
      <c r="P314" s="39" t="n">
        <v>0</v>
      </c>
      <c r="Q314" s="39" t="n">
        <v>1</v>
      </c>
      <c r="R314" s="39" t="n">
        <v>1</v>
      </c>
      <c r="S314" s="39" t="n">
        <v>0</v>
      </c>
      <c r="T314" s="40" t="n">
        <f aca="false">IF(M314=0,0,N314/M314)</f>
        <v>0.377777777777778</v>
      </c>
      <c r="U314" s="40" t="n">
        <f aca="false">IF(M314=0,0,O314/M314)</f>
        <v>0.0888888888888889</v>
      </c>
      <c r="V314" s="41" t="n">
        <f aca="false">IF(M314=0,0,P314/M314)</f>
        <v>0</v>
      </c>
      <c r="W314" s="40" t="n">
        <f aca="false">IF(L314=0,0,Q314/L314)</f>
        <v>0.0217391304347826</v>
      </c>
    </row>
    <row r="315" customFormat="false" ht="15" hidden="false" customHeight="false" outlineLevel="0" collapsed="false">
      <c r="A315" s="37" t="s">
        <v>1594</v>
      </c>
      <c r="B315" s="38" t="n">
        <v>46149.8563888889</v>
      </c>
      <c r="C315" s="37" t="s">
        <v>1201</v>
      </c>
      <c r="D315" s="37" t="s">
        <v>127</v>
      </c>
      <c r="E315" s="37" t="s">
        <v>128</v>
      </c>
      <c r="F315" s="37" t="s">
        <v>127</v>
      </c>
      <c r="G315" s="37"/>
      <c r="H315" s="37" t="s">
        <v>60</v>
      </c>
      <c r="I315" s="37"/>
      <c r="J315" s="37" t="s">
        <v>126</v>
      </c>
      <c r="K315" s="37" t="s">
        <v>1202</v>
      </c>
      <c r="L315" s="39" t="n">
        <v>31</v>
      </c>
      <c r="M315" s="39" t="n">
        <v>31</v>
      </c>
      <c r="N315" s="39" t="n">
        <v>19</v>
      </c>
      <c r="O315" s="39" t="n">
        <v>11</v>
      </c>
      <c r="P315" s="39" t="n">
        <v>0</v>
      </c>
      <c r="Q315" s="39" t="n">
        <v>0</v>
      </c>
      <c r="R315" s="39" t="n">
        <v>0</v>
      </c>
      <c r="S315" s="39" t="n">
        <v>0</v>
      </c>
      <c r="T315" s="40" t="n">
        <f aca="false">IF(M315=0,0,N315/M315)</f>
        <v>0.612903225806452</v>
      </c>
      <c r="U315" s="40" t="n">
        <f aca="false">IF(M315=0,0,O315/M315)</f>
        <v>0.354838709677419</v>
      </c>
      <c r="V315" s="41" t="n">
        <f aca="false">IF(M315=0,0,P315/M315)</f>
        <v>0</v>
      </c>
      <c r="W315" s="40" t="n">
        <f aca="false">IF(L315=0,0,Q315/L315)</f>
        <v>0</v>
      </c>
    </row>
    <row r="316" customFormat="false" ht="15" hidden="false" customHeight="false" outlineLevel="0" collapsed="false">
      <c r="A316" s="37" t="s">
        <v>1595</v>
      </c>
      <c r="B316" s="38" t="n">
        <v>46149.5590277778</v>
      </c>
      <c r="C316" s="37" t="s">
        <v>1201</v>
      </c>
      <c r="D316" s="37" t="s">
        <v>1562</v>
      </c>
      <c r="E316" s="37" t="s">
        <v>288</v>
      </c>
      <c r="F316" s="37" t="s">
        <v>544</v>
      </c>
      <c r="G316" s="37"/>
      <c r="H316" s="37" t="s">
        <v>60</v>
      </c>
      <c r="I316" s="37"/>
      <c r="J316" s="37" t="s">
        <v>287</v>
      </c>
      <c r="K316" s="37" t="s">
        <v>1202</v>
      </c>
      <c r="L316" s="39" t="n">
        <v>635</v>
      </c>
      <c r="M316" s="39" t="n">
        <v>635</v>
      </c>
      <c r="N316" s="39" t="n">
        <v>199</v>
      </c>
      <c r="O316" s="39" t="n">
        <v>27</v>
      </c>
      <c r="P316" s="39" t="n">
        <v>3</v>
      </c>
      <c r="Q316" s="39" t="n">
        <v>0</v>
      </c>
      <c r="R316" s="39" t="n">
        <v>0</v>
      </c>
      <c r="S316" s="39" t="n">
        <v>0</v>
      </c>
      <c r="T316" s="40" t="n">
        <f aca="false">IF(M316=0,0,N316/M316)</f>
        <v>0.313385826771654</v>
      </c>
      <c r="U316" s="40" t="n">
        <f aca="false">IF(M316=0,0,O316/M316)</f>
        <v>0.0425196850393701</v>
      </c>
      <c r="V316" s="41" t="n">
        <f aca="false">IF(M316=0,0,P316/M316)</f>
        <v>0.0047244094488189</v>
      </c>
      <c r="W316" s="40" t="n">
        <f aca="false">IF(L316=0,0,Q316/L316)</f>
        <v>0</v>
      </c>
    </row>
    <row r="317" customFormat="false" ht="15" hidden="false" customHeight="false" outlineLevel="0" collapsed="false">
      <c r="A317" s="37" t="s">
        <v>1596</v>
      </c>
      <c r="B317" s="38" t="n">
        <v>46149.3848148148</v>
      </c>
      <c r="C317" s="37" t="s">
        <v>1201</v>
      </c>
      <c r="D317" s="37" t="s">
        <v>1392</v>
      </c>
      <c r="E317" s="37" t="s">
        <v>166</v>
      </c>
      <c r="F317" s="37" t="s">
        <v>555</v>
      </c>
      <c r="G317" s="37" t="s">
        <v>1393</v>
      </c>
      <c r="H317" s="37" t="s">
        <v>60</v>
      </c>
      <c r="I317" s="37" t="s">
        <v>260</v>
      </c>
      <c r="J317" s="37" t="s">
        <v>164</v>
      </c>
      <c r="K317" s="37" t="s">
        <v>1202</v>
      </c>
      <c r="L317" s="39" t="n">
        <v>22</v>
      </c>
      <c r="M317" s="39" t="n">
        <v>22</v>
      </c>
      <c r="N317" s="39" t="n">
        <v>13</v>
      </c>
      <c r="O317" s="39" t="n">
        <v>3</v>
      </c>
      <c r="P317" s="39" t="n">
        <v>0</v>
      </c>
      <c r="Q317" s="39" t="n">
        <v>0</v>
      </c>
      <c r="R317" s="39" t="n">
        <v>0</v>
      </c>
      <c r="S317" s="39" t="n">
        <v>0</v>
      </c>
      <c r="T317" s="40" t="n">
        <f aca="false">IF(M317=0,0,N317/M317)</f>
        <v>0.590909090909091</v>
      </c>
      <c r="U317" s="40" t="n">
        <f aca="false">IF(M317=0,0,O317/M317)</f>
        <v>0.136363636363636</v>
      </c>
      <c r="V317" s="41" t="n">
        <f aca="false">IF(M317=0,0,P317/M317)</f>
        <v>0</v>
      </c>
      <c r="W317" s="40" t="n">
        <f aca="false">IF(L317=0,0,Q317/L317)</f>
        <v>0</v>
      </c>
    </row>
    <row r="318" customFormat="false" ht="15" hidden="false" customHeight="false" outlineLevel="0" collapsed="false">
      <c r="A318" s="37" t="s">
        <v>1597</v>
      </c>
      <c r="B318" s="38" t="n">
        <v>46149.3138194445</v>
      </c>
      <c r="C318" s="37" t="s">
        <v>1201</v>
      </c>
      <c r="D318" s="37" t="s">
        <v>1211</v>
      </c>
      <c r="E318" s="37" t="s">
        <v>1212</v>
      </c>
      <c r="F318" s="37" t="s">
        <v>544</v>
      </c>
      <c r="G318" s="37"/>
      <c r="H318" s="37" t="s">
        <v>68</v>
      </c>
      <c r="I318" s="37"/>
      <c r="J318" s="37" t="s">
        <v>100</v>
      </c>
      <c r="K318" s="37" t="s">
        <v>1213</v>
      </c>
      <c r="L318" s="39" t="n">
        <v>111</v>
      </c>
      <c r="M318" s="39" t="n">
        <v>111</v>
      </c>
      <c r="N318" s="39" t="n">
        <v>67</v>
      </c>
      <c r="O318" s="39" t="n">
        <v>6</v>
      </c>
      <c r="P318" s="39" t="n">
        <v>1</v>
      </c>
      <c r="Q318" s="39" t="n">
        <v>0</v>
      </c>
      <c r="R318" s="39" t="n">
        <v>0</v>
      </c>
      <c r="S318" s="39" t="n">
        <v>0</v>
      </c>
      <c r="T318" s="40" t="n">
        <f aca="false">IF(M318=0,0,N318/M318)</f>
        <v>0.603603603603604</v>
      </c>
      <c r="U318" s="40" t="n">
        <f aca="false">IF(M318=0,0,O318/M318)</f>
        <v>0.0540540540540541</v>
      </c>
      <c r="V318" s="41" t="n">
        <f aca="false">IF(M318=0,0,P318/M318)</f>
        <v>0.00900900900900901</v>
      </c>
      <c r="W318" s="40" t="n">
        <f aca="false">IF(L318=0,0,Q318/L318)</f>
        <v>0</v>
      </c>
    </row>
    <row r="319" customFormat="false" ht="15" hidden="false" customHeight="false" outlineLevel="0" collapsed="false">
      <c r="A319" s="37" t="s">
        <v>1598</v>
      </c>
      <c r="B319" s="38" t="n">
        <v>46148.7537962963</v>
      </c>
      <c r="C319" s="37" t="s">
        <v>1201</v>
      </c>
      <c r="D319" s="37" t="s">
        <v>1573</v>
      </c>
      <c r="E319" s="37" t="s">
        <v>1237</v>
      </c>
      <c r="F319" s="37" t="s">
        <v>555</v>
      </c>
      <c r="G319" s="37"/>
      <c r="H319" s="37" t="s">
        <v>60</v>
      </c>
      <c r="I319" s="37"/>
      <c r="J319" s="37" t="s">
        <v>430</v>
      </c>
      <c r="K319" s="37" t="s">
        <v>8</v>
      </c>
      <c r="L319" s="39" t="n">
        <v>5605</v>
      </c>
      <c r="M319" s="39" t="n">
        <v>5539</v>
      </c>
      <c r="N319" s="39" t="n">
        <v>1876</v>
      </c>
      <c r="O319" s="39" t="n">
        <v>194</v>
      </c>
      <c r="P319" s="39" t="n">
        <v>46</v>
      </c>
      <c r="Q319" s="39" t="n">
        <v>66</v>
      </c>
      <c r="R319" s="39" t="n">
        <v>23</v>
      </c>
      <c r="S319" s="39" t="n">
        <v>0</v>
      </c>
      <c r="T319" s="40" t="n">
        <f aca="false">IF(M319=0,0,N319/M319)</f>
        <v>0.338689294096407</v>
      </c>
      <c r="U319" s="40" t="n">
        <f aca="false">IF(M319=0,0,O319/M319)</f>
        <v>0.0350243726304387</v>
      </c>
      <c r="V319" s="41" t="n">
        <f aca="false">IF(M319=0,0,P319/M319)</f>
        <v>0.00830474814948547</v>
      </c>
      <c r="W319" s="40" t="n">
        <f aca="false">IF(L319=0,0,Q319/L319)</f>
        <v>0.0117752007136485</v>
      </c>
    </row>
    <row r="320" customFormat="false" ht="15" hidden="false" customHeight="false" outlineLevel="0" collapsed="false">
      <c r="A320" s="37" t="s">
        <v>1599</v>
      </c>
      <c r="B320" s="38" t="n">
        <v>46148.5478240741</v>
      </c>
      <c r="C320" s="37" t="s">
        <v>1201</v>
      </c>
      <c r="D320" s="37" t="s">
        <v>1600</v>
      </c>
      <c r="E320" s="37" t="s">
        <v>288</v>
      </c>
      <c r="F320" s="37" t="s">
        <v>548</v>
      </c>
      <c r="G320" s="37" t="s">
        <v>1601</v>
      </c>
      <c r="H320" s="37" t="s">
        <v>60</v>
      </c>
      <c r="I320" s="37"/>
      <c r="J320" s="37" t="s">
        <v>287</v>
      </c>
      <c r="K320" s="37" t="s">
        <v>1202</v>
      </c>
      <c r="L320" s="39" t="n">
        <v>297</v>
      </c>
      <c r="M320" s="39" t="n">
        <v>294</v>
      </c>
      <c r="N320" s="39" t="n">
        <v>47</v>
      </c>
      <c r="O320" s="39" t="n">
        <v>3</v>
      </c>
      <c r="P320" s="39" t="n">
        <v>1</v>
      </c>
      <c r="Q320" s="39" t="n">
        <v>3</v>
      </c>
      <c r="R320" s="39" t="n">
        <v>0</v>
      </c>
      <c r="S320" s="39" t="n">
        <v>0</v>
      </c>
      <c r="T320" s="40" t="n">
        <f aca="false">IF(M320=0,0,N320/M320)</f>
        <v>0.159863945578231</v>
      </c>
      <c r="U320" s="40" t="n">
        <f aca="false">IF(M320=0,0,O320/M320)</f>
        <v>0.0102040816326531</v>
      </c>
      <c r="V320" s="41" t="n">
        <f aca="false">IF(M320=0,0,P320/M320)</f>
        <v>0.00340136054421769</v>
      </c>
      <c r="W320" s="40" t="n">
        <f aca="false">IF(L320=0,0,Q320/L320)</f>
        <v>0.0101010101010101</v>
      </c>
    </row>
    <row r="321" customFormat="false" ht="15" hidden="false" customHeight="false" outlineLevel="0" collapsed="false">
      <c r="A321" s="37" t="s">
        <v>1602</v>
      </c>
      <c r="B321" s="38" t="n">
        <v>46148.4276967593</v>
      </c>
      <c r="C321" s="37" t="s">
        <v>1201</v>
      </c>
      <c r="D321" s="37" t="s">
        <v>1576</v>
      </c>
      <c r="E321" s="37" t="s">
        <v>1222</v>
      </c>
      <c r="F321" s="37" t="s">
        <v>544</v>
      </c>
      <c r="G321" s="37"/>
      <c r="H321" s="37" t="s">
        <v>60</v>
      </c>
      <c r="I321" s="37"/>
      <c r="J321" s="37" t="s">
        <v>430</v>
      </c>
      <c r="K321" s="37" t="s">
        <v>8</v>
      </c>
      <c r="L321" s="39" t="n">
        <v>2028</v>
      </c>
      <c r="M321" s="39" t="n">
        <v>2018</v>
      </c>
      <c r="N321" s="39" t="n">
        <v>1030</v>
      </c>
      <c r="O321" s="39" t="n">
        <v>368</v>
      </c>
      <c r="P321" s="39" t="n">
        <v>2</v>
      </c>
      <c r="Q321" s="39" t="n">
        <v>10</v>
      </c>
      <c r="R321" s="39" t="n">
        <v>10</v>
      </c>
      <c r="S321" s="39" t="n">
        <v>0</v>
      </c>
      <c r="T321" s="40" t="n">
        <f aca="false">IF(M321=0,0,N321/M321)</f>
        <v>0.510406342913776</v>
      </c>
      <c r="U321" s="40" t="n">
        <f aca="false">IF(M321=0,0,O321/M321)</f>
        <v>0.182358771060456</v>
      </c>
      <c r="V321" s="41" t="n">
        <f aca="false">IF(M321=0,0,P321/M321)</f>
        <v>0.000991080277502478</v>
      </c>
      <c r="W321" s="40" t="n">
        <f aca="false">IF(L321=0,0,Q321/L321)</f>
        <v>0.00493096646942801</v>
      </c>
    </row>
    <row r="322" customFormat="false" ht="15" hidden="false" customHeight="false" outlineLevel="0" collapsed="false">
      <c r="A322" s="37" t="s">
        <v>1603</v>
      </c>
      <c r="B322" s="38" t="n">
        <v>46148.3383796296</v>
      </c>
      <c r="C322" s="37" t="s">
        <v>1201</v>
      </c>
      <c r="D322" s="37" t="s">
        <v>1211</v>
      </c>
      <c r="E322" s="37" t="s">
        <v>1212</v>
      </c>
      <c r="F322" s="37" t="s">
        <v>544</v>
      </c>
      <c r="G322" s="37"/>
      <c r="H322" s="37" t="s">
        <v>60</v>
      </c>
      <c r="I322" s="37"/>
      <c r="J322" s="37" t="s">
        <v>100</v>
      </c>
      <c r="K322" s="37" t="s">
        <v>1213</v>
      </c>
      <c r="L322" s="39" t="n">
        <v>113</v>
      </c>
      <c r="M322" s="39" t="n">
        <v>113</v>
      </c>
      <c r="N322" s="39" t="n">
        <v>70</v>
      </c>
      <c r="O322" s="39" t="n">
        <v>13</v>
      </c>
      <c r="P322" s="39" t="n">
        <v>2</v>
      </c>
      <c r="Q322" s="39" t="n">
        <v>0</v>
      </c>
      <c r="R322" s="39" t="n">
        <v>0</v>
      </c>
      <c r="S322" s="39" t="n">
        <v>0</v>
      </c>
      <c r="T322" s="40" t="n">
        <f aca="false">IF(M322=0,0,N322/M322)</f>
        <v>0.619469026548673</v>
      </c>
      <c r="U322" s="40" t="n">
        <f aca="false">IF(M322=0,0,O322/M322)</f>
        <v>0.115044247787611</v>
      </c>
      <c r="V322" s="41" t="n">
        <f aca="false">IF(M322=0,0,P322/M322)</f>
        <v>0.0176991150442478</v>
      </c>
      <c r="W322" s="40" t="n">
        <f aca="false">IF(L322=0,0,Q322/L322)</f>
        <v>0</v>
      </c>
    </row>
    <row r="323" customFormat="false" ht="15" hidden="false" customHeight="false" outlineLevel="0" collapsed="false">
      <c r="A323" s="37" t="s">
        <v>1604</v>
      </c>
      <c r="B323" s="38" t="n">
        <v>46148.3310763889</v>
      </c>
      <c r="C323" s="37" t="s">
        <v>1201</v>
      </c>
      <c r="D323" s="37" t="s">
        <v>1211</v>
      </c>
      <c r="E323" s="37" t="s">
        <v>1212</v>
      </c>
      <c r="F323" s="37" t="s">
        <v>544</v>
      </c>
      <c r="G323" s="37"/>
      <c r="H323" s="37" t="s">
        <v>60</v>
      </c>
      <c r="I323" s="37"/>
      <c r="J323" s="37" t="s">
        <v>100</v>
      </c>
      <c r="K323" s="37" t="s">
        <v>1213</v>
      </c>
      <c r="L323" s="39" t="n">
        <v>112</v>
      </c>
      <c r="M323" s="39" t="n">
        <v>112</v>
      </c>
      <c r="N323" s="39" t="n">
        <v>63</v>
      </c>
      <c r="O323" s="39" t="n">
        <v>13</v>
      </c>
      <c r="P323" s="39" t="n">
        <v>1</v>
      </c>
      <c r="Q323" s="39" t="n">
        <v>0</v>
      </c>
      <c r="R323" s="39" t="n">
        <v>0</v>
      </c>
      <c r="S323" s="39" t="n">
        <v>0</v>
      </c>
      <c r="T323" s="40" t="n">
        <f aca="false">IF(M323=0,0,N323/M323)</f>
        <v>0.5625</v>
      </c>
      <c r="U323" s="40" t="n">
        <f aca="false">IF(M323=0,0,O323/M323)</f>
        <v>0.116071428571429</v>
      </c>
      <c r="V323" s="41" t="n">
        <f aca="false">IF(M323=0,0,P323/M323)</f>
        <v>0.00892857142857143</v>
      </c>
      <c r="W323" s="40" t="n">
        <f aca="false">IF(L323=0,0,Q323/L323)</f>
        <v>0</v>
      </c>
    </row>
    <row r="324" customFormat="false" ht="15" hidden="false" customHeight="false" outlineLevel="0" collapsed="false">
      <c r="A324" s="37" t="s">
        <v>1605</v>
      </c>
      <c r="B324" s="38" t="n">
        <v>46148.0419328704</v>
      </c>
      <c r="C324" s="37" t="s">
        <v>1201</v>
      </c>
      <c r="D324" s="37" t="s">
        <v>251</v>
      </c>
      <c r="E324" s="37" t="s">
        <v>252</v>
      </c>
      <c r="F324" s="37" t="s">
        <v>544</v>
      </c>
      <c r="G324" s="37"/>
      <c r="H324" s="37" t="s">
        <v>60</v>
      </c>
      <c r="I324" s="37" t="s">
        <v>250</v>
      </c>
      <c r="J324" s="37" t="s">
        <v>109</v>
      </c>
      <c r="K324" s="37" t="s">
        <v>1202</v>
      </c>
      <c r="L324" s="39" t="n">
        <v>35</v>
      </c>
      <c r="M324" s="39" t="n">
        <v>35</v>
      </c>
      <c r="N324" s="39" t="n">
        <v>23</v>
      </c>
      <c r="O324" s="39" t="n">
        <v>2</v>
      </c>
      <c r="P324" s="39" t="n">
        <v>0</v>
      </c>
      <c r="Q324" s="39" t="n">
        <v>0</v>
      </c>
      <c r="R324" s="39" t="n">
        <v>0</v>
      </c>
      <c r="S324" s="39" t="n">
        <v>0</v>
      </c>
      <c r="T324" s="40" t="n">
        <f aca="false">IF(M324=0,0,N324/M324)</f>
        <v>0.657142857142857</v>
      </c>
      <c r="U324" s="40" t="n">
        <f aca="false">IF(M324=0,0,O324/M324)</f>
        <v>0.0571428571428571</v>
      </c>
      <c r="V324" s="41" t="n">
        <f aca="false">IF(M324=0,0,P324/M324)</f>
        <v>0</v>
      </c>
      <c r="W324" s="40" t="n">
        <f aca="false">IF(L324=0,0,Q324/L324)</f>
        <v>0</v>
      </c>
    </row>
    <row r="325" customFormat="false" ht="15" hidden="false" customHeight="false" outlineLevel="0" collapsed="false">
      <c r="A325" s="37" t="s">
        <v>1606</v>
      </c>
      <c r="B325" s="38" t="n">
        <v>46147.3336689815</v>
      </c>
      <c r="C325" s="37" t="s">
        <v>1252</v>
      </c>
      <c r="D325" s="37" t="s">
        <v>1562</v>
      </c>
      <c r="E325" s="37" t="s">
        <v>288</v>
      </c>
      <c r="F325" s="37" t="s">
        <v>548</v>
      </c>
      <c r="G325" s="37"/>
      <c r="H325" s="37" t="s">
        <v>60</v>
      </c>
      <c r="I325" s="37"/>
      <c r="J325" s="37" t="s">
        <v>287</v>
      </c>
      <c r="K325" s="37" t="s">
        <v>1202</v>
      </c>
      <c r="L325" s="39" t="n">
        <v>30</v>
      </c>
      <c r="M325" s="39" t="n">
        <v>30</v>
      </c>
      <c r="N325" s="39" t="n">
        <v>13</v>
      </c>
      <c r="O325" s="39" t="n">
        <v>1</v>
      </c>
      <c r="P325" s="39" t="n">
        <v>0</v>
      </c>
      <c r="Q325" s="39" t="n">
        <v>0</v>
      </c>
      <c r="R325" s="39" t="n">
        <v>0</v>
      </c>
      <c r="S325" s="39" t="n">
        <v>0</v>
      </c>
      <c r="T325" s="40" t="n">
        <f aca="false">IF(M325=0,0,N325/M325)</f>
        <v>0.433333333333333</v>
      </c>
      <c r="U325" s="40" t="n">
        <f aca="false">IF(M325=0,0,O325/M325)</f>
        <v>0.0333333333333333</v>
      </c>
      <c r="V325" s="41" t="n">
        <f aca="false">IF(M325=0,0,P325/M325)</f>
        <v>0</v>
      </c>
      <c r="W325" s="40" t="n">
        <f aca="false">IF(L325=0,0,Q325/L325)</f>
        <v>0</v>
      </c>
    </row>
    <row r="326" customFormat="false" ht="15" hidden="false" customHeight="false" outlineLevel="0" collapsed="false">
      <c r="A326" s="37" t="s">
        <v>1607</v>
      </c>
      <c r="B326" s="38" t="n">
        <v>46146.8338888889</v>
      </c>
      <c r="C326" s="37" t="s">
        <v>1201</v>
      </c>
      <c r="D326" s="37" t="s">
        <v>1211</v>
      </c>
      <c r="E326" s="37" t="s">
        <v>1212</v>
      </c>
      <c r="F326" s="37" t="s">
        <v>544</v>
      </c>
      <c r="G326" s="37"/>
      <c r="H326" s="37" t="s">
        <v>60</v>
      </c>
      <c r="I326" s="37"/>
      <c r="J326" s="37" t="s">
        <v>100</v>
      </c>
      <c r="K326" s="37" t="s">
        <v>1213</v>
      </c>
      <c r="L326" s="39" t="n">
        <v>108</v>
      </c>
      <c r="M326" s="39" t="n">
        <v>108</v>
      </c>
      <c r="N326" s="39" t="n">
        <v>59</v>
      </c>
      <c r="O326" s="39" t="n">
        <v>6</v>
      </c>
      <c r="P326" s="39" t="n">
        <v>1</v>
      </c>
      <c r="Q326" s="39" t="n">
        <v>0</v>
      </c>
      <c r="R326" s="39" t="n">
        <v>0</v>
      </c>
      <c r="S326" s="39" t="n">
        <v>0</v>
      </c>
      <c r="T326" s="40" t="n">
        <f aca="false">IF(M326=0,0,N326/M326)</f>
        <v>0.546296296296296</v>
      </c>
      <c r="U326" s="40" t="n">
        <f aca="false">IF(M326=0,0,O326/M326)</f>
        <v>0.0555555555555556</v>
      </c>
      <c r="V326" s="41" t="n">
        <f aca="false">IF(M326=0,0,P326/M326)</f>
        <v>0.00925925925925926</v>
      </c>
      <c r="W326" s="40" t="n">
        <f aca="false">IF(L326=0,0,Q326/L326)</f>
        <v>0</v>
      </c>
    </row>
    <row r="327" customFormat="false" ht="15" hidden="false" customHeight="false" outlineLevel="0" collapsed="false">
      <c r="A327" s="37" t="s">
        <v>1608</v>
      </c>
      <c r="B327" s="38" t="n">
        <v>46146.7221875</v>
      </c>
      <c r="C327" s="37" t="s">
        <v>1201</v>
      </c>
      <c r="D327" s="37" t="s">
        <v>1523</v>
      </c>
      <c r="E327" s="37" t="s">
        <v>166</v>
      </c>
      <c r="F327" s="37" t="s">
        <v>555</v>
      </c>
      <c r="G327" s="37" t="s">
        <v>1524</v>
      </c>
      <c r="H327" s="37" t="s">
        <v>60</v>
      </c>
      <c r="I327" s="37"/>
      <c r="J327" s="37" t="s">
        <v>164</v>
      </c>
      <c r="K327" s="37" t="s">
        <v>1202</v>
      </c>
      <c r="L327" s="39" t="n">
        <v>436</v>
      </c>
      <c r="M327" s="39" t="n">
        <v>436</v>
      </c>
      <c r="N327" s="39" t="n">
        <v>191</v>
      </c>
      <c r="O327" s="39" t="n">
        <v>52</v>
      </c>
      <c r="P327" s="39" t="n">
        <v>0</v>
      </c>
      <c r="Q327" s="39" t="n">
        <v>0</v>
      </c>
      <c r="R327" s="39" t="n">
        <v>0</v>
      </c>
      <c r="S327" s="39" t="n">
        <v>0</v>
      </c>
      <c r="T327" s="40" t="n">
        <f aca="false">IF(M327=0,0,N327/M327)</f>
        <v>0.438073394495413</v>
      </c>
      <c r="U327" s="40" t="n">
        <f aca="false">IF(M327=0,0,O327/M327)</f>
        <v>0.119266055045872</v>
      </c>
      <c r="V327" s="41" t="n">
        <f aca="false">IF(M327=0,0,P327/M327)</f>
        <v>0</v>
      </c>
      <c r="W327" s="40" t="n">
        <f aca="false">IF(L327=0,0,Q327/L327)</f>
        <v>0</v>
      </c>
    </row>
    <row r="328" customFormat="false" ht="15" hidden="false" customHeight="false" outlineLevel="0" collapsed="false">
      <c r="A328" s="37" t="s">
        <v>1609</v>
      </c>
      <c r="B328" s="38" t="n">
        <v>46146.5483217593</v>
      </c>
      <c r="C328" s="37" t="s">
        <v>1201</v>
      </c>
      <c r="D328" s="37" t="s">
        <v>1504</v>
      </c>
      <c r="E328" s="37" t="s">
        <v>1436</v>
      </c>
      <c r="F328" s="37" t="s">
        <v>555</v>
      </c>
      <c r="G328" s="37"/>
      <c r="H328" s="37" t="s">
        <v>61</v>
      </c>
      <c r="I328" s="37" t="s">
        <v>143</v>
      </c>
      <c r="J328" s="37" t="s">
        <v>144</v>
      </c>
      <c r="K328" s="37" t="s">
        <v>1202</v>
      </c>
      <c r="L328" s="39" t="n">
        <v>519</v>
      </c>
      <c r="M328" s="39" t="n">
        <v>509</v>
      </c>
      <c r="N328" s="39" t="n">
        <v>135</v>
      </c>
      <c r="O328" s="39" t="n">
        <v>18</v>
      </c>
      <c r="P328" s="39" t="n">
        <v>3</v>
      </c>
      <c r="Q328" s="39" t="n">
        <v>10</v>
      </c>
      <c r="R328" s="39" t="n">
        <v>0</v>
      </c>
      <c r="S328" s="39" t="n">
        <v>0</v>
      </c>
      <c r="T328" s="40" t="n">
        <f aca="false">IF(M328=0,0,N328/M328)</f>
        <v>0.265225933202358</v>
      </c>
      <c r="U328" s="40" t="n">
        <f aca="false">IF(M328=0,0,O328/M328)</f>
        <v>0.0353634577603143</v>
      </c>
      <c r="V328" s="41" t="n">
        <f aca="false">IF(M328=0,0,P328/M328)</f>
        <v>0.00589390962671906</v>
      </c>
      <c r="W328" s="40" t="n">
        <f aca="false">IF(L328=0,0,Q328/L328)</f>
        <v>0.0192678227360308</v>
      </c>
    </row>
    <row r="329" customFormat="false" ht="15" hidden="false" customHeight="false" outlineLevel="0" collapsed="false">
      <c r="A329" s="37" t="s">
        <v>1610</v>
      </c>
      <c r="B329" s="38" t="n">
        <v>46146.3584259259</v>
      </c>
      <c r="C329" s="37" t="s">
        <v>1201</v>
      </c>
      <c r="D329" s="37" t="s">
        <v>267</v>
      </c>
      <c r="E329" s="37" t="s">
        <v>267</v>
      </c>
      <c r="F329" s="37" t="s">
        <v>555</v>
      </c>
      <c r="G329" s="37" t="s">
        <v>1611</v>
      </c>
      <c r="H329" s="37" t="s">
        <v>61</v>
      </c>
      <c r="I329" s="37" t="s">
        <v>264</v>
      </c>
      <c r="J329" s="37" t="s">
        <v>266</v>
      </c>
      <c r="K329" s="37" t="s">
        <v>1202</v>
      </c>
      <c r="L329" s="39" t="n">
        <v>244</v>
      </c>
      <c r="M329" s="39" t="n">
        <v>243</v>
      </c>
      <c r="N329" s="39" t="n">
        <v>110</v>
      </c>
      <c r="O329" s="39" t="n">
        <v>4</v>
      </c>
      <c r="P329" s="39" t="n">
        <v>1</v>
      </c>
      <c r="Q329" s="39" t="n">
        <v>1</v>
      </c>
      <c r="R329" s="39" t="n">
        <v>0</v>
      </c>
      <c r="S329" s="39" t="n">
        <v>0</v>
      </c>
      <c r="T329" s="40" t="n">
        <f aca="false">IF(M329=0,0,N329/M329)</f>
        <v>0.452674897119342</v>
      </c>
      <c r="U329" s="40" t="n">
        <f aca="false">IF(M329=0,0,O329/M329)</f>
        <v>0.0164609053497942</v>
      </c>
      <c r="V329" s="41" t="n">
        <f aca="false">IF(M329=0,0,P329/M329)</f>
        <v>0.00411522633744856</v>
      </c>
      <c r="W329" s="40" t="n">
        <f aca="false">IF(L329=0,0,Q329/L329)</f>
        <v>0.00409836065573771</v>
      </c>
    </row>
    <row r="330" customFormat="false" ht="15" hidden="false" customHeight="false" outlineLevel="0" collapsed="false">
      <c r="A330" s="37" t="s">
        <v>1612</v>
      </c>
      <c r="B330" s="38" t="n">
        <v>46146.032037037</v>
      </c>
      <c r="C330" s="37" t="s">
        <v>1201</v>
      </c>
      <c r="D330" s="37" t="s">
        <v>1504</v>
      </c>
      <c r="E330" s="37" t="s">
        <v>1436</v>
      </c>
      <c r="F330" s="37" t="s">
        <v>555</v>
      </c>
      <c r="G330" s="37"/>
      <c r="H330" s="37" t="s">
        <v>61</v>
      </c>
      <c r="I330" s="37" t="s">
        <v>143</v>
      </c>
      <c r="J330" s="37" t="s">
        <v>144</v>
      </c>
      <c r="K330" s="37" t="s">
        <v>1202</v>
      </c>
      <c r="L330" s="39" t="n">
        <v>2252</v>
      </c>
      <c r="M330" s="39" t="n">
        <v>2204</v>
      </c>
      <c r="N330" s="39" t="n">
        <v>679</v>
      </c>
      <c r="O330" s="39" t="n">
        <v>39</v>
      </c>
      <c r="P330" s="39" t="n">
        <v>29</v>
      </c>
      <c r="Q330" s="39" t="n">
        <v>48</v>
      </c>
      <c r="R330" s="39" t="n">
        <v>10</v>
      </c>
      <c r="S330" s="39" t="n">
        <v>0</v>
      </c>
      <c r="T330" s="40" t="n">
        <f aca="false">IF(M330=0,0,N330/M330)</f>
        <v>0.308076225045372</v>
      </c>
      <c r="U330" s="40" t="n">
        <f aca="false">IF(M330=0,0,O330/M330)</f>
        <v>0.0176950998185118</v>
      </c>
      <c r="V330" s="41" t="n">
        <f aca="false">IF(M330=0,0,P330/M330)</f>
        <v>0.0131578947368421</v>
      </c>
      <c r="W330" s="40" t="n">
        <f aca="false">IF(L330=0,0,Q330/L330)</f>
        <v>0.0213143872113677</v>
      </c>
    </row>
    <row r="331" customFormat="false" ht="15" hidden="false" customHeight="false" outlineLevel="0" collapsed="false">
      <c r="A331" s="37" t="s">
        <v>1613</v>
      </c>
      <c r="B331" s="38" t="n">
        <v>46145.982037037</v>
      </c>
      <c r="C331" s="37" t="s">
        <v>1246</v>
      </c>
      <c r="D331" s="37" t="s">
        <v>1327</v>
      </c>
      <c r="E331" s="37" t="s">
        <v>1327</v>
      </c>
      <c r="F331" s="37" t="s">
        <v>544</v>
      </c>
      <c r="G331" s="37"/>
      <c r="H331" s="37" t="s">
        <v>60</v>
      </c>
      <c r="I331" s="37"/>
      <c r="J331" s="37" t="s">
        <v>144</v>
      </c>
      <c r="K331" s="37" t="s">
        <v>1202</v>
      </c>
      <c r="L331" s="39" t="n">
        <v>3054</v>
      </c>
      <c r="M331" s="39" t="n">
        <v>3021</v>
      </c>
      <c r="N331" s="39" t="n">
        <v>1137</v>
      </c>
      <c r="O331" s="39" t="n">
        <v>115</v>
      </c>
      <c r="P331" s="39" t="n">
        <v>39</v>
      </c>
      <c r="Q331" s="39" t="n">
        <v>33</v>
      </c>
      <c r="R331" s="39" t="n">
        <v>22</v>
      </c>
      <c r="S331" s="39" t="n">
        <v>1</v>
      </c>
      <c r="T331" s="40" t="n">
        <f aca="false">IF(M331=0,0,N331/M331)</f>
        <v>0.376365441906653</v>
      </c>
      <c r="U331" s="40" t="n">
        <f aca="false">IF(M331=0,0,O331/M331)</f>
        <v>0.0380668652763985</v>
      </c>
      <c r="V331" s="41" t="n">
        <f aca="false">IF(M331=0,0,P331/M331)</f>
        <v>0.012909632571996</v>
      </c>
      <c r="W331" s="40" t="n">
        <f aca="false">IF(L331=0,0,Q331/L331)</f>
        <v>0.0108055009823183</v>
      </c>
    </row>
    <row r="332" customFormat="false" ht="15" hidden="false" customHeight="false" outlineLevel="0" collapsed="false">
      <c r="A332" s="37" t="s">
        <v>1614</v>
      </c>
      <c r="B332" s="38" t="n">
        <v>46143.248125</v>
      </c>
      <c r="C332" s="37" t="s">
        <v>1201</v>
      </c>
      <c r="D332" s="37" t="s">
        <v>623</v>
      </c>
      <c r="E332" s="37" t="s">
        <v>166</v>
      </c>
      <c r="F332" s="37" t="s">
        <v>555</v>
      </c>
      <c r="G332" s="37" t="s">
        <v>1247</v>
      </c>
      <c r="H332" s="37" t="s">
        <v>60</v>
      </c>
      <c r="I332" s="37"/>
      <c r="J332" s="37" t="s">
        <v>164</v>
      </c>
      <c r="K332" s="37" t="s">
        <v>1202</v>
      </c>
      <c r="L332" s="39" t="n">
        <v>66</v>
      </c>
      <c r="M332" s="39" t="n">
        <v>66</v>
      </c>
      <c r="N332" s="39" t="n">
        <v>32</v>
      </c>
      <c r="O332" s="39" t="n">
        <v>4</v>
      </c>
      <c r="P332" s="39" t="n">
        <v>0</v>
      </c>
      <c r="Q332" s="39" t="n">
        <v>0</v>
      </c>
      <c r="R332" s="39" t="n">
        <v>0</v>
      </c>
      <c r="S332" s="39" t="n">
        <v>0</v>
      </c>
      <c r="T332" s="40" t="n">
        <f aca="false">IF(M332=0,0,N332/M332)</f>
        <v>0.484848484848485</v>
      </c>
      <c r="U332" s="40" t="n">
        <f aca="false">IF(M332=0,0,O332/M332)</f>
        <v>0.0606060606060606</v>
      </c>
      <c r="V332" s="41" t="n">
        <f aca="false">IF(M332=0,0,P332/M332)</f>
        <v>0</v>
      </c>
      <c r="W332" s="40" t="n">
        <f aca="false">IF(L332=0,0,Q332/L332)</f>
        <v>0</v>
      </c>
    </row>
    <row r="333" customFormat="false" ht="15" hidden="false" customHeight="false" outlineLevel="0" collapsed="false">
      <c r="A333" s="37" t="s">
        <v>1615</v>
      </c>
      <c r="B333" s="38" t="n">
        <v>46142.6360648148</v>
      </c>
      <c r="C333" s="37" t="s">
        <v>1201</v>
      </c>
      <c r="D333" s="37" t="s">
        <v>101</v>
      </c>
      <c r="E333" s="37" t="s">
        <v>193</v>
      </c>
      <c r="F333" s="37" t="s">
        <v>548</v>
      </c>
      <c r="G333" s="37" t="s">
        <v>1223</v>
      </c>
      <c r="H333" s="37" t="s">
        <v>61</v>
      </c>
      <c r="I333" s="37" t="s">
        <v>98</v>
      </c>
      <c r="J333" s="37" t="s">
        <v>100</v>
      </c>
      <c r="K333" s="37" t="s">
        <v>1202</v>
      </c>
      <c r="L333" s="39" t="n">
        <v>17916</v>
      </c>
      <c r="M333" s="39" t="n">
        <v>17665</v>
      </c>
      <c r="N333" s="39" t="n">
        <v>1733</v>
      </c>
      <c r="O333" s="39" t="n">
        <v>235</v>
      </c>
      <c r="P333" s="39" t="n">
        <v>103</v>
      </c>
      <c r="Q333" s="39" t="n">
        <v>251</v>
      </c>
      <c r="R333" s="39" t="n">
        <v>148</v>
      </c>
      <c r="S333" s="39" t="n">
        <v>2</v>
      </c>
      <c r="T333" s="40" t="n">
        <f aca="false">IF(M333=0,0,N333/M333)</f>
        <v>0.0981035946787433</v>
      </c>
      <c r="U333" s="40" t="n">
        <f aca="false">IF(M333=0,0,O333/M333)</f>
        <v>0.0133031418058307</v>
      </c>
      <c r="V333" s="41" t="n">
        <f aca="false">IF(M333=0,0,P333/M333)</f>
        <v>0.00583073874893858</v>
      </c>
      <c r="W333" s="40" t="n">
        <f aca="false">IF(L333=0,0,Q333/L333)</f>
        <v>0.0140098236213441</v>
      </c>
    </row>
    <row r="334" customFormat="false" ht="15" hidden="false" customHeight="false" outlineLevel="0" collapsed="false">
      <c r="A334" s="37" t="s">
        <v>1616</v>
      </c>
      <c r="B334" s="38" t="n">
        <v>46142.5005902778</v>
      </c>
      <c r="C334" s="37" t="s">
        <v>1201</v>
      </c>
      <c r="D334" s="37" t="s">
        <v>297</v>
      </c>
      <c r="E334" s="37" t="s">
        <v>1209</v>
      </c>
      <c r="F334" s="37" t="s">
        <v>537</v>
      </c>
      <c r="G334" s="37"/>
      <c r="H334" s="37" t="s">
        <v>61</v>
      </c>
      <c r="I334" s="37" t="s">
        <v>294</v>
      </c>
      <c r="J334" s="37" t="s">
        <v>296</v>
      </c>
      <c r="K334" s="37" t="s">
        <v>1202</v>
      </c>
      <c r="L334" s="39" t="n">
        <v>635</v>
      </c>
      <c r="M334" s="39" t="n">
        <v>635</v>
      </c>
      <c r="N334" s="39" t="n">
        <v>48</v>
      </c>
      <c r="O334" s="39" t="n">
        <v>40</v>
      </c>
      <c r="P334" s="39" t="n">
        <v>0</v>
      </c>
      <c r="Q334" s="39" t="n">
        <v>0</v>
      </c>
      <c r="R334" s="39" t="n">
        <v>0</v>
      </c>
      <c r="S334" s="39" t="n">
        <v>0</v>
      </c>
      <c r="T334" s="40" t="n">
        <f aca="false">IF(M334=0,0,N334/M334)</f>
        <v>0.0755905511811024</v>
      </c>
      <c r="U334" s="40" t="n">
        <f aca="false">IF(M334=0,0,O334/M334)</f>
        <v>0.062992125984252</v>
      </c>
      <c r="V334" s="41" t="n">
        <f aca="false">IF(M334=0,0,P334/M334)</f>
        <v>0</v>
      </c>
      <c r="W334" s="40" t="n">
        <f aca="false">IF(L334=0,0,Q334/L334)</f>
        <v>0</v>
      </c>
    </row>
    <row r="335" customFormat="false" ht="15" hidden="false" customHeight="false" outlineLevel="0" collapsed="false">
      <c r="A335" s="37" t="s">
        <v>1617</v>
      </c>
      <c r="B335" s="38" t="n">
        <v>46142.374525463</v>
      </c>
      <c r="C335" s="37" t="s">
        <v>1201</v>
      </c>
      <c r="D335" s="37" t="s">
        <v>1211</v>
      </c>
      <c r="E335" s="37" t="s">
        <v>1212</v>
      </c>
      <c r="F335" s="37" t="s">
        <v>544</v>
      </c>
      <c r="G335" s="37"/>
      <c r="H335" s="37" t="s">
        <v>60</v>
      </c>
      <c r="I335" s="37"/>
      <c r="J335" s="37" t="s">
        <v>100</v>
      </c>
      <c r="K335" s="37" t="s">
        <v>1213</v>
      </c>
      <c r="L335" s="39" t="n">
        <v>130</v>
      </c>
      <c r="M335" s="39" t="n">
        <v>130</v>
      </c>
      <c r="N335" s="39" t="n">
        <v>84</v>
      </c>
      <c r="O335" s="39" t="n">
        <v>14</v>
      </c>
      <c r="P335" s="39" t="n">
        <v>0</v>
      </c>
      <c r="Q335" s="39" t="n">
        <v>0</v>
      </c>
      <c r="R335" s="39" t="n">
        <v>0</v>
      </c>
      <c r="S335" s="39" t="n">
        <v>0</v>
      </c>
      <c r="T335" s="40" t="n">
        <f aca="false">IF(M335=0,0,N335/M335)</f>
        <v>0.646153846153846</v>
      </c>
      <c r="U335" s="40" t="n">
        <f aca="false">IF(M335=0,0,O335/M335)</f>
        <v>0.107692307692308</v>
      </c>
      <c r="V335" s="41" t="n">
        <f aca="false">IF(M335=0,0,P335/M335)</f>
        <v>0</v>
      </c>
      <c r="W335" s="40" t="n">
        <f aca="false">IF(L335=0,0,Q335/L335)</f>
        <v>0</v>
      </c>
    </row>
    <row r="336" customFormat="false" ht="15" hidden="false" customHeight="false" outlineLevel="0" collapsed="false">
      <c r="A336" s="37" t="s">
        <v>1618</v>
      </c>
      <c r="B336" s="38" t="n">
        <v>46142.1628819444</v>
      </c>
      <c r="C336" s="37" t="s">
        <v>1246</v>
      </c>
      <c r="D336" s="37" t="s">
        <v>171</v>
      </c>
      <c r="E336" s="37" t="s">
        <v>172</v>
      </c>
      <c r="F336" s="37" t="s">
        <v>555</v>
      </c>
      <c r="G336" s="37"/>
      <c r="H336" s="37" t="s">
        <v>61</v>
      </c>
      <c r="I336" s="37" t="s">
        <v>169</v>
      </c>
      <c r="J336" s="37" t="s">
        <v>170</v>
      </c>
      <c r="K336" s="37" t="s">
        <v>1202</v>
      </c>
      <c r="L336" s="39" t="n">
        <v>1450</v>
      </c>
      <c r="M336" s="39" t="n">
        <v>1439</v>
      </c>
      <c r="N336" s="39" t="n">
        <v>143</v>
      </c>
      <c r="O336" s="39" t="n">
        <v>18</v>
      </c>
      <c r="P336" s="39" t="n">
        <v>16</v>
      </c>
      <c r="Q336" s="39" t="n">
        <v>11</v>
      </c>
      <c r="R336" s="39" t="n">
        <v>8</v>
      </c>
      <c r="S336" s="39" t="n">
        <v>0</v>
      </c>
      <c r="T336" s="40" t="n">
        <f aca="false">IF(M336=0,0,N336/M336)</f>
        <v>0.0993745656706046</v>
      </c>
      <c r="U336" s="40" t="n">
        <f aca="false">IF(M336=0,0,O336/M336)</f>
        <v>0.0125086865879083</v>
      </c>
      <c r="V336" s="41" t="n">
        <f aca="false">IF(M336=0,0,P336/M336)</f>
        <v>0.0111188325225851</v>
      </c>
      <c r="W336" s="40" t="n">
        <f aca="false">IF(L336=0,0,Q336/L336)</f>
        <v>0.00758620689655172</v>
      </c>
    </row>
    <row r="337" customFormat="false" ht="15" hidden="false" customHeight="false" outlineLevel="0" collapsed="false">
      <c r="A337" s="37" t="s">
        <v>1619</v>
      </c>
      <c r="B337" s="38" t="n">
        <v>46142.0520949074</v>
      </c>
      <c r="C337" s="37" t="s">
        <v>1201</v>
      </c>
      <c r="D337" s="37" t="s">
        <v>110</v>
      </c>
      <c r="E337" s="37" t="s">
        <v>252</v>
      </c>
      <c r="F337" s="37" t="s">
        <v>555</v>
      </c>
      <c r="G337" s="37" t="s">
        <v>1215</v>
      </c>
      <c r="H337" s="37" t="s">
        <v>61</v>
      </c>
      <c r="I337" s="37" t="s">
        <v>107</v>
      </c>
      <c r="J337" s="37" t="s">
        <v>109</v>
      </c>
      <c r="K337" s="37" t="s">
        <v>1202</v>
      </c>
      <c r="L337" s="39" t="n">
        <v>7310</v>
      </c>
      <c r="M337" s="39" t="n">
        <v>7247</v>
      </c>
      <c r="N337" s="39" t="n">
        <v>838</v>
      </c>
      <c r="O337" s="39" t="n">
        <v>78</v>
      </c>
      <c r="P337" s="39" t="n">
        <v>90</v>
      </c>
      <c r="Q337" s="39" t="n">
        <v>63</v>
      </c>
      <c r="R337" s="39" t="n">
        <v>35</v>
      </c>
      <c r="S337" s="39" t="n">
        <v>4</v>
      </c>
      <c r="T337" s="40" t="n">
        <f aca="false">IF(M337=0,0,N337/M337)</f>
        <v>0.115634055471229</v>
      </c>
      <c r="U337" s="40" t="n">
        <f aca="false">IF(M337=0,0,O337/M337)</f>
        <v>0.0107630743756037</v>
      </c>
      <c r="V337" s="41" t="n">
        <f aca="false">IF(M337=0,0,P337/M337)</f>
        <v>0.0124189319718504</v>
      </c>
      <c r="W337" s="40" t="n">
        <f aca="false">IF(L337=0,0,Q337/L337)</f>
        <v>0.00861833105335157</v>
      </c>
    </row>
    <row r="338" customFormat="false" ht="15" hidden="false" customHeight="false" outlineLevel="0" collapsed="false">
      <c r="A338" s="37" t="s">
        <v>1620</v>
      </c>
      <c r="B338" s="38" t="n">
        <v>46141.9605092593</v>
      </c>
      <c r="C338" s="37" t="s">
        <v>1201</v>
      </c>
      <c r="D338" s="37" t="s">
        <v>127</v>
      </c>
      <c r="E338" s="37" t="s">
        <v>178</v>
      </c>
      <c r="F338" s="37" t="s">
        <v>127</v>
      </c>
      <c r="G338" s="37"/>
      <c r="H338" s="37" t="s">
        <v>60</v>
      </c>
      <c r="I338" s="37"/>
      <c r="J338" s="37" t="s">
        <v>126</v>
      </c>
      <c r="K338" s="37" t="s">
        <v>1202</v>
      </c>
      <c r="L338" s="39" t="n">
        <v>116</v>
      </c>
      <c r="M338" s="39" t="n">
        <v>116</v>
      </c>
      <c r="N338" s="39" t="n">
        <v>34</v>
      </c>
      <c r="O338" s="39" t="n">
        <v>6</v>
      </c>
      <c r="P338" s="39" t="n">
        <v>1</v>
      </c>
      <c r="Q338" s="39" t="n">
        <v>0</v>
      </c>
      <c r="R338" s="39" t="n">
        <v>0</v>
      </c>
      <c r="S338" s="39" t="n">
        <v>0</v>
      </c>
      <c r="T338" s="40" t="n">
        <f aca="false">IF(M338=0,0,N338/M338)</f>
        <v>0.293103448275862</v>
      </c>
      <c r="U338" s="40" t="n">
        <f aca="false">IF(M338=0,0,O338/M338)</f>
        <v>0.0517241379310345</v>
      </c>
      <c r="V338" s="41" t="n">
        <f aca="false">IF(M338=0,0,P338/M338)</f>
        <v>0.00862068965517241</v>
      </c>
      <c r="W338" s="40" t="n">
        <f aca="false">IF(L338=0,0,Q338/L338)</f>
        <v>0</v>
      </c>
    </row>
    <row r="339" customFormat="false" ht="15" hidden="false" customHeight="false" outlineLevel="0" collapsed="false">
      <c r="A339" s="37" t="s">
        <v>1621</v>
      </c>
      <c r="B339" s="38" t="n">
        <v>46141.9604166667</v>
      </c>
      <c r="C339" s="37" t="s">
        <v>1201</v>
      </c>
      <c r="D339" s="37" t="s">
        <v>127</v>
      </c>
      <c r="E339" s="37" t="s">
        <v>178</v>
      </c>
      <c r="F339" s="37" t="s">
        <v>127</v>
      </c>
      <c r="G339" s="37"/>
      <c r="H339" s="37" t="s">
        <v>60</v>
      </c>
      <c r="I339" s="37"/>
      <c r="J339" s="37" t="s">
        <v>126</v>
      </c>
      <c r="K339" s="37" t="s">
        <v>1202</v>
      </c>
      <c r="L339" s="39" t="n">
        <v>32</v>
      </c>
      <c r="M339" s="39" t="n">
        <v>32</v>
      </c>
      <c r="N339" s="39" t="n">
        <v>14</v>
      </c>
      <c r="O339" s="39" t="n">
        <v>3</v>
      </c>
      <c r="P339" s="39" t="n">
        <v>0</v>
      </c>
      <c r="Q339" s="39" t="n">
        <v>0</v>
      </c>
      <c r="R339" s="39" t="n">
        <v>0</v>
      </c>
      <c r="S339" s="39" t="n">
        <v>0</v>
      </c>
      <c r="T339" s="40" t="n">
        <f aca="false">IF(M339=0,0,N339/M339)</f>
        <v>0.4375</v>
      </c>
      <c r="U339" s="40" t="n">
        <f aca="false">IF(M339=0,0,O339/M339)</f>
        <v>0.09375</v>
      </c>
      <c r="V339" s="41" t="n">
        <f aca="false">IF(M339=0,0,P339/M339)</f>
        <v>0</v>
      </c>
      <c r="W339" s="40" t="n">
        <f aca="false">IF(L339=0,0,Q339/L339)</f>
        <v>0</v>
      </c>
    </row>
    <row r="340" customFormat="false" ht="15" hidden="false" customHeight="false" outlineLevel="0" collapsed="false">
      <c r="A340" s="37" t="s">
        <v>1622</v>
      </c>
      <c r="B340" s="38" t="n">
        <v>46141.4338078704</v>
      </c>
      <c r="C340" s="37" t="s">
        <v>1201</v>
      </c>
      <c r="D340" s="37" t="s">
        <v>116</v>
      </c>
      <c r="E340" s="37" t="s">
        <v>117</v>
      </c>
      <c r="F340" s="37" t="s">
        <v>555</v>
      </c>
      <c r="G340" s="37" t="s">
        <v>1118</v>
      </c>
      <c r="H340" s="37" t="s">
        <v>60</v>
      </c>
      <c r="I340" s="37" t="s">
        <v>114</v>
      </c>
      <c r="J340" s="37" t="s">
        <v>115</v>
      </c>
      <c r="K340" s="37" t="s">
        <v>1202</v>
      </c>
      <c r="L340" s="39" t="n">
        <v>4906</v>
      </c>
      <c r="M340" s="39" t="n">
        <v>4865</v>
      </c>
      <c r="N340" s="39" t="n">
        <v>1335</v>
      </c>
      <c r="O340" s="39" t="n">
        <v>215</v>
      </c>
      <c r="P340" s="39" t="n">
        <v>39</v>
      </c>
      <c r="Q340" s="39" t="n">
        <v>41</v>
      </c>
      <c r="R340" s="39" t="n">
        <v>19</v>
      </c>
      <c r="S340" s="39" t="n">
        <v>0</v>
      </c>
      <c r="T340" s="40" t="n">
        <f aca="false">IF(M340=0,0,N340/M340)</f>
        <v>0.274409044193217</v>
      </c>
      <c r="U340" s="40" t="n">
        <f aca="false">IF(M340=0,0,O340/M340)</f>
        <v>0.0441932168550874</v>
      </c>
      <c r="V340" s="41" t="n">
        <f aca="false">IF(M340=0,0,P340/M340)</f>
        <v>0.00801644398766701</v>
      </c>
      <c r="W340" s="40" t="n">
        <f aca="false">IF(L340=0,0,Q340/L340)</f>
        <v>0.00835711373827966</v>
      </c>
    </row>
    <row r="341" customFormat="false" ht="15" hidden="false" customHeight="false" outlineLevel="0" collapsed="false">
      <c r="A341" s="37" t="s">
        <v>1623</v>
      </c>
      <c r="B341" s="38" t="n">
        <v>46141.3735532407</v>
      </c>
      <c r="C341" s="37" t="s">
        <v>1201</v>
      </c>
      <c r="D341" s="37" t="s">
        <v>1237</v>
      </c>
      <c r="E341" s="37" t="s">
        <v>1237</v>
      </c>
      <c r="F341" s="37" t="s">
        <v>544</v>
      </c>
      <c r="G341" s="37"/>
      <c r="H341" s="37" t="s">
        <v>60</v>
      </c>
      <c r="I341" s="37"/>
      <c r="J341" s="37" t="s">
        <v>430</v>
      </c>
      <c r="K341" s="37" t="s">
        <v>8</v>
      </c>
      <c r="L341" s="39" t="n">
        <v>158</v>
      </c>
      <c r="M341" s="39" t="n">
        <v>156</v>
      </c>
      <c r="N341" s="39" t="n">
        <v>73</v>
      </c>
      <c r="O341" s="39" t="n">
        <v>36</v>
      </c>
      <c r="P341" s="39" t="n">
        <v>1</v>
      </c>
      <c r="Q341" s="39" t="n">
        <v>2</v>
      </c>
      <c r="R341" s="39" t="n">
        <v>2</v>
      </c>
      <c r="S341" s="39" t="n">
        <v>0</v>
      </c>
      <c r="T341" s="40" t="n">
        <f aca="false">IF(M341=0,0,N341/M341)</f>
        <v>0.467948717948718</v>
      </c>
      <c r="U341" s="40" t="n">
        <f aca="false">IF(M341=0,0,O341/M341)</f>
        <v>0.230769230769231</v>
      </c>
      <c r="V341" s="41" t="n">
        <f aca="false">IF(M341=0,0,P341/M341)</f>
        <v>0.00641025641025641</v>
      </c>
      <c r="W341" s="40" t="n">
        <f aca="false">IF(L341=0,0,Q341/L341)</f>
        <v>0.0126582278481013</v>
      </c>
    </row>
    <row r="342" customFormat="false" ht="15" hidden="false" customHeight="false" outlineLevel="0" collapsed="false">
      <c r="A342" s="37" t="s">
        <v>1624</v>
      </c>
      <c r="B342" s="38" t="n">
        <v>46141.3337268519</v>
      </c>
      <c r="C342" s="37" t="s">
        <v>1252</v>
      </c>
      <c r="D342" s="37" t="s">
        <v>1562</v>
      </c>
      <c r="E342" s="37" t="s">
        <v>288</v>
      </c>
      <c r="F342" s="37" t="s">
        <v>548</v>
      </c>
      <c r="G342" s="37"/>
      <c r="H342" s="37" t="s">
        <v>60</v>
      </c>
      <c r="I342" s="37"/>
      <c r="J342" s="37" t="s">
        <v>287</v>
      </c>
      <c r="K342" s="37" t="s">
        <v>1202</v>
      </c>
      <c r="L342" s="39" t="n">
        <v>12</v>
      </c>
      <c r="M342" s="39" t="n">
        <v>12</v>
      </c>
      <c r="N342" s="39" t="n">
        <v>5</v>
      </c>
      <c r="O342" s="39" t="n">
        <v>0</v>
      </c>
      <c r="P342" s="39" t="n">
        <v>0</v>
      </c>
      <c r="Q342" s="39" t="n">
        <v>0</v>
      </c>
      <c r="R342" s="39" t="n">
        <v>0</v>
      </c>
      <c r="S342" s="39" t="n">
        <v>0</v>
      </c>
      <c r="T342" s="40" t="n">
        <f aca="false">IF(M342=0,0,N342/M342)</f>
        <v>0.416666666666667</v>
      </c>
      <c r="U342" s="40" t="n">
        <f aca="false">IF(M342=0,0,O342/M342)</f>
        <v>0</v>
      </c>
      <c r="V342" s="41" t="n">
        <f aca="false">IF(M342=0,0,P342/M342)</f>
        <v>0</v>
      </c>
      <c r="W342" s="40" t="n">
        <f aca="false">IF(L342=0,0,Q342/L342)</f>
        <v>0</v>
      </c>
    </row>
    <row r="343" customFormat="false" ht="15" hidden="false" customHeight="false" outlineLevel="0" collapsed="false">
      <c r="A343" s="37" t="s">
        <v>1625</v>
      </c>
      <c r="B343" s="38" t="n">
        <v>46141.3336921296</v>
      </c>
      <c r="C343" s="37" t="s">
        <v>1252</v>
      </c>
      <c r="D343" s="37" t="s">
        <v>1562</v>
      </c>
      <c r="E343" s="37" t="s">
        <v>288</v>
      </c>
      <c r="F343" s="37" t="s">
        <v>548</v>
      </c>
      <c r="G343" s="37"/>
      <c r="H343" s="37" t="s">
        <v>60</v>
      </c>
      <c r="I343" s="37"/>
      <c r="J343" s="37" t="s">
        <v>287</v>
      </c>
      <c r="K343" s="37" t="s">
        <v>1202</v>
      </c>
      <c r="L343" s="39" t="n">
        <v>14</v>
      </c>
      <c r="M343" s="39" t="n">
        <v>14</v>
      </c>
      <c r="N343" s="39" t="n">
        <v>9</v>
      </c>
      <c r="O343" s="39" t="n">
        <v>3</v>
      </c>
      <c r="P343" s="39" t="n">
        <v>0</v>
      </c>
      <c r="Q343" s="39" t="n">
        <v>0</v>
      </c>
      <c r="R343" s="39" t="n">
        <v>0</v>
      </c>
      <c r="S343" s="39" t="n">
        <v>0</v>
      </c>
      <c r="T343" s="40" t="n">
        <f aca="false">IF(M343=0,0,N343/M343)</f>
        <v>0.642857142857143</v>
      </c>
      <c r="U343" s="40" t="n">
        <f aca="false">IF(M343=0,0,O343/M343)</f>
        <v>0.214285714285714</v>
      </c>
      <c r="V343" s="41" t="n">
        <f aca="false">IF(M343=0,0,P343/M343)</f>
        <v>0</v>
      </c>
      <c r="W343" s="40" t="n">
        <f aca="false">IF(L343=0,0,Q343/L343)</f>
        <v>0</v>
      </c>
    </row>
    <row r="344" customFormat="false" ht="15" hidden="false" customHeight="false" outlineLevel="0" collapsed="false">
      <c r="A344" s="37" t="s">
        <v>1626</v>
      </c>
      <c r="B344" s="38" t="n">
        <v>46141.2818171296</v>
      </c>
      <c r="C344" s="37" t="s">
        <v>1201</v>
      </c>
      <c r="D344" s="37" t="s">
        <v>1366</v>
      </c>
      <c r="E344" s="37" t="s">
        <v>1255</v>
      </c>
      <c r="F344" s="37" t="s">
        <v>544</v>
      </c>
      <c r="G344" s="37" t="s">
        <v>1484</v>
      </c>
      <c r="H344" s="37" t="s">
        <v>60</v>
      </c>
      <c r="I344" s="37"/>
      <c r="J344" s="37" t="s">
        <v>121</v>
      </c>
      <c r="K344" s="37" t="s">
        <v>1202</v>
      </c>
      <c r="L344" s="39" t="n">
        <v>465</v>
      </c>
      <c r="M344" s="39" t="n">
        <v>463</v>
      </c>
      <c r="N344" s="39" t="n">
        <v>240</v>
      </c>
      <c r="O344" s="39" t="n">
        <v>60</v>
      </c>
      <c r="P344" s="39" t="n">
        <v>0</v>
      </c>
      <c r="Q344" s="39" t="n">
        <v>2</v>
      </c>
      <c r="R344" s="39" t="n">
        <v>2</v>
      </c>
      <c r="S344" s="39" t="n">
        <v>0</v>
      </c>
      <c r="T344" s="40" t="n">
        <f aca="false">IF(M344=0,0,N344/M344)</f>
        <v>0.518358531317495</v>
      </c>
      <c r="U344" s="40" t="n">
        <f aca="false">IF(M344=0,0,O344/M344)</f>
        <v>0.129589632829374</v>
      </c>
      <c r="V344" s="41" t="n">
        <f aca="false">IF(M344=0,0,P344/M344)</f>
        <v>0</v>
      </c>
      <c r="W344" s="40" t="n">
        <f aca="false">IF(L344=0,0,Q344/L344)</f>
        <v>0.0043010752688172</v>
      </c>
    </row>
    <row r="345" customFormat="false" ht="15" hidden="false" customHeight="false" outlineLevel="0" collapsed="false">
      <c r="A345" s="37" t="s">
        <v>1627</v>
      </c>
      <c r="B345" s="38" t="n">
        <v>46140.9862268519</v>
      </c>
      <c r="C345" s="37" t="s">
        <v>1201</v>
      </c>
      <c r="D345" s="37" t="s">
        <v>1504</v>
      </c>
      <c r="E345" s="37" t="s">
        <v>1436</v>
      </c>
      <c r="F345" s="37" t="s">
        <v>555</v>
      </c>
      <c r="G345" s="37"/>
      <c r="H345" s="37" t="s">
        <v>60</v>
      </c>
      <c r="I345" s="37"/>
      <c r="J345" s="37" t="s">
        <v>144</v>
      </c>
      <c r="K345" s="37" t="s">
        <v>1202</v>
      </c>
      <c r="L345" s="39" t="n">
        <v>3</v>
      </c>
      <c r="M345" s="39" t="n">
        <v>3</v>
      </c>
      <c r="N345" s="39" t="n">
        <v>2</v>
      </c>
      <c r="O345" s="39" t="n">
        <v>1</v>
      </c>
      <c r="P345" s="39" t="n">
        <v>0</v>
      </c>
      <c r="Q345" s="39" t="n">
        <v>0</v>
      </c>
      <c r="R345" s="39" t="n">
        <v>0</v>
      </c>
      <c r="S345" s="39" t="n">
        <v>0</v>
      </c>
      <c r="T345" s="40" t="n">
        <f aca="false">IF(M345=0,0,N345/M345)</f>
        <v>0.666666666666667</v>
      </c>
      <c r="U345" s="40" t="n">
        <f aca="false">IF(M345=0,0,O345/M345)</f>
        <v>0.333333333333333</v>
      </c>
      <c r="V345" s="41" t="n">
        <f aca="false">IF(M345=0,0,P345/M345)</f>
        <v>0</v>
      </c>
      <c r="W345" s="40" t="n">
        <f aca="false">IF(L345=0,0,Q345/L345)</f>
        <v>0</v>
      </c>
    </row>
    <row r="346" customFormat="false" ht="15" hidden="false" customHeight="false" outlineLevel="0" collapsed="false">
      <c r="A346" s="37" t="s">
        <v>1628</v>
      </c>
      <c r="B346" s="38" t="n">
        <v>46140.6255092593</v>
      </c>
      <c r="C346" s="37" t="s">
        <v>1252</v>
      </c>
      <c r="D346" s="37" t="s">
        <v>192</v>
      </c>
      <c r="E346" s="37" t="s">
        <v>193</v>
      </c>
      <c r="F346" s="37" t="s">
        <v>555</v>
      </c>
      <c r="G346" s="37" t="s">
        <v>1119</v>
      </c>
      <c r="H346" s="37" t="s">
        <v>65</v>
      </c>
      <c r="I346" s="37" t="s">
        <v>189</v>
      </c>
      <c r="J346" s="37" t="s">
        <v>191</v>
      </c>
      <c r="K346" s="37" t="s">
        <v>1202</v>
      </c>
      <c r="L346" s="39" t="n">
        <v>6641</v>
      </c>
      <c r="M346" s="39" t="n">
        <v>6533</v>
      </c>
      <c r="N346" s="39" t="n">
        <v>1955</v>
      </c>
      <c r="O346" s="39" t="n">
        <v>99</v>
      </c>
      <c r="P346" s="39" t="n">
        <v>82</v>
      </c>
      <c r="Q346" s="39" t="n">
        <v>108</v>
      </c>
      <c r="R346" s="39" t="n">
        <v>85</v>
      </c>
      <c r="S346" s="39" t="n">
        <v>0</v>
      </c>
      <c r="T346" s="40" t="n">
        <f aca="false">IF(M346=0,0,N346/M346)</f>
        <v>0.299249961732742</v>
      </c>
      <c r="U346" s="40" t="n">
        <f aca="false">IF(M346=0,0,O346/M346)</f>
        <v>0.0151538343793051</v>
      </c>
      <c r="V346" s="41" t="n">
        <f aca="false">IF(M346=0,0,P346/M346)</f>
        <v>0.0125516607990204</v>
      </c>
      <c r="W346" s="40" t="n">
        <f aca="false">IF(L346=0,0,Q346/L346)</f>
        <v>0.0162626110525523</v>
      </c>
    </row>
    <row r="347" customFormat="false" ht="15" hidden="false" customHeight="false" outlineLevel="0" collapsed="false">
      <c r="A347" s="37" t="s">
        <v>1629</v>
      </c>
      <c r="B347" s="38" t="n">
        <v>46140.6207523148</v>
      </c>
      <c r="C347" s="37" t="s">
        <v>1201</v>
      </c>
      <c r="D347" s="37" t="s">
        <v>160</v>
      </c>
      <c r="E347" s="37" t="s">
        <v>160</v>
      </c>
      <c r="F347" s="37" t="s">
        <v>555</v>
      </c>
      <c r="G347" s="37" t="s">
        <v>1114</v>
      </c>
      <c r="H347" s="37" t="s">
        <v>61</v>
      </c>
      <c r="I347" s="37" t="s">
        <v>157</v>
      </c>
      <c r="J347" s="37" t="s">
        <v>158</v>
      </c>
      <c r="K347" s="37" t="s">
        <v>1202</v>
      </c>
      <c r="L347" s="39" t="n">
        <v>1981</v>
      </c>
      <c r="M347" s="39" t="n">
        <v>1967</v>
      </c>
      <c r="N347" s="39" t="n">
        <v>755</v>
      </c>
      <c r="O347" s="39" t="n">
        <v>85</v>
      </c>
      <c r="P347" s="39" t="n">
        <v>12</v>
      </c>
      <c r="Q347" s="39" t="n">
        <v>14</v>
      </c>
      <c r="R347" s="39" t="n">
        <v>11</v>
      </c>
      <c r="S347" s="39" t="n">
        <v>1</v>
      </c>
      <c r="T347" s="40" t="n">
        <f aca="false">IF(M347=0,0,N347/M347)</f>
        <v>0.383833248601932</v>
      </c>
      <c r="U347" s="40" t="n">
        <f aca="false">IF(M347=0,0,O347/M347)</f>
        <v>0.0432130147432639</v>
      </c>
      <c r="V347" s="41" t="n">
        <f aca="false">IF(M347=0,0,P347/M347)</f>
        <v>0.00610066090493137</v>
      </c>
      <c r="W347" s="40" t="n">
        <f aca="false">IF(L347=0,0,Q347/L347)</f>
        <v>0.00706713780918728</v>
      </c>
    </row>
    <row r="348" customFormat="false" ht="15" hidden="false" customHeight="false" outlineLevel="0" collapsed="false">
      <c r="A348" s="37" t="s">
        <v>1630</v>
      </c>
      <c r="B348" s="38" t="n">
        <v>46140.2725462963</v>
      </c>
      <c r="C348" s="37" t="s">
        <v>1201</v>
      </c>
      <c r="D348" s="37" t="s">
        <v>1504</v>
      </c>
      <c r="E348" s="37" t="s">
        <v>1436</v>
      </c>
      <c r="F348" s="37" t="s">
        <v>555</v>
      </c>
      <c r="G348" s="37"/>
      <c r="H348" s="37" t="s">
        <v>60</v>
      </c>
      <c r="I348" s="37"/>
      <c r="J348" s="37" t="s">
        <v>144</v>
      </c>
      <c r="K348" s="37" t="s">
        <v>1202</v>
      </c>
      <c r="L348" s="39" t="n">
        <v>211</v>
      </c>
      <c r="M348" s="39" t="n">
        <v>208</v>
      </c>
      <c r="N348" s="39" t="n">
        <v>103</v>
      </c>
      <c r="O348" s="39" t="n">
        <v>49</v>
      </c>
      <c r="P348" s="39" t="n">
        <v>2</v>
      </c>
      <c r="Q348" s="39" t="n">
        <v>3</v>
      </c>
      <c r="R348" s="39" t="n">
        <v>3</v>
      </c>
      <c r="S348" s="39" t="n">
        <v>0</v>
      </c>
      <c r="T348" s="40" t="n">
        <f aca="false">IF(M348=0,0,N348/M348)</f>
        <v>0.495192307692308</v>
      </c>
      <c r="U348" s="40" t="n">
        <f aca="false">IF(M348=0,0,O348/M348)</f>
        <v>0.235576923076923</v>
      </c>
      <c r="V348" s="41" t="n">
        <f aca="false">IF(M348=0,0,P348/M348)</f>
        <v>0.00961538461538462</v>
      </c>
      <c r="W348" s="40" t="n">
        <f aca="false">IF(L348=0,0,Q348/L348)</f>
        <v>0.014218009478673</v>
      </c>
    </row>
    <row r="349" customFormat="false" ht="15" hidden="false" customHeight="false" outlineLevel="0" collapsed="false">
      <c r="A349" s="37" t="s">
        <v>1631</v>
      </c>
      <c r="B349" s="38" t="n">
        <v>46140.2677314815</v>
      </c>
      <c r="C349" s="37" t="s">
        <v>1201</v>
      </c>
      <c r="D349" s="37" t="s">
        <v>1632</v>
      </c>
      <c r="E349" s="37" t="s">
        <v>1632</v>
      </c>
      <c r="F349" s="37" t="s">
        <v>544</v>
      </c>
      <c r="G349" s="37"/>
      <c r="H349" s="37" t="s">
        <v>60</v>
      </c>
      <c r="I349" s="37"/>
      <c r="J349" s="37" t="s">
        <v>430</v>
      </c>
      <c r="K349" s="37" t="s">
        <v>8</v>
      </c>
      <c r="L349" s="39" t="n">
        <v>37</v>
      </c>
      <c r="M349" s="39" t="n">
        <v>37</v>
      </c>
      <c r="N349" s="39" t="n">
        <v>17</v>
      </c>
      <c r="O349" s="39" t="n">
        <v>3</v>
      </c>
      <c r="P349" s="39" t="n">
        <v>0</v>
      </c>
      <c r="Q349" s="39" t="n">
        <v>0</v>
      </c>
      <c r="R349" s="39" t="n">
        <v>0</v>
      </c>
      <c r="S349" s="39" t="n">
        <v>0</v>
      </c>
      <c r="T349" s="40" t="n">
        <f aca="false">IF(M349=0,0,N349/M349)</f>
        <v>0.45945945945946</v>
      </c>
      <c r="U349" s="40" t="n">
        <f aca="false">IF(M349=0,0,O349/M349)</f>
        <v>0.0810810810810811</v>
      </c>
      <c r="V349" s="41" t="n">
        <f aca="false">IF(M349=0,0,P349/M349)</f>
        <v>0</v>
      </c>
      <c r="W349" s="40" t="n">
        <f aca="false">IF(L349=0,0,Q349/L349)</f>
        <v>0</v>
      </c>
    </row>
    <row r="350" customFormat="false" ht="15" hidden="false" customHeight="false" outlineLevel="0" collapsed="false">
      <c r="A350" s="37" t="s">
        <v>1633</v>
      </c>
      <c r="B350" s="38" t="n">
        <v>46139.5036111111</v>
      </c>
      <c r="C350" s="37" t="s">
        <v>1201</v>
      </c>
      <c r="D350" s="37" t="s">
        <v>1453</v>
      </c>
      <c r="E350" s="37" t="s">
        <v>1360</v>
      </c>
      <c r="F350" s="37" t="s">
        <v>550</v>
      </c>
      <c r="G350" s="37"/>
      <c r="H350" s="37" t="s">
        <v>60</v>
      </c>
      <c r="I350" s="37"/>
      <c r="J350" s="37" t="s">
        <v>100</v>
      </c>
      <c r="K350" s="37" t="s">
        <v>1213</v>
      </c>
      <c r="L350" s="39" t="n">
        <v>1308</v>
      </c>
      <c r="M350" s="39" t="n">
        <v>1305</v>
      </c>
      <c r="N350" s="39" t="n">
        <v>493</v>
      </c>
      <c r="O350" s="39" t="n">
        <v>50</v>
      </c>
      <c r="P350" s="39" t="n">
        <v>7</v>
      </c>
      <c r="Q350" s="39" t="n">
        <v>3</v>
      </c>
      <c r="R350" s="39" t="n">
        <v>0</v>
      </c>
      <c r="S350" s="39" t="n">
        <v>0</v>
      </c>
      <c r="T350" s="40" t="n">
        <f aca="false">IF(M350=0,0,N350/M350)</f>
        <v>0.377777777777778</v>
      </c>
      <c r="U350" s="40" t="n">
        <f aca="false">IF(M350=0,0,O350/M350)</f>
        <v>0.0383141762452107</v>
      </c>
      <c r="V350" s="41" t="n">
        <f aca="false">IF(M350=0,0,P350/M350)</f>
        <v>0.0053639846743295</v>
      </c>
      <c r="W350" s="40" t="n">
        <f aca="false">IF(L350=0,0,Q350/L350)</f>
        <v>0.00229357798165138</v>
      </c>
    </row>
    <row r="351" customFormat="false" ht="15" hidden="false" customHeight="false" outlineLevel="0" collapsed="false">
      <c r="A351" s="37" t="s">
        <v>1634</v>
      </c>
      <c r="B351" s="38" t="n">
        <v>46139.3753819445</v>
      </c>
      <c r="C351" s="37" t="s">
        <v>1252</v>
      </c>
      <c r="D351" s="37" t="s">
        <v>1600</v>
      </c>
      <c r="E351" s="37" t="s">
        <v>288</v>
      </c>
      <c r="F351" s="37" t="s">
        <v>548</v>
      </c>
      <c r="G351" s="37" t="s">
        <v>1601</v>
      </c>
      <c r="H351" s="37" t="s">
        <v>60</v>
      </c>
      <c r="I351" s="37"/>
      <c r="J351" s="37" t="s">
        <v>287</v>
      </c>
      <c r="K351" s="37" t="s">
        <v>1202</v>
      </c>
      <c r="L351" s="39" t="n">
        <v>266</v>
      </c>
      <c r="M351" s="39" t="n">
        <v>263</v>
      </c>
      <c r="N351" s="39" t="n">
        <v>31</v>
      </c>
      <c r="O351" s="39" t="n">
        <v>1</v>
      </c>
      <c r="P351" s="39" t="n">
        <v>1</v>
      </c>
      <c r="Q351" s="39" t="n">
        <v>3</v>
      </c>
      <c r="R351" s="39" t="n">
        <v>0</v>
      </c>
      <c r="S351" s="39" t="n">
        <v>0</v>
      </c>
      <c r="T351" s="40" t="n">
        <f aca="false">IF(M351=0,0,N351/M351)</f>
        <v>0.11787072243346</v>
      </c>
      <c r="U351" s="40" t="n">
        <f aca="false">IF(M351=0,0,O351/M351)</f>
        <v>0.00380228136882129</v>
      </c>
      <c r="V351" s="41" t="n">
        <f aca="false">IF(M351=0,0,P351/M351)</f>
        <v>0.00380228136882129</v>
      </c>
      <c r="W351" s="40" t="n">
        <f aca="false">IF(L351=0,0,Q351/L351)</f>
        <v>0.0112781954887218</v>
      </c>
    </row>
    <row r="352" customFormat="false" ht="15" hidden="false" customHeight="false" outlineLevel="0" collapsed="false">
      <c r="A352" s="37" t="s">
        <v>1635</v>
      </c>
      <c r="B352" s="38" t="n">
        <v>46136.3751273148</v>
      </c>
      <c r="C352" s="37" t="s">
        <v>1201</v>
      </c>
      <c r="D352" s="37" t="s">
        <v>230</v>
      </c>
      <c r="E352" s="37" t="s">
        <v>231</v>
      </c>
      <c r="F352" s="37" t="s">
        <v>544</v>
      </c>
      <c r="G352" s="37"/>
      <c r="H352" s="37" t="s">
        <v>61</v>
      </c>
      <c r="I352" s="37"/>
      <c r="J352" s="37" t="s">
        <v>229</v>
      </c>
      <c r="K352" s="37" t="s">
        <v>1202</v>
      </c>
      <c r="L352" s="39" t="n">
        <v>447</v>
      </c>
      <c r="M352" s="39" t="n">
        <v>445</v>
      </c>
      <c r="N352" s="39" t="n">
        <v>168</v>
      </c>
      <c r="O352" s="39" t="n">
        <v>17</v>
      </c>
      <c r="P352" s="39" t="n">
        <v>1</v>
      </c>
      <c r="Q352" s="39" t="n">
        <v>2</v>
      </c>
      <c r="R352" s="39" t="n">
        <v>2</v>
      </c>
      <c r="S352" s="39" t="n">
        <v>0</v>
      </c>
      <c r="T352" s="40" t="n">
        <f aca="false">IF(M352=0,0,N352/M352)</f>
        <v>0.377528089887641</v>
      </c>
      <c r="U352" s="40" t="n">
        <f aca="false">IF(M352=0,0,O352/M352)</f>
        <v>0.0382022471910112</v>
      </c>
      <c r="V352" s="41" t="n">
        <f aca="false">IF(M352=0,0,P352/M352)</f>
        <v>0.00224719101123596</v>
      </c>
      <c r="W352" s="40" t="n">
        <f aca="false">IF(L352=0,0,Q352/L352)</f>
        <v>0.00447427293064877</v>
      </c>
    </row>
    <row r="353" customFormat="false" ht="15" hidden="false" customHeight="false" outlineLevel="0" collapsed="false">
      <c r="A353" s="37" t="s">
        <v>1636</v>
      </c>
      <c r="B353" s="38" t="n">
        <v>46136.3610185185</v>
      </c>
      <c r="C353" s="37" t="s">
        <v>1201</v>
      </c>
      <c r="D353" s="37" t="s">
        <v>1392</v>
      </c>
      <c r="E353" s="37" t="s">
        <v>166</v>
      </c>
      <c r="F353" s="37" t="s">
        <v>555</v>
      </c>
      <c r="G353" s="37" t="s">
        <v>1393</v>
      </c>
      <c r="H353" s="37" t="s">
        <v>60</v>
      </c>
      <c r="I353" s="37" t="s">
        <v>260</v>
      </c>
      <c r="J353" s="37" t="s">
        <v>164</v>
      </c>
      <c r="K353" s="37" t="s">
        <v>1202</v>
      </c>
      <c r="L353" s="39" t="n">
        <v>21</v>
      </c>
      <c r="M353" s="39" t="n">
        <v>21</v>
      </c>
      <c r="N353" s="39" t="n">
        <v>12</v>
      </c>
      <c r="O353" s="39" t="n">
        <v>3</v>
      </c>
      <c r="P353" s="39" t="n">
        <v>0</v>
      </c>
      <c r="Q353" s="39" t="n">
        <v>0</v>
      </c>
      <c r="R353" s="39" t="n">
        <v>0</v>
      </c>
      <c r="S353" s="39" t="n">
        <v>0</v>
      </c>
      <c r="T353" s="40" t="n">
        <f aca="false">IF(M353=0,0,N353/M353)</f>
        <v>0.571428571428571</v>
      </c>
      <c r="U353" s="40" t="n">
        <f aca="false">IF(M353=0,0,O353/M353)</f>
        <v>0.142857142857143</v>
      </c>
      <c r="V353" s="41" t="n">
        <f aca="false">IF(M353=0,0,P353/M353)</f>
        <v>0</v>
      </c>
      <c r="W353" s="40" t="n">
        <f aca="false">IF(L353=0,0,Q353/L353)</f>
        <v>0</v>
      </c>
    </row>
    <row r="354" customFormat="false" ht="15" hidden="false" customHeight="false" outlineLevel="0" collapsed="false">
      <c r="A354" s="37" t="s">
        <v>1637</v>
      </c>
      <c r="B354" s="38" t="n">
        <v>46136.2990277778</v>
      </c>
      <c r="C354" s="37" t="s">
        <v>1201</v>
      </c>
      <c r="D354" s="37" t="s">
        <v>1211</v>
      </c>
      <c r="E354" s="37" t="s">
        <v>1212</v>
      </c>
      <c r="F354" s="37" t="s">
        <v>544</v>
      </c>
      <c r="G354" s="37"/>
      <c r="H354" s="37" t="s">
        <v>60</v>
      </c>
      <c r="I354" s="37"/>
      <c r="J354" s="37" t="s">
        <v>100</v>
      </c>
      <c r="K354" s="37" t="s">
        <v>1202</v>
      </c>
      <c r="L354" s="39" t="n">
        <v>129</v>
      </c>
      <c r="M354" s="39" t="n">
        <v>129</v>
      </c>
      <c r="N354" s="39" t="n">
        <v>98</v>
      </c>
      <c r="O354" s="39" t="n">
        <v>29</v>
      </c>
      <c r="P354" s="39" t="n">
        <v>0</v>
      </c>
      <c r="Q354" s="39" t="n">
        <v>0</v>
      </c>
      <c r="R354" s="39" t="n">
        <v>0</v>
      </c>
      <c r="S354" s="39" t="n">
        <v>0</v>
      </c>
      <c r="T354" s="40" t="n">
        <f aca="false">IF(M354=0,0,N354/M354)</f>
        <v>0.75968992248062</v>
      </c>
      <c r="U354" s="40" t="n">
        <f aca="false">IF(M354=0,0,O354/M354)</f>
        <v>0.224806201550388</v>
      </c>
      <c r="V354" s="41" t="n">
        <f aca="false">IF(M354=0,0,P354/M354)</f>
        <v>0</v>
      </c>
      <c r="W354" s="40" t="n">
        <f aca="false">IF(L354=0,0,Q354/L354)</f>
        <v>0</v>
      </c>
    </row>
    <row r="355" customFormat="false" ht="15" hidden="false" customHeight="false" outlineLevel="0" collapsed="false">
      <c r="A355" s="37" t="s">
        <v>1638</v>
      </c>
      <c r="B355" s="38" t="n">
        <v>46134.5594907407</v>
      </c>
      <c r="C355" s="37" t="s">
        <v>1201</v>
      </c>
      <c r="D355" s="37" t="s">
        <v>1453</v>
      </c>
      <c r="E355" s="37" t="s">
        <v>1360</v>
      </c>
      <c r="F355" s="37" t="s">
        <v>544</v>
      </c>
      <c r="G355" s="37"/>
      <c r="H355" s="37" t="s">
        <v>60</v>
      </c>
      <c r="I355" s="37"/>
      <c r="J355" s="37" t="s">
        <v>100</v>
      </c>
      <c r="K355" s="37" t="s">
        <v>1202</v>
      </c>
      <c r="L355" s="39" t="n">
        <v>220</v>
      </c>
      <c r="M355" s="39" t="n">
        <v>220</v>
      </c>
      <c r="N355" s="39" t="n">
        <v>103</v>
      </c>
      <c r="O355" s="39" t="n">
        <v>48</v>
      </c>
      <c r="P355" s="39" t="n">
        <v>0</v>
      </c>
      <c r="Q355" s="39" t="n">
        <v>0</v>
      </c>
      <c r="R355" s="39" t="n">
        <v>0</v>
      </c>
      <c r="S355" s="39" t="n">
        <v>0</v>
      </c>
      <c r="T355" s="40" t="n">
        <f aca="false">IF(M355=0,0,N355/M355)</f>
        <v>0.468181818181818</v>
      </c>
      <c r="U355" s="40" t="n">
        <f aca="false">IF(M355=0,0,O355/M355)</f>
        <v>0.218181818181818</v>
      </c>
      <c r="V355" s="41" t="n">
        <f aca="false">IF(M355=0,0,P355/M355)</f>
        <v>0</v>
      </c>
      <c r="W355" s="40" t="n">
        <f aca="false">IF(L355=0,0,Q355/L355)</f>
        <v>0</v>
      </c>
    </row>
    <row r="356" customFormat="false" ht="15" hidden="false" customHeight="false" outlineLevel="0" collapsed="false">
      <c r="A356" s="37" t="s">
        <v>1639</v>
      </c>
      <c r="B356" s="38" t="n">
        <v>46134.5432175926</v>
      </c>
      <c r="C356" s="37" t="s">
        <v>1252</v>
      </c>
      <c r="D356" s="37" t="s">
        <v>623</v>
      </c>
      <c r="E356" s="37" t="s">
        <v>166</v>
      </c>
      <c r="F356" s="37" t="s">
        <v>555</v>
      </c>
      <c r="G356" s="37" t="s">
        <v>1247</v>
      </c>
      <c r="H356" s="37" t="s">
        <v>60</v>
      </c>
      <c r="I356" s="37"/>
      <c r="J356" s="37" t="s">
        <v>164</v>
      </c>
      <c r="K356" s="37" t="s">
        <v>1202</v>
      </c>
      <c r="L356" s="39" t="n">
        <v>66</v>
      </c>
      <c r="M356" s="39" t="n">
        <v>66</v>
      </c>
      <c r="N356" s="39" t="n">
        <v>33</v>
      </c>
      <c r="O356" s="39" t="n">
        <v>9</v>
      </c>
      <c r="P356" s="39" t="n">
        <v>0</v>
      </c>
      <c r="Q356" s="39" t="n">
        <v>0</v>
      </c>
      <c r="R356" s="39" t="n">
        <v>0</v>
      </c>
      <c r="S356" s="39" t="n">
        <v>0</v>
      </c>
      <c r="T356" s="40" t="n">
        <f aca="false">IF(M356=0,0,N356/M356)</f>
        <v>0.5</v>
      </c>
      <c r="U356" s="40" t="n">
        <f aca="false">IF(M356=0,0,O356/M356)</f>
        <v>0.136363636363636</v>
      </c>
      <c r="V356" s="41" t="n">
        <f aca="false">IF(M356=0,0,P356/M356)</f>
        <v>0</v>
      </c>
      <c r="W356" s="40" t="n">
        <f aca="false">IF(L356=0,0,Q356/L356)</f>
        <v>0</v>
      </c>
    </row>
    <row r="357" customFormat="false" ht="15" hidden="false" customHeight="false" outlineLevel="0" collapsed="false">
      <c r="A357" s="37" t="s">
        <v>1640</v>
      </c>
      <c r="B357" s="38" t="n">
        <v>46134.4115277778</v>
      </c>
      <c r="C357" s="37" t="s">
        <v>1201</v>
      </c>
      <c r="D357" s="37" t="s">
        <v>1562</v>
      </c>
      <c r="E357" s="37" t="s">
        <v>288</v>
      </c>
      <c r="F357" s="37" t="s">
        <v>544</v>
      </c>
      <c r="G357" s="37"/>
      <c r="H357" s="37" t="s">
        <v>60</v>
      </c>
      <c r="I357" s="37"/>
      <c r="J357" s="37" t="s">
        <v>287</v>
      </c>
      <c r="K357" s="37" t="s">
        <v>1202</v>
      </c>
      <c r="L357" s="39" t="n">
        <v>638</v>
      </c>
      <c r="M357" s="39" t="n">
        <v>637</v>
      </c>
      <c r="N357" s="39" t="n">
        <v>219</v>
      </c>
      <c r="O357" s="39" t="n">
        <v>47</v>
      </c>
      <c r="P357" s="39" t="n">
        <v>2</v>
      </c>
      <c r="Q357" s="39" t="n">
        <v>1</v>
      </c>
      <c r="R357" s="39" t="n">
        <v>1</v>
      </c>
      <c r="S357" s="39" t="n">
        <v>0</v>
      </c>
      <c r="T357" s="40" t="n">
        <f aca="false">IF(M357=0,0,N357/M357)</f>
        <v>0.343799058084772</v>
      </c>
      <c r="U357" s="40" t="n">
        <f aca="false">IF(M357=0,0,O357/M357)</f>
        <v>0.0737833594976452</v>
      </c>
      <c r="V357" s="41" t="n">
        <f aca="false">IF(M357=0,0,P357/M357)</f>
        <v>0.00313971742543171</v>
      </c>
      <c r="W357" s="40" t="n">
        <f aca="false">IF(L357=0,0,Q357/L357)</f>
        <v>0.00156739811912226</v>
      </c>
    </row>
    <row r="358" customFormat="false" ht="15" hidden="false" customHeight="false" outlineLevel="0" collapsed="false">
      <c r="A358" s="37" t="s">
        <v>1641</v>
      </c>
      <c r="B358" s="38" t="n">
        <v>46134.2457175926</v>
      </c>
      <c r="C358" s="37" t="s">
        <v>1201</v>
      </c>
      <c r="D358" s="37" t="s">
        <v>185</v>
      </c>
      <c r="E358" s="37" t="s">
        <v>186</v>
      </c>
      <c r="F358" s="37" t="s">
        <v>544</v>
      </c>
      <c r="G358" s="37"/>
      <c r="H358" s="37" t="s">
        <v>60</v>
      </c>
      <c r="I358" s="37"/>
      <c r="J358" s="37" t="s">
        <v>184</v>
      </c>
      <c r="K358" s="37" t="s">
        <v>1202</v>
      </c>
      <c r="L358" s="39" t="n">
        <v>321</v>
      </c>
      <c r="M358" s="39" t="n">
        <v>319</v>
      </c>
      <c r="N358" s="39" t="n">
        <v>58</v>
      </c>
      <c r="O358" s="39" t="n">
        <v>21</v>
      </c>
      <c r="P358" s="39" t="n">
        <v>1</v>
      </c>
      <c r="Q358" s="39" t="n">
        <v>2</v>
      </c>
      <c r="R358" s="39" t="n">
        <v>1</v>
      </c>
      <c r="S358" s="39" t="n">
        <v>0</v>
      </c>
      <c r="T358" s="40" t="n">
        <f aca="false">IF(M358=0,0,N358/M358)</f>
        <v>0.181818181818182</v>
      </c>
      <c r="U358" s="40" t="n">
        <f aca="false">IF(M358=0,0,O358/M358)</f>
        <v>0.0658307210031348</v>
      </c>
      <c r="V358" s="41" t="n">
        <f aca="false">IF(M358=0,0,P358/M358)</f>
        <v>0.00313479623824451</v>
      </c>
      <c r="W358" s="40" t="n">
        <f aca="false">IF(L358=0,0,Q358/L358)</f>
        <v>0.00623052959501558</v>
      </c>
    </row>
    <row r="359" customFormat="false" ht="15" hidden="false" customHeight="false" outlineLevel="0" collapsed="false">
      <c r="A359" s="37" t="s">
        <v>1642</v>
      </c>
      <c r="B359" s="38" t="n">
        <v>46133.9796875</v>
      </c>
      <c r="C359" s="37" t="s">
        <v>1201</v>
      </c>
      <c r="D359" s="37" t="s">
        <v>647</v>
      </c>
      <c r="E359" s="37" t="s">
        <v>238</v>
      </c>
      <c r="F359" s="37" t="s">
        <v>544</v>
      </c>
      <c r="G359" s="37" t="s">
        <v>1107</v>
      </c>
      <c r="H359" s="37" t="s">
        <v>60</v>
      </c>
      <c r="I359" s="37"/>
      <c r="J359" s="37" t="s">
        <v>236</v>
      </c>
      <c r="K359" s="37" t="s">
        <v>1202</v>
      </c>
      <c r="L359" s="39" t="n">
        <v>504</v>
      </c>
      <c r="M359" s="39" t="n">
        <v>501</v>
      </c>
      <c r="N359" s="39" t="n">
        <v>129</v>
      </c>
      <c r="O359" s="39" t="n">
        <v>31</v>
      </c>
      <c r="P359" s="39" t="n">
        <v>2</v>
      </c>
      <c r="Q359" s="39" t="n">
        <v>3</v>
      </c>
      <c r="R359" s="39" t="n">
        <v>3</v>
      </c>
      <c r="S359" s="39" t="n">
        <v>0</v>
      </c>
      <c r="T359" s="40" t="n">
        <f aca="false">IF(M359=0,0,N359/M359)</f>
        <v>0.25748502994012</v>
      </c>
      <c r="U359" s="40" t="n">
        <f aca="false">IF(M359=0,0,O359/M359)</f>
        <v>0.06187624750499</v>
      </c>
      <c r="V359" s="41" t="n">
        <f aca="false">IF(M359=0,0,P359/M359)</f>
        <v>0.00399201596806387</v>
      </c>
      <c r="W359" s="40" t="n">
        <f aca="false">IF(L359=0,0,Q359/L359)</f>
        <v>0.00595238095238095</v>
      </c>
    </row>
    <row r="360" customFormat="false" ht="15" hidden="false" customHeight="false" outlineLevel="0" collapsed="false">
      <c r="A360" s="37" t="s">
        <v>1643</v>
      </c>
      <c r="B360" s="38" t="n">
        <v>46133.9172106482</v>
      </c>
      <c r="C360" s="37" t="s">
        <v>1246</v>
      </c>
      <c r="D360" s="37" t="s">
        <v>152</v>
      </c>
      <c r="E360" s="37" t="s">
        <v>1344</v>
      </c>
      <c r="F360" s="37" t="s">
        <v>152</v>
      </c>
      <c r="G360" s="37"/>
      <c r="H360" s="37" t="s">
        <v>61</v>
      </c>
      <c r="I360" s="37" t="s">
        <v>150</v>
      </c>
      <c r="J360" s="37" t="s">
        <v>151</v>
      </c>
      <c r="K360" s="37" t="s">
        <v>1202</v>
      </c>
      <c r="L360" s="39" t="n">
        <v>706</v>
      </c>
      <c r="M360" s="39" t="n">
        <v>706</v>
      </c>
      <c r="N360" s="39" t="n">
        <v>264</v>
      </c>
      <c r="O360" s="39" t="n">
        <v>92</v>
      </c>
      <c r="P360" s="39" t="n">
        <v>2</v>
      </c>
      <c r="Q360" s="39" t="n">
        <v>0</v>
      </c>
      <c r="R360" s="39" t="n">
        <v>0</v>
      </c>
      <c r="S360" s="39" t="n">
        <v>0</v>
      </c>
      <c r="T360" s="40" t="n">
        <f aca="false">IF(M360=0,0,N360/M360)</f>
        <v>0.373937677053824</v>
      </c>
      <c r="U360" s="40" t="n">
        <f aca="false">IF(M360=0,0,O360/M360)</f>
        <v>0.130311614730878</v>
      </c>
      <c r="V360" s="41" t="n">
        <f aca="false">IF(M360=0,0,P360/M360)</f>
        <v>0.0028328611898017</v>
      </c>
      <c r="W360" s="40" t="n">
        <f aca="false">IF(L360=0,0,Q360/L360)</f>
        <v>0</v>
      </c>
    </row>
    <row r="361" customFormat="false" ht="15" hidden="false" customHeight="false" outlineLevel="0" collapsed="false">
      <c r="A361" s="37" t="s">
        <v>1644</v>
      </c>
      <c r="B361" s="38" t="n">
        <v>46133.5214930556</v>
      </c>
      <c r="C361" s="37" t="s">
        <v>1252</v>
      </c>
      <c r="D361" s="37" t="s">
        <v>217</v>
      </c>
      <c r="E361" s="37" t="s">
        <v>193</v>
      </c>
      <c r="F361" s="37" t="s">
        <v>555</v>
      </c>
      <c r="G361" s="37" t="s">
        <v>1119</v>
      </c>
      <c r="H361" s="37" t="s">
        <v>60</v>
      </c>
      <c r="I361" s="37" t="s">
        <v>216</v>
      </c>
      <c r="J361" s="37" t="s">
        <v>191</v>
      </c>
      <c r="K361" s="37" t="s">
        <v>1202</v>
      </c>
      <c r="L361" s="39" t="n">
        <v>2968</v>
      </c>
      <c r="M361" s="39" t="n">
        <v>2914</v>
      </c>
      <c r="N361" s="39" t="n">
        <v>422</v>
      </c>
      <c r="O361" s="39" t="n">
        <v>30</v>
      </c>
      <c r="P361" s="39" t="n">
        <v>5</v>
      </c>
      <c r="Q361" s="39" t="n">
        <v>54</v>
      </c>
      <c r="R361" s="39" t="n">
        <v>28</v>
      </c>
      <c r="S361" s="39" t="n">
        <v>0</v>
      </c>
      <c r="T361" s="40" t="n">
        <f aca="false">IF(M361=0,0,N361/M361)</f>
        <v>0.144818119423473</v>
      </c>
      <c r="U361" s="40" t="n">
        <f aca="false">IF(M361=0,0,O361/M361)</f>
        <v>0.0102951269732327</v>
      </c>
      <c r="V361" s="41" t="n">
        <f aca="false">IF(M361=0,0,P361/M361)</f>
        <v>0.00171585449553878</v>
      </c>
      <c r="W361" s="40" t="n">
        <f aca="false">IF(L361=0,0,Q361/L361)</f>
        <v>0.0181940700808625</v>
      </c>
    </row>
    <row r="362" customFormat="false" ht="15" hidden="false" customHeight="false" outlineLevel="0" collapsed="false">
      <c r="A362" s="37" t="s">
        <v>1645</v>
      </c>
      <c r="B362" s="38" t="n">
        <v>46133.2596180556</v>
      </c>
      <c r="C362" s="37" t="s">
        <v>1201</v>
      </c>
      <c r="D362" s="37" t="s">
        <v>1646</v>
      </c>
      <c r="E362" s="37" t="s">
        <v>193</v>
      </c>
      <c r="F362" s="37" t="s">
        <v>544</v>
      </c>
      <c r="G362" s="37"/>
      <c r="H362" s="37" t="s">
        <v>60</v>
      </c>
      <c r="I362" s="37"/>
      <c r="J362" s="37" t="s">
        <v>100</v>
      </c>
      <c r="K362" s="37" t="s">
        <v>1202</v>
      </c>
      <c r="L362" s="39" t="n">
        <v>22</v>
      </c>
      <c r="M362" s="39" t="n">
        <v>22</v>
      </c>
      <c r="N362" s="39" t="n">
        <v>13</v>
      </c>
      <c r="O362" s="39" t="n">
        <v>6</v>
      </c>
      <c r="P362" s="39" t="n">
        <v>0</v>
      </c>
      <c r="Q362" s="39" t="n">
        <v>0</v>
      </c>
      <c r="R362" s="39" t="n">
        <v>0</v>
      </c>
      <c r="S362" s="39" t="n">
        <v>0</v>
      </c>
      <c r="T362" s="40" t="n">
        <f aca="false">IF(M362=0,0,N362/M362)</f>
        <v>0.590909090909091</v>
      </c>
      <c r="U362" s="40" t="n">
        <f aca="false">IF(M362=0,0,O362/M362)</f>
        <v>0.272727272727273</v>
      </c>
      <c r="V362" s="41" t="n">
        <f aca="false">IF(M362=0,0,P362/M362)</f>
        <v>0</v>
      </c>
      <c r="W362" s="40" t="n">
        <f aca="false">IF(L362=0,0,Q362/L362)</f>
        <v>0</v>
      </c>
    </row>
    <row r="363" customFormat="false" ht="15" hidden="false" customHeight="false" outlineLevel="0" collapsed="false">
      <c r="A363" s="37" t="s">
        <v>1647</v>
      </c>
      <c r="B363" s="38" t="n">
        <v>46133.2578125</v>
      </c>
      <c r="C363" s="37" t="s">
        <v>1201</v>
      </c>
      <c r="D363" s="37" t="s">
        <v>1646</v>
      </c>
      <c r="E363" s="37" t="s">
        <v>193</v>
      </c>
      <c r="F363" s="37" t="s">
        <v>544</v>
      </c>
      <c r="G363" s="37"/>
      <c r="H363" s="37" t="s">
        <v>60</v>
      </c>
      <c r="I363" s="37"/>
      <c r="J363" s="37" t="s">
        <v>100</v>
      </c>
      <c r="K363" s="37" t="s">
        <v>1202</v>
      </c>
      <c r="L363" s="39" t="n">
        <v>5</v>
      </c>
      <c r="M363" s="39" t="n">
        <v>5</v>
      </c>
      <c r="N363" s="39" t="n">
        <v>0</v>
      </c>
      <c r="O363" s="39" t="n">
        <v>0</v>
      </c>
      <c r="P363" s="39" t="n">
        <v>0</v>
      </c>
      <c r="Q363" s="39" t="n">
        <v>0</v>
      </c>
      <c r="R363" s="39" t="n">
        <v>0</v>
      </c>
      <c r="S363" s="39" t="n">
        <v>0</v>
      </c>
      <c r="T363" s="40" t="n">
        <f aca="false">IF(M363=0,0,N363/M363)</f>
        <v>0</v>
      </c>
      <c r="U363" s="40" t="n">
        <f aca="false">IF(M363=0,0,O363/M363)</f>
        <v>0</v>
      </c>
      <c r="V363" s="41" t="n">
        <f aca="false">IF(M363=0,0,P363/M363)</f>
        <v>0</v>
      </c>
      <c r="W363" s="40" t="n">
        <f aca="false">IF(L363=0,0,Q363/L363)</f>
        <v>0</v>
      </c>
    </row>
    <row r="364" customFormat="false" ht="15" hidden="false" customHeight="false" outlineLevel="0" collapsed="false">
      <c r="A364" s="37" t="s">
        <v>1648</v>
      </c>
      <c r="B364" s="38" t="n">
        <v>46133.0211689815</v>
      </c>
      <c r="C364" s="37" t="s">
        <v>1201</v>
      </c>
      <c r="D364" s="37" t="s">
        <v>1475</v>
      </c>
      <c r="E364" s="37" t="s">
        <v>1373</v>
      </c>
      <c r="F364" s="37" t="s">
        <v>537</v>
      </c>
      <c r="G364" s="37"/>
      <c r="H364" s="37" t="s">
        <v>64</v>
      </c>
      <c r="I364" s="37"/>
      <c r="J364" s="37" t="s">
        <v>296</v>
      </c>
      <c r="K364" s="37" t="s">
        <v>1202</v>
      </c>
      <c r="L364" s="39" t="n">
        <v>2</v>
      </c>
      <c r="M364" s="39" t="n">
        <v>2</v>
      </c>
      <c r="N364" s="39" t="n">
        <v>1</v>
      </c>
      <c r="O364" s="39" t="n">
        <v>0</v>
      </c>
      <c r="P364" s="39" t="n">
        <v>0</v>
      </c>
      <c r="Q364" s="39" t="n">
        <v>0</v>
      </c>
      <c r="R364" s="39" t="n">
        <v>0</v>
      </c>
      <c r="S364" s="39" t="n">
        <v>0</v>
      </c>
      <c r="T364" s="40" t="n">
        <f aca="false">IF(M364=0,0,N364/M364)</f>
        <v>0.5</v>
      </c>
      <c r="U364" s="40" t="n">
        <f aca="false">IF(M364=0,0,O364/M364)</f>
        <v>0</v>
      </c>
      <c r="V364" s="41" t="n">
        <f aca="false">IF(M364=0,0,P364/M364)</f>
        <v>0</v>
      </c>
      <c r="W364" s="40" t="n">
        <f aca="false">IF(L364=0,0,Q364/L364)</f>
        <v>0</v>
      </c>
    </row>
    <row r="365" customFormat="false" ht="15" hidden="false" customHeight="false" outlineLevel="0" collapsed="false">
      <c r="A365" s="37" t="s">
        <v>1649</v>
      </c>
      <c r="B365" s="38" t="n">
        <v>46133.0209606482</v>
      </c>
      <c r="C365" s="37" t="s">
        <v>1201</v>
      </c>
      <c r="D365" s="37" t="s">
        <v>1372</v>
      </c>
      <c r="E365" s="37" t="s">
        <v>1373</v>
      </c>
      <c r="F365" s="37" t="s">
        <v>537</v>
      </c>
      <c r="G365" s="37"/>
      <c r="H365" s="37" t="s">
        <v>63</v>
      </c>
      <c r="I365" s="37"/>
      <c r="J365" s="37" t="s">
        <v>296</v>
      </c>
      <c r="K365" s="37" t="s">
        <v>1202</v>
      </c>
      <c r="L365" s="39" t="n">
        <v>2</v>
      </c>
      <c r="M365" s="39" t="n">
        <v>2</v>
      </c>
      <c r="N365" s="39" t="n">
        <v>1</v>
      </c>
      <c r="O365" s="39" t="n">
        <v>0</v>
      </c>
      <c r="P365" s="39" t="n">
        <v>0</v>
      </c>
      <c r="Q365" s="39" t="n">
        <v>0</v>
      </c>
      <c r="R365" s="39" t="n">
        <v>0</v>
      </c>
      <c r="S365" s="39" t="n">
        <v>0</v>
      </c>
      <c r="T365" s="40" t="n">
        <f aca="false">IF(M365=0,0,N365/M365)</f>
        <v>0.5</v>
      </c>
      <c r="U365" s="40" t="n">
        <f aca="false">IF(M365=0,0,O365/M365)</f>
        <v>0</v>
      </c>
      <c r="V365" s="41" t="n">
        <f aca="false">IF(M365=0,0,P365/M365)</f>
        <v>0</v>
      </c>
      <c r="W365" s="40" t="n">
        <f aca="false">IF(L365=0,0,Q365/L365)</f>
        <v>0</v>
      </c>
    </row>
    <row r="366" customFormat="false" ht="15" hidden="false" customHeight="false" outlineLevel="0" collapsed="false">
      <c r="A366" s="37" t="s">
        <v>1650</v>
      </c>
      <c r="B366" s="38" t="n">
        <v>46132.9798148148</v>
      </c>
      <c r="C366" s="37" t="s">
        <v>1201</v>
      </c>
      <c r="D366" s="37" t="s">
        <v>237</v>
      </c>
      <c r="E366" s="37" t="s">
        <v>238</v>
      </c>
      <c r="F366" s="37" t="s">
        <v>559</v>
      </c>
      <c r="G366" s="37" t="s">
        <v>1297</v>
      </c>
      <c r="H366" s="37" t="s">
        <v>60</v>
      </c>
      <c r="I366" s="37" t="s">
        <v>234</v>
      </c>
      <c r="J366" s="37" t="s">
        <v>236</v>
      </c>
      <c r="K366" s="37" t="s">
        <v>1202</v>
      </c>
      <c r="L366" s="39" t="n">
        <v>3200</v>
      </c>
      <c r="M366" s="39" t="n">
        <v>3192</v>
      </c>
      <c r="N366" s="39" t="n">
        <v>598</v>
      </c>
      <c r="O366" s="39" t="n">
        <v>66</v>
      </c>
      <c r="P366" s="39" t="n">
        <v>16</v>
      </c>
      <c r="Q366" s="39" t="n">
        <v>8</v>
      </c>
      <c r="R366" s="39" t="n">
        <v>3</v>
      </c>
      <c r="S366" s="39" t="n">
        <v>0</v>
      </c>
      <c r="T366" s="40" t="n">
        <f aca="false">IF(M366=0,0,N366/M366)</f>
        <v>0.18734335839599</v>
      </c>
      <c r="U366" s="40" t="n">
        <f aca="false">IF(M366=0,0,O366/M366)</f>
        <v>0.0206766917293233</v>
      </c>
      <c r="V366" s="41" t="n">
        <f aca="false">IF(M366=0,0,P366/M366)</f>
        <v>0.0050125313283208</v>
      </c>
      <c r="W366" s="40" t="n">
        <f aca="false">IF(L366=0,0,Q366/L366)</f>
        <v>0.0025</v>
      </c>
    </row>
    <row r="367" customFormat="false" ht="15" hidden="false" customHeight="false" outlineLevel="0" collapsed="false">
      <c r="A367" s="37" t="s">
        <v>1651</v>
      </c>
      <c r="B367" s="38" t="n">
        <v>46132.5802430556</v>
      </c>
      <c r="C367" s="37" t="s">
        <v>1201</v>
      </c>
      <c r="D367" s="37" t="s">
        <v>1211</v>
      </c>
      <c r="E367" s="37" t="s">
        <v>1212</v>
      </c>
      <c r="F367" s="37" t="s">
        <v>544</v>
      </c>
      <c r="G367" s="37"/>
      <c r="H367" s="37" t="s">
        <v>60</v>
      </c>
      <c r="I367" s="37"/>
      <c r="J367" s="37" t="s">
        <v>100</v>
      </c>
      <c r="K367" s="37" t="s">
        <v>1213</v>
      </c>
      <c r="L367" s="39" t="n">
        <v>129</v>
      </c>
      <c r="M367" s="39" t="n">
        <v>129</v>
      </c>
      <c r="N367" s="39" t="n">
        <v>84</v>
      </c>
      <c r="O367" s="39" t="n">
        <v>21</v>
      </c>
      <c r="P367" s="39" t="n">
        <v>0</v>
      </c>
      <c r="Q367" s="39" t="n">
        <v>0</v>
      </c>
      <c r="R367" s="39" t="n">
        <v>0</v>
      </c>
      <c r="S367" s="39" t="n">
        <v>0</v>
      </c>
      <c r="T367" s="40" t="n">
        <f aca="false">IF(M367=0,0,N367/M367)</f>
        <v>0.651162790697675</v>
      </c>
      <c r="U367" s="40" t="n">
        <f aca="false">IF(M367=0,0,O367/M367)</f>
        <v>0.162790697674419</v>
      </c>
      <c r="V367" s="41" t="n">
        <f aca="false">IF(M367=0,0,P367/M367)</f>
        <v>0</v>
      </c>
      <c r="W367" s="40" t="n">
        <f aca="false">IF(L367=0,0,Q367/L367)</f>
        <v>0</v>
      </c>
    </row>
    <row r="368" customFormat="false" ht="15" hidden="false" customHeight="false" outlineLevel="0" collapsed="false">
      <c r="A368" s="37" t="s">
        <v>1652</v>
      </c>
      <c r="B368" s="38" t="n">
        <v>46131.8231365741</v>
      </c>
      <c r="C368" s="37" t="s">
        <v>1201</v>
      </c>
      <c r="D368" s="37" t="s">
        <v>127</v>
      </c>
      <c r="E368" s="37" t="s">
        <v>178</v>
      </c>
      <c r="F368" s="37" t="s">
        <v>127</v>
      </c>
      <c r="G368" s="37"/>
      <c r="H368" s="37" t="s">
        <v>61</v>
      </c>
      <c r="I368" s="37" t="s">
        <v>177</v>
      </c>
      <c r="J368" s="37" t="s">
        <v>126</v>
      </c>
      <c r="K368" s="37" t="s">
        <v>1202</v>
      </c>
      <c r="L368" s="39" t="n">
        <v>288</v>
      </c>
      <c r="M368" s="39" t="n">
        <v>283</v>
      </c>
      <c r="N368" s="39" t="n">
        <v>107</v>
      </c>
      <c r="O368" s="39" t="n">
        <v>18</v>
      </c>
      <c r="P368" s="39" t="n">
        <v>2</v>
      </c>
      <c r="Q368" s="39" t="n">
        <v>5</v>
      </c>
      <c r="R368" s="39" t="n">
        <v>0</v>
      </c>
      <c r="S368" s="39" t="n">
        <v>0</v>
      </c>
      <c r="T368" s="40" t="n">
        <f aca="false">IF(M368=0,0,N368/M368)</f>
        <v>0.378091872791519</v>
      </c>
      <c r="U368" s="40" t="n">
        <f aca="false">IF(M368=0,0,O368/M368)</f>
        <v>0.0636042402826855</v>
      </c>
      <c r="V368" s="41" t="n">
        <f aca="false">IF(M368=0,0,P368/M368)</f>
        <v>0.00706713780918728</v>
      </c>
      <c r="W368" s="40" t="n">
        <f aca="false">IF(L368=0,0,Q368/L368)</f>
        <v>0.0173611111111111</v>
      </c>
    </row>
    <row r="369" customFormat="false" ht="15" hidden="false" customHeight="false" outlineLevel="0" collapsed="false">
      <c r="A369" s="37" t="s">
        <v>1653</v>
      </c>
      <c r="B369" s="38" t="n">
        <v>46130.3649652778</v>
      </c>
      <c r="C369" s="37" t="s">
        <v>1201</v>
      </c>
      <c r="D369" s="37" t="s">
        <v>1475</v>
      </c>
      <c r="E369" s="37" t="s">
        <v>1373</v>
      </c>
      <c r="F369" s="37" t="s">
        <v>537</v>
      </c>
      <c r="G369" s="37"/>
      <c r="H369" s="37" t="s">
        <v>64</v>
      </c>
      <c r="I369" s="37"/>
      <c r="J369" s="37" t="s">
        <v>296</v>
      </c>
      <c r="K369" s="37" t="s">
        <v>1202</v>
      </c>
      <c r="L369" s="39" t="n">
        <v>2</v>
      </c>
      <c r="M369" s="39" t="n">
        <v>2</v>
      </c>
      <c r="N369" s="39" t="n">
        <v>1</v>
      </c>
      <c r="O369" s="39" t="n">
        <v>0</v>
      </c>
      <c r="P369" s="39" t="n">
        <v>0</v>
      </c>
      <c r="Q369" s="39" t="n">
        <v>0</v>
      </c>
      <c r="R369" s="39" t="n">
        <v>0</v>
      </c>
      <c r="S369" s="39" t="n">
        <v>0</v>
      </c>
      <c r="T369" s="40" t="n">
        <f aca="false">IF(M369=0,0,N369/M369)</f>
        <v>0.5</v>
      </c>
      <c r="U369" s="40" t="n">
        <f aca="false">IF(M369=0,0,O369/M369)</f>
        <v>0</v>
      </c>
      <c r="V369" s="41" t="n">
        <f aca="false">IF(M369=0,0,P369/M369)</f>
        <v>0</v>
      </c>
      <c r="W369" s="40" t="n">
        <f aca="false">IF(L369=0,0,Q369/L369)</f>
        <v>0</v>
      </c>
    </row>
    <row r="370" customFormat="false" ht="15" hidden="false" customHeight="false" outlineLevel="0" collapsed="false">
      <c r="A370" s="37" t="s">
        <v>1654</v>
      </c>
      <c r="B370" s="38" t="n">
        <v>46129.5389351852</v>
      </c>
      <c r="C370" s="37" t="s">
        <v>1201</v>
      </c>
      <c r="D370" s="37" t="s">
        <v>623</v>
      </c>
      <c r="E370" s="37" t="s">
        <v>166</v>
      </c>
      <c r="F370" s="37" t="s">
        <v>555</v>
      </c>
      <c r="G370" s="37" t="s">
        <v>1121</v>
      </c>
      <c r="H370" s="37" t="s">
        <v>61</v>
      </c>
      <c r="I370" s="37" t="s">
        <v>163</v>
      </c>
      <c r="J370" s="37" t="s">
        <v>164</v>
      </c>
      <c r="K370" s="37" t="s">
        <v>1202</v>
      </c>
      <c r="L370" s="39" t="n">
        <v>1332</v>
      </c>
      <c r="M370" s="39" t="n">
        <v>1326</v>
      </c>
      <c r="N370" s="39" t="n">
        <v>583</v>
      </c>
      <c r="O370" s="39" t="n">
        <v>45</v>
      </c>
      <c r="P370" s="39" t="n">
        <v>9</v>
      </c>
      <c r="Q370" s="39" t="n">
        <v>6</v>
      </c>
      <c r="R370" s="39" t="n">
        <v>3</v>
      </c>
      <c r="S370" s="39" t="n">
        <v>0</v>
      </c>
      <c r="T370" s="40" t="n">
        <f aca="false">IF(M370=0,0,N370/M370)</f>
        <v>0.439668174962293</v>
      </c>
      <c r="U370" s="40" t="n">
        <f aca="false">IF(M370=0,0,O370/M370)</f>
        <v>0.0339366515837104</v>
      </c>
      <c r="V370" s="41" t="n">
        <f aca="false">IF(M370=0,0,P370/M370)</f>
        <v>0.00678733031674208</v>
      </c>
      <c r="W370" s="40" t="n">
        <f aca="false">IF(L370=0,0,Q370/L370)</f>
        <v>0.0045045045045045</v>
      </c>
    </row>
    <row r="371" customFormat="false" ht="15" hidden="false" customHeight="false" outlineLevel="0" collapsed="false">
      <c r="A371" s="37" t="s">
        <v>1655</v>
      </c>
      <c r="B371" s="38" t="n">
        <v>46129.4995717593</v>
      </c>
      <c r="C371" s="37" t="s">
        <v>1201</v>
      </c>
      <c r="D371" s="37" t="s">
        <v>166</v>
      </c>
      <c r="E371" s="37" t="s">
        <v>166</v>
      </c>
      <c r="F371" s="37" t="s">
        <v>555</v>
      </c>
      <c r="G371" s="37" t="s">
        <v>1656</v>
      </c>
      <c r="H371" s="37" t="s">
        <v>61</v>
      </c>
      <c r="I371" s="37" t="s">
        <v>270</v>
      </c>
      <c r="J371" s="37" t="s">
        <v>164</v>
      </c>
      <c r="K371" s="37" t="s">
        <v>1202</v>
      </c>
      <c r="L371" s="39" t="n">
        <v>84</v>
      </c>
      <c r="M371" s="39" t="n">
        <v>84</v>
      </c>
      <c r="N371" s="39" t="n">
        <v>35</v>
      </c>
      <c r="O371" s="39" t="n">
        <v>5</v>
      </c>
      <c r="P371" s="39" t="n">
        <v>0</v>
      </c>
      <c r="Q371" s="39" t="n">
        <v>0</v>
      </c>
      <c r="R371" s="39" t="n">
        <v>0</v>
      </c>
      <c r="S371" s="39" t="n">
        <v>0</v>
      </c>
      <c r="T371" s="40" t="n">
        <f aca="false">IF(M371=0,0,N371/M371)</f>
        <v>0.416666666666667</v>
      </c>
      <c r="U371" s="40" t="n">
        <f aca="false">IF(M371=0,0,O371/M371)</f>
        <v>0.0595238095238095</v>
      </c>
      <c r="V371" s="41" t="n">
        <f aca="false">IF(M371=0,0,P371/M371)</f>
        <v>0</v>
      </c>
      <c r="W371" s="40" t="n">
        <f aca="false">IF(L371=0,0,Q371/L371)</f>
        <v>0</v>
      </c>
    </row>
    <row r="372" customFormat="false" ht="15" hidden="false" customHeight="false" outlineLevel="0" collapsed="false">
      <c r="A372" s="37" t="s">
        <v>1657</v>
      </c>
      <c r="B372" s="38" t="n">
        <v>46129.4911226852</v>
      </c>
      <c r="C372" s="37" t="s">
        <v>1201</v>
      </c>
      <c r="D372" s="37" t="s">
        <v>1211</v>
      </c>
      <c r="E372" s="37" t="s">
        <v>1212</v>
      </c>
      <c r="F372" s="37" t="s">
        <v>544</v>
      </c>
      <c r="G372" s="37"/>
      <c r="H372" s="37" t="s">
        <v>60</v>
      </c>
      <c r="I372" s="37"/>
      <c r="J372" s="37" t="s">
        <v>100</v>
      </c>
      <c r="K372" s="37" t="s">
        <v>1213</v>
      </c>
      <c r="L372" s="39" t="n">
        <v>132</v>
      </c>
      <c r="M372" s="39" t="n">
        <v>131</v>
      </c>
      <c r="N372" s="39" t="n">
        <v>79</v>
      </c>
      <c r="O372" s="39" t="n">
        <v>3</v>
      </c>
      <c r="P372" s="39" t="n">
        <v>0</v>
      </c>
      <c r="Q372" s="39" t="n">
        <v>1</v>
      </c>
      <c r="R372" s="39" t="n">
        <v>1</v>
      </c>
      <c r="S372" s="39" t="n">
        <v>0</v>
      </c>
      <c r="T372" s="40" t="n">
        <f aca="false">IF(M372=0,0,N372/M372)</f>
        <v>0.603053435114504</v>
      </c>
      <c r="U372" s="40" t="n">
        <f aca="false">IF(M372=0,0,O372/M372)</f>
        <v>0.0229007633587786</v>
      </c>
      <c r="V372" s="41" t="n">
        <f aca="false">IF(M372=0,0,P372/M372)</f>
        <v>0</v>
      </c>
      <c r="W372" s="40" t="n">
        <f aca="false">IF(L372=0,0,Q372/L372)</f>
        <v>0.00757575757575758</v>
      </c>
    </row>
    <row r="373" customFormat="false" ht="15" hidden="false" customHeight="false" outlineLevel="0" collapsed="false">
      <c r="A373" s="37" t="s">
        <v>1658</v>
      </c>
      <c r="B373" s="38" t="n">
        <v>46129.4853356482</v>
      </c>
      <c r="C373" s="37" t="s">
        <v>1201</v>
      </c>
      <c r="D373" s="37" t="s">
        <v>1392</v>
      </c>
      <c r="E373" s="37" t="s">
        <v>166</v>
      </c>
      <c r="F373" s="37" t="s">
        <v>555</v>
      </c>
      <c r="G373" s="37" t="s">
        <v>1393</v>
      </c>
      <c r="H373" s="37" t="s">
        <v>61</v>
      </c>
      <c r="I373" s="37" t="s">
        <v>260</v>
      </c>
      <c r="J373" s="37" t="s">
        <v>164</v>
      </c>
      <c r="K373" s="37" t="s">
        <v>1202</v>
      </c>
      <c r="L373" s="39" t="n">
        <v>21</v>
      </c>
      <c r="M373" s="39" t="n">
        <v>21</v>
      </c>
      <c r="N373" s="39" t="n">
        <v>16</v>
      </c>
      <c r="O373" s="39" t="n">
        <v>8</v>
      </c>
      <c r="P373" s="39" t="n">
        <v>0</v>
      </c>
      <c r="Q373" s="39" t="n">
        <v>0</v>
      </c>
      <c r="R373" s="39" t="n">
        <v>0</v>
      </c>
      <c r="S373" s="39" t="n">
        <v>0</v>
      </c>
      <c r="T373" s="40" t="n">
        <f aca="false">IF(M373=0,0,N373/M373)</f>
        <v>0.761904761904762</v>
      </c>
      <c r="U373" s="40" t="n">
        <f aca="false">IF(M373=0,0,O373/M373)</f>
        <v>0.380952380952381</v>
      </c>
      <c r="V373" s="41" t="n">
        <f aca="false">IF(M373=0,0,P373/M373)</f>
        <v>0</v>
      </c>
      <c r="W373" s="40" t="n">
        <f aca="false">IF(L373=0,0,Q373/L373)</f>
        <v>0</v>
      </c>
    </row>
    <row r="374" customFormat="false" ht="15" hidden="false" customHeight="false" outlineLevel="0" collapsed="false">
      <c r="A374" s="37" t="s">
        <v>1659</v>
      </c>
      <c r="B374" s="38" t="n">
        <v>46129.354525463</v>
      </c>
      <c r="C374" s="37" t="s">
        <v>1201</v>
      </c>
      <c r="D374" s="37" t="s">
        <v>1475</v>
      </c>
      <c r="E374" s="37" t="s">
        <v>1373</v>
      </c>
      <c r="F374" s="37" t="s">
        <v>537</v>
      </c>
      <c r="G374" s="37"/>
      <c r="H374" s="37" t="s">
        <v>64</v>
      </c>
      <c r="I374" s="37"/>
      <c r="J374" s="37" t="s">
        <v>296</v>
      </c>
      <c r="K374" s="37" t="s">
        <v>1202</v>
      </c>
      <c r="L374" s="39" t="n">
        <v>2</v>
      </c>
      <c r="M374" s="39" t="n">
        <v>2</v>
      </c>
      <c r="N374" s="39" t="n">
        <v>1</v>
      </c>
      <c r="O374" s="39" t="n">
        <v>0</v>
      </c>
      <c r="P374" s="39" t="n">
        <v>0</v>
      </c>
      <c r="Q374" s="39" t="n">
        <v>0</v>
      </c>
      <c r="R374" s="39" t="n">
        <v>0</v>
      </c>
      <c r="S374" s="39" t="n">
        <v>0</v>
      </c>
      <c r="T374" s="40" t="n">
        <f aca="false">IF(M374=0,0,N374/M374)</f>
        <v>0.5</v>
      </c>
      <c r="U374" s="40" t="n">
        <f aca="false">IF(M374=0,0,O374/M374)</f>
        <v>0</v>
      </c>
      <c r="V374" s="41" t="n">
        <f aca="false">IF(M374=0,0,P374/M374)</f>
        <v>0</v>
      </c>
      <c r="W374" s="40" t="n">
        <f aca="false">IF(L374=0,0,Q374/L374)</f>
        <v>0</v>
      </c>
    </row>
    <row r="375" customFormat="false" ht="15" hidden="false" customHeight="false" outlineLevel="0" collapsed="false">
      <c r="A375" s="37" t="s">
        <v>1660</v>
      </c>
      <c r="B375" s="38" t="n">
        <v>46128.4887152778</v>
      </c>
      <c r="C375" s="37" t="s">
        <v>1241</v>
      </c>
      <c r="D375" s="37" t="s">
        <v>1242</v>
      </c>
      <c r="E375" s="37" t="s">
        <v>1250</v>
      </c>
      <c r="F375" s="37" t="s">
        <v>555</v>
      </c>
      <c r="G375" s="37"/>
      <c r="H375" s="37" t="s">
        <v>65</v>
      </c>
      <c r="I375" s="37"/>
      <c r="J375" s="37" t="s">
        <v>354</v>
      </c>
      <c r="K375" s="37" t="s">
        <v>1202</v>
      </c>
      <c r="L375" s="39" t="n">
        <v>19</v>
      </c>
      <c r="M375" s="39" t="n">
        <v>19</v>
      </c>
      <c r="N375" s="39" t="n">
        <v>11</v>
      </c>
      <c r="O375" s="39" t="n">
        <v>5</v>
      </c>
      <c r="P375" s="39" t="n">
        <v>0</v>
      </c>
      <c r="Q375" s="39" t="n">
        <v>0</v>
      </c>
      <c r="R375" s="39" t="n">
        <v>0</v>
      </c>
      <c r="S375" s="39" t="n">
        <v>0</v>
      </c>
      <c r="T375" s="40" t="n">
        <f aca="false">IF(M375=0,0,N375/M375)</f>
        <v>0.578947368421053</v>
      </c>
      <c r="U375" s="40" t="n">
        <f aca="false">IF(M375=0,0,O375/M375)</f>
        <v>0.263157894736842</v>
      </c>
      <c r="V375" s="41" t="n">
        <f aca="false">IF(M375=0,0,P375/M375)</f>
        <v>0</v>
      </c>
      <c r="W375" s="40" t="n">
        <f aca="false">IF(L375=0,0,Q375/L375)</f>
        <v>0</v>
      </c>
    </row>
    <row r="376" customFormat="false" ht="15" hidden="false" customHeight="false" outlineLevel="0" collapsed="false">
      <c r="A376" s="37" t="s">
        <v>1661</v>
      </c>
      <c r="B376" s="38" t="n">
        <v>46128.4846412037</v>
      </c>
      <c r="C376" s="37" t="s">
        <v>1201</v>
      </c>
      <c r="D376" s="37" t="s">
        <v>1237</v>
      </c>
      <c r="E376" s="37" t="s">
        <v>1237</v>
      </c>
      <c r="F376" s="37" t="s">
        <v>555</v>
      </c>
      <c r="G376" s="37"/>
      <c r="H376" s="37" t="s">
        <v>60</v>
      </c>
      <c r="I376" s="37"/>
      <c r="J376" s="37" t="s">
        <v>430</v>
      </c>
      <c r="K376" s="37" t="s">
        <v>8</v>
      </c>
      <c r="L376" s="39" t="n">
        <v>561</v>
      </c>
      <c r="M376" s="39" t="n">
        <v>561</v>
      </c>
      <c r="N376" s="39" t="n">
        <v>229</v>
      </c>
      <c r="O376" s="39" t="n">
        <v>0</v>
      </c>
      <c r="P376" s="39" t="n">
        <v>0</v>
      </c>
      <c r="Q376" s="39" t="n">
        <v>0</v>
      </c>
      <c r="R376" s="39" t="n">
        <v>0</v>
      </c>
      <c r="S376" s="39" t="n">
        <v>0</v>
      </c>
      <c r="T376" s="40" t="n">
        <f aca="false">IF(M376=0,0,N376/M376)</f>
        <v>0.408199643493761</v>
      </c>
      <c r="U376" s="40" t="n">
        <f aca="false">IF(M376=0,0,O376/M376)</f>
        <v>0</v>
      </c>
      <c r="V376" s="41" t="n">
        <f aca="false">IF(M376=0,0,P376/M376)</f>
        <v>0</v>
      </c>
      <c r="W376" s="40" t="n">
        <f aca="false">IF(L376=0,0,Q376/L376)</f>
        <v>0</v>
      </c>
    </row>
    <row r="377" customFormat="false" ht="15" hidden="false" customHeight="false" outlineLevel="0" collapsed="false">
      <c r="A377" s="37" t="s">
        <v>1662</v>
      </c>
      <c r="B377" s="38" t="n">
        <v>46128.396087963</v>
      </c>
      <c r="C377" s="37" t="s">
        <v>1201</v>
      </c>
      <c r="D377" s="37" t="s">
        <v>1233</v>
      </c>
      <c r="E377" s="37" t="s">
        <v>1233</v>
      </c>
      <c r="F377" s="37" t="s">
        <v>544</v>
      </c>
      <c r="G377" s="37"/>
      <c r="H377" s="37" t="s">
        <v>60</v>
      </c>
      <c r="I377" s="37"/>
      <c r="J377" s="37" t="s">
        <v>100</v>
      </c>
      <c r="K377" s="37" t="s">
        <v>1202</v>
      </c>
      <c r="L377" s="39" t="n">
        <v>338</v>
      </c>
      <c r="M377" s="39" t="n">
        <v>330</v>
      </c>
      <c r="N377" s="39" t="n">
        <v>145</v>
      </c>
      <c r="O377" s="39" t="n">
        <v>50</v>
      </c>
      <c r="P377" s="39" t="n">
        <v>4</v>
      </c>
      <c r="Q377" s="39" t="n">
        <v>8</v>
      </c>
      <c r="R377" s="39" t="n">
        <v>8</v>
      </c>
      <c r="S377" s="39" t="n">
        <v>0</v>
      </c>
      <c r="T377" s="40" t="n">
        <f aca="false">IF(M377=0,0,N377/M377)</f>
        <v>0.439393939393939</v>
      </c>
      <c r="U377" s="40" t="n">
        <f aca="false">IF(M377=0,0,O377/M377)</f>
        <v>0.151515151515152</v>
      </c>
      <c r="V377" s="41" t="n">
        <f aca="false">IF(M377=0,0,P377/M377)</f>
        <v>0.0121212121212121</v>
      </c>
      <c r="W377" s="40" t="n">
        <f aca="false">IF(L377=0,0,Q377/L377)</f>
        <v>0.0236686390532544</v>
      </c>
    </row>
    <row r="378" customFormat="false" ht="15" hidden="false" customHeight="false" outlineLevel="0" collapsed="false">
      <c r="A378" s="37" t="s">
        <v>1663</v>
      </c>
      <c r="B378" s="38" t="n">
        <v>46128.3541782407</v>
      </c>
      <c r="C378" s="37" t="s">
        <v>1252</v>
      </c>
      <c r="D378" s="37" t="s">
        <v>198</v>
      </c>
      <c r="E378" s="37" t="s">
        <v>193</v>
      </c>
      <c r="F378" s="37" t="s">
        <v>555</v>
      </c>
      <c r="G378" s="37" t="s">
        <v>1119</v>
      </c>
      <c r="H378" s="37" t="s">
        <v>61</v>
      </c>
      <c r="I378" s="37" t="s">
        <v>197</v>
      </c>
      <c r="J378" s="37" t="s">
        <v>191</v>
      </c>
      <c r="K378" s="37" t="s">
        <v>1202</v>
      </c>
      <c r="L378" s="39" t="n">
        <v>4616</v>
      </c>
      <c r="M378" s="39" t="n">
        <v>4583</v>
      </c>
      <c r="N378" s="39" t="n">
        <v>1504</v>
      </c>
      <c r="O378" s="39" t="n">
        <v>66</v>
      </c>
      <c r="P378" s="39" t="n">
        <v>29</v>
      </c>
      <c r="Q378" s="39" t="n">
        <v>33</v>
      </c>
      <c r="R378" s="39" t="n">
        <v>18</v>
      </c>
      <c r="S378" s="39" t="n">
        <v>0</v>
      </c>
      <c r="T378" s="40" t="n">
        <f aca="false">IF(M378=0,0,N378/M378)</f>
        <v>0.328169321405193</v>
      </c>
      <c r="U378" s="40" t="n">
        <f aca="false">IF(M378=0,0,O378/M378)</f>
        <v>0.0144010473488981</v>
      </c>
      <c r="V378" s="41" t="n">
        <f aca="false">IF(M378=0,0,P378/M378)</f>
        <v>0.00632773292603098</v>
      </c>
      <c r="W378" s="40" t="n">
        <f aca="false">IF(L378=0,0,Q378/L378)</f>
        <v>0.00714904679376083</v>
      </c>
    </row>
    <row r="379" customFormat="false" ht="15" hidden="false" customHeight="false" outlineLevel="0" collapsed="false">
      <c r="A379" s="37" t="s">
        <v>1664</v>
      </c>
      <c r="B379" s="38" t="n">
        <v>46128.0263078704</v>
      </c>
      <c r="C379" s="37" t="s">
        <v>1201</v>
      </c>
      <c r="D379" s="37" t="s">
        <v>1665</v>
      </c>
      <c r="E379" s="37" t="s">
        <v>238</v>
      </c>
      <c r="F379" s="37" t="s">
        <v>555</v>
      </c>
      <c r="G379" s="37" t="s">
        <v>1132</v>
      </c>
      <c r="H379" s="37" t="s">
        <v>60</v>
      </c>
      <c r="I379" s="37"/>
      <c r="J379" s="37" t="s">
        <v>144</v>
      </c>
      <c r="K379" s="37" t="s">
        <v>1202</v>
      </c>
      <c r="L379" s="39" t="n">
        <v>2436</v>
      </c>
      <c r="M379" s="39" t="n">
        <v>2358</v>
      </c>
      <c r="N379" s="39" t="n">
        <v>452</v>
      </c>
      <c r="O379" s="39" t="n">
        <v>25</v>
      </c>
      <c r="P379" s="39" t="n">
        <v>20</v>
      </c>
      <c r="Q379" s="39" t="n">
        <v>78</v>
      </c>
      <c r="R379" s="39" t="n">
        <v>23</v>
      </c>
      <c r="S379" s="39" t="n">
        <v>0</v>
      </c>
      <c r="T379" s="40" t="n">
        <f aca="false">IF(M379=0,0,N379/M379)</f>
        <v>0.191687871077184</v>
      </c>
      <c r="U379" s="40" t="n">
        <f aca="false">IF(M379=0,0,O379/M379)</f>
        <v>0.0106022052586938</v>
      </c>
      <c r="V379" s="41" t="n">
        <f aca="false">IF(M379=0,0,P379/M379)</f>
        <v>0.00848176420695505</v>
      </c>
      <c r="W379" s="40" t="n">
        <f aca="false">IF(L379=0,0,Q379/L379)</f>
        <v>0.0320197044334975</v>
      </c>
    </row>
    <row r="380" customFormat="false" ht="15" hidden="false" customHeight="false" outlineLevel="0" collapsed="false">
      <c r="A380" s="37" t="s">
        <v>1666</v>
      </c>
      <c r="B380" s="38" t="n">
        <v>46127.8188657407</v>
      </c>
      <c r="C380" s="37" t="s">
        <v>1201</v>
      </c>
      <c r="D380" s="37" t="s">
        <v>127</v>
      </c>
      <c r="E380" s="37" t="s">
        <v>128</v>
      </c>
      <c r="F380" s="37" t="s">
        <v>127</v>
      </c>
      <c r="G380" s="37"/>
      <c r="H380" s="37" t="s">
        <v>61</v>
      </c>
      <c r="I380" s="37" t="s">
        <v>125</v>
      </c>
      <c r="J380" s="37" t="s">
        <v>126</v>
      </c>
      <c r="K380" s="37" t="s">
        <v>1202</v>
      </c>
      <c r="L380" s="39" t="n">
        <v>3078</v>
      </c>
      <c r="M380" s="39" t="n">
        <v>3063</v>
      </c>
      <c r="N380" s="39" t="n">
        <v>1100</v>
      </c>
      <c r="O380" s="39" t="n">
        <v>66</v>
      </c>
      <c r="P380" s="39" t="n">
        <v>14</v>
      </c>
      <c r="Q380" s="39" t="n">
        <v>15</v>
      </c>
      <c r="R380" s="39" t="n">
        <v>9</v>
      </c>
      <c r="S380" s="39" t="n">
        <v>1</v>
      </c>
      <c r="T380" s="40" t="n">
        <f aca="false">IF(M380=0,0,N380/M380)</f>
        <v>0.359125040809664</v>
      </c>
      <c r="U380" s="40" t="n">
        <f aca="false">IF(M380=0,0,O380/M380)</f>
        <v>0.0215475024485798</v>
      </c>
      <c r="V380" s="41" t="n">
        <f aca="false">IF(M380=0,0,P380/M380)</f>
        <v>0.00457068233757754</v>
      </c>
      <c r="W380" s="40" t="n">
        <f aca="false">IF(L380=0,0,Q380/L380)</f>
        <v>0.00487329434697856</v>
      </c>
    </row>
    <row r="381" customFormat="false" ht="15" hidden="false" customHeight="false" outlineLevel="0" collapsed="false">
      <c r="A381" s="37" t="s">
        <v>1667</v>
      </c>
      <c r="B381" s="38" t="n">
        <v>46127.4215393519</v>
      </c>
      <c r="C381" s="37" t="s">
        <v>1201</v>
      </c>
      <c r="D381" s="37" t="s">
        <v>230</v>
      </c>
      <c r="E381" s="37" t="s">
        <v>231</v>
      </c>
      <c r="F381" s="37" t="s">
        <v>544</v>
      </c>
      <c r="G381" s="37"/>
      <c r="H381" s="37" t="s">
        <v>60</v>
      </c>
      <c r="I381" s="37"/>
      <c r="J381" s="37" t="s">
        <v>229</v>
      </c>
      <c r="K381" s="37" t="s">
        <v>1202</v>
      </c>
      <c r="L381" s="39" t="n">
        <v>495</v>
      </c>
      <c r="M381" s="39" t="n">
        <v>495</v>
      </c>
      <c r="N381" s="39" t="n">
        <v>186</v>
      </c>
      <c r="O381" s="39" t="n">
        <v>18</v>
      </c>
      <c r="P381" s="39" t="n">
        <v>2</v>
      </c>
      <c r="Q381" s="39" t="n">
        <v>0</v>
      </c>
      <c r="R381" s="39" t="n">
        <v>0</v>
      </c>
      <c r="S381" s="39" t="n">
        <v>0</v>
      </c>
      <c r="T381" s="40" t="n">
        <f aca="false">IF(M381=0,0,N381/M381)</f>
        <v>0.375757575757576</v>
      </c>
      <c r="U381" s="40" t="n">
        <f aca="false">IF(M381=0,0,O381/M381)</f>
        <v>0.0363636363636364</v>
      </c>
      <c r="V381" s="41" t="n">
        <f aca="false">IF(M381=0,0,P381/M381)</f>
        <v>0.00404040404040404</v>
      </c>
      <c r="W381" s="40" t="n">
        <f aca="false">IF(L381=0,0,Q381/L381)</f>
        <v>0</v>
      </c>
    </row>
    <row r="382" customFormat="false" ht="15" hidden="false" customHeight="false" outlineLevel="0" collapsed="false">
      <c r="A382" s="37" t="s">
        <v>1668</v>
      </c>
      <c r="B382" s="38" t="n">
        <v>46126.9793518519</v>
      </c>
      <c r="C382" s="37" t="s">
        <v>1201</v>
      </c>
      <c r="D382" s="37" t="s">
        <v>237</v>
      </c>
      <c r="E382" s="37" t="s">
        <v>238</v>
      </c>
      <c r="F382" s="37" t="s">
        <v>559</v>
      </c>
      <c r="G382" s="37" t="s">
        <v>1297</v>
      </c>
      <c r="H382" s="37" t="s">
        <v>60</v>
      </c>
      <c r="I382" s="37"/>
      <c r="J382" s="37" t="s">
        <v>236</v>
      </c>
      <c r="K382" s="37" t="s">
        <v>1202</v>
      </c>
      <c r="L382" s="39" t="n">
        <v>3229</v>
      </c>
      <c r="M382" s="39" t="n">
        <v>3201</v>
      </c>
      <c r="N382" s="39" t="n">
        <v>670</v>
      </c>
      <c r="O382" s="39" t="n">
        <v>122</v>
      </c>
      <c r="P382" s="39" t="n">
        <v>12</v>
      </c>
      <c r="Q382" s="39" t="n">
        <v>28</v>
      </c>
      <c r="R382" s="39" t="n">
        <v>23</v>
      </c>
      <c r="S382" s="39" t="n">
        <v>0</v>
      </c>
      <c r="T382" s="40" t="n">
        <f aca="false">IF(M382=0,0,N382/M382)</f>
        <v>0.20930959075289</v>
      </c>
      <c r="U382" s="40" t="n">
        <f aca="false">IF(M382=0,0,O382/M382)</f>
        <v>0.0381130896594814</v>
      </c>
      <c r="V382" s="41" t="n">
        <f aca="false">IF(M382=0,0,P382/M382)</f>
        <v>0.00374882849109653</v>
      </c>
      <c r="W382" s="40" t="n">
        <f aca="false">IF(L382=0,0,Q382/L382)</f>
        <v>0.00867141529885413</v>
      </c>
    </row>
    <row r="383" customFormat="false" ht="15" hidden="false" customHeight="false" outlineLevel="0" collapsed="false">
      <c r="A383" s="37" t="s">
        <v>1669</v>
      </c>
      <c r="B383" s="38" t="n">
        <v>46126.1052314815</v>
      </c>
      <c r="C383" s="37" t="s">
        <v>1201</v>
      </c>
      <c r="D383" s="37" t="s">
        <v>1670</v>
      </c>
      <c r="E383" s="37" t="s">
        <v>1293</v>
      </c>
      <c r="F383" s="37" t="s">
        <v>544</v>
      </c>
      <c r="G383" s="37" t="s">
        <v>1580</v>
      </c>
      <c r="H383" s="37" t="s">
        <v>60</v>
      </c>
      <c r="I383" s="37"/>
      <c r="J383" s="37" t="s">
        <v>386</v>
      </c>
      <c r="K383" s="37" t="s">
        <v>1202</v>
      </c>
      <c r="L383" s="39" t="n">
        <v>16</v>
      </c>
      <c r="M383" s="39" t="n">
        <v>15</v>
      </c>
      <c r="N383" s="39" t="n">
        <v>6</v>
      </c>
      <c r="O383" s="39" t="n">
        <v>0</v>
      </c>
      <c r="P383" s="39" t="n">
        <v>0</v>
      </c>
      <c r="Q383" s="39" t="n">
        <v>1</v>
      </c>
      <c r="R383" s="39" t="n">
        <v>1</v>
      </c>
      <c r="S383" s="39" t="n">
        <v>0</v>
      </c>
      <c r="T383" s="40" t="n">
        <f aca="false">IF(M383=0,0,N383/M383)</f>
        <v>0.4</v>
      </c>
      <c r="U383" s="40" t="n">
        <f aca="false">IF(M383=0,0,O383/M383)</f>
        <v>0</v>
      </c>
      <c r="V383" s="41" t="n">
        <f aca="false">IF(M383=0,0,P383/M383)</f>
        <v>0</v>
      </c>
      <c r="W383" s="40" t="n">
        <f aca="false">IF(L383=0,0,Q383/L383)</f>
        <v>0.0625</v>
      </c>
    </row>
    <row r="384" customFormat="false" ht="15" hidden="false" customHeight="false" outlineLevel="0" collapsed="false">
      <c r="A384" s="37" t="s">
        <v>1671</v>
      </c>
      <c r="B384" s="38" t="n">
        <v>46126.072962963</v>
      </c>
      <c r="C384" s="37" t="s">
        <v>1201</v>
      </c>
      <c r="D384" s="37" t="s">
        <v>1327</v>
      </c>
      <c r="E384" s="37" t="s">
        <v>1327</v>
      </c>
      <c r="F384" s="37" t="s">
        <v>544</v>
      </c>
      <c r="G384" s="37"/>
      <c r="H384" s="37" t="s">
        <v>60</v>
      </c>
      <c r="I384" s="37"/>
      <c r="J384" s="37" t="s">
        <v>430</v>
      </c>
      <c r="K384" s="37" t="s">
        <v>8</v>
      </c>
      <c r="L384" s="39" t="n">
        <v>532</v>
      </c>
      <c r="M384" s="39" t="n">
        <v>512</v>
      </c>
      <c r="N384" s="39" t="n">
        <v>177</v>
      </c>
      <c r="O384" s="39" t="n">
        <v>27</v>
      </c>
      <c r="P384" s="39" t="n">
        <v>18</v>
      </c>
      <c r="Q384" s="39" t="n">
        <v>20</v>
      </c>
      <c r="R384" s="39" t="n">
        <v>17</v>
      </c>
      <c r="S384" s="39" t="n">
        <v>0</v>
      </c>
      <c r="T384" s="40" t="n">
        <f aca="false">IF(M384=0,0,N384/M384)</f>
        <v>0.345703125</v>
      </c>
      <c r="U384" s="40" t="n">
        <f aca="false">IF(M384=0,0,O384/M384)</f>
        <v>0.052734375</v>
      </c>
      <c r="V384" s="41" t="n">
        <f aca="false">IF(M384=0,0,P384/M384)</f>
        <v>0.03515625</v>
      </c>
      <c r="W384" s="40" t="n">
        <f aca="false">IF(L384=0,0,Q384/L384)</f>
        <v>0.037593984962406</v>
      </c>
    </row>
    <row r="385" customFormat="false" ht="15" hidden="false" customHeight="false" outlineLevel="0" collapsed="false">
      <c r="A385" s="37" t="s">
        <v>1672</v>
      </c>
      <c r="B385" s="38" t="n">
        <v>46126.010625</v>
      </c>
      <c r="C385" s="37" t="s">
        <v>1201</v>
      </c>
      <c r="D385" s="37" t="s">
        <v>1475</v>
      </c>
      <c r="E385" s="37" t="s">
        <v>1373</v>
      </c>
      <c r="F385" s="37" t="s">
        <v>537</v>
      </c>
      <c r="G385" s="37"/>
      <c r="H385" s="37" t="s">
        <v>64</v>
      </c>
      <c r="I385" s="37"/>
      <c r="J385" s="37" t="s">
        <v>296</v>
      </c>
      <c r="K385" s="37" t="s">
        <v>1202</v>
      </c>
      <c r="L385" s="39" t="n">
        <v>2</v>
      </c>
      <c r="M385" s="39" t="n">
        <v>2</v>
      </c>
      <c r="N385" s="39" t="n">
        <v>2</v>
      </c>
      <c r="O385" s="39" t="n">
        <v>0</v>
      </c>
      <c r="P385" s="39" t="n">
        <v>0</v>
      </c>
      <c r="Q385" s="39" t="n">
        <v>0</v>
      </c>
      <c r="R385" s="39" t="n">
        <v>0</v>
      </c>
      <c r="S385" s="39" t="n">
        <v>0</v>
      </c>
      <c r="T385" s="40" t="n">
        <f aca="false">IF(M385=0,0,N385/M385)</f>
        <v>1</v>
      </c>
      <c r="U385" s="40" t="n">
        <f aca="false">IF(M385=0,0,O385/M385)</f>
        <v>0</v>
      </c>
      <c r="V385" s="41" t="n">
        <f aca="false">IF(M385=0,0,P385/M385)</f>
        <v>0</v>
      </c>
      <c r="W385" s="40" t="n">
        <f aca="false">IF(L385=0,0,Q385/L385)</f>
        <v>0</v>
      </c>
    </row>
    <row r="386" customFormat="false" ht="15" hidden="false" customHeight="false" outlineLevel="0" collapsed="false">
      <c r="A386" s="37" t="s">
        <v>1673</v>
      </c>
      <c r="B386" s="38" t="n">
        <v>46125.4733796296</v>
      </c>
      <c r="C386" s="37" t="s">
        <v>1201</v>
      </c>
      <c r="D386" s="37" t="s">
        <v>1562</v>
      </c>
      <c r="E386" s="37" t="s">
        <v>288</v>
      </c>
      <c r="F386" s="37" t="s">
        <v>544</v>
      </c>
      <c r="G386" s="37"/>
      <c r="H386" s="37" t="s">
        <v>60</v>
      </c>
      <c r="I386" s="37"/>
      <c r="J386" s="37" t="s">
        <v>287</v>
      </c>
      <c r="K386" s="37" t="s">
        <v>1202</v>
      </c>
      <c r="L386" s="39" t="n">
        <v>622</v>
      </c>
      <c r="M386" s="39" t="n">
        <v>620</v>
      </c>
      <c r="N386" s="39" t="n">
        <v>213</v>
      </c>
      <c r="O386" s="39" t="n">
        <v>65</v>
      </c>
      <c r="P386" s="39" t="n">
        <v>7</v>
      </c>
      <c r="Q386" s="39" t="n">
        <v>2</v>
      </c>
      <c r="R386" s="39" t="n">
        <v>2</v>
      </c>
      <c r="S386" s="39" t="n">
        <v>0</v>
      </c>
      <c r="T386" s="40" t="n">
        <f aca="false">IF(M386=0,0,N386/M386)</f>
        <v>0.343548387096774</v>
      </c>
      <c r="U386" s="40" t="n">
        <f aca="false">IF(M386=0,0,O386/M386)</f>
        <v>0.104838709677419</v>
      </c>
      <c r="V386" s="41" t="n">
        <f aca="false">IF(M386=0,0,P386/M386)</f>
        <v>0.0112903225806452</v>
      </c>
      <c r="W386" s="40" t="n">
        <f aca="false">IF(L386=0,0,Q386/L386)</f>
        <v>0.00321543408360129</v>
      </c>
    </row>
    <row r="387" customFormat="false" ht="15" hidden="false" customHeight="false" outlineLevel="0" collapsed="false">
      <c r="A387" s="37" t="s">
        <v>1674</v>
      </c>
      <c r="B387" s="38" t="n">
        <v>46125.4355555556</v>
      </c>
      <c r="C387" s="37" t="s">
        <v>1201</v>
      </c>
      <c r="D387" s="37" t="s">
        <v>1211</v>
      </c>
      <c r="E387" s="37" t="s">
        <v>1212</v>
      </c>
      <c r="F387" s="37" t="s">
        <v>544</v>
      </c>
      <c r="G387" s="37"/>
      <c r="H387" s="37" t="s">
        <v>60</v>
      </c>
      <c r="I387" s="37"/>
      <c r="J387" s="37" t="s">
        <v>100</v>
      </c>
      <c r="K387" s="37" t="s">
        <v>1213</v>
      </c>
      <c r="L387" s="39" t="n">
        <v>119</v>
      </c>
      <c r="M387" s="39" t="n">
        <v>119</v>
      </c>
      <c r="N387" s="39" t="n">
        <v>81</v>
      </c>
      <c r="O387" s="39" t="n">
        <v>15</v>
      </c>
      <c r="P387" s="39" t="n">
        <v>0</v>
      </c>
      <c r="Q387" s="39" t="n">
        <v>0</v>
      </c>
      <c r="R387" s="39" t="n">
        <v>0</v>
      </c>
      <c r="S387" s="39" t="n">
        <v>0</v>
      </c>
      <c r="T387" s="40" t="n">
        <f aca="false">IF(M387=0,0,N387/M387)</f>
        <v>0.680672268907563</v>
      </c>
      <c r="U387" s="40" t="n">
        <f aca="false">IF(M387=0,0,O387/M387)</f>
        <v>0.126050420168067</v>
      </c>
      <c r="V387" s="41" t="n">
        <f aca="false">IF(M387=0,0,P387/M387)</f>
        <v>0</v>
      </c>
      <c r="W387" s="40" t="n">
        <f aca="false">IF(L387=0,0,Q387/L387)</f>
        <v>0</v>
      </c>
    </row>
    <row r="388" customFormat="false" ht="15" hidden="false" customHeight="false" outlineLevel="0" collapsed="false">
      <c r="A388" s="37" t="s">
        <v>1675</v>
      </c>
      <c r="B388" s="38" t="n">
        <v>46125.417962963</v>
      </c>
      <c r="C388" s="37" t="s">
        <v>1201</v>
      </c>
      <c r="D388" s="37" t="s">
        <v>1211</v>
      </c>
      <c r="E388" s="37" t="s">
        <v>1212</v>
      </c>
      <c r="F388" s="37" t="s">
        <v>544</v>
      </c>
      <c r="G388" s="37"/>
      <c r="H388" s="37" t="s">
        <v>60</v>
      </c>
      <c r="I388" s="37"/>
      <c r="J388" s="37" t="s">
        <v>100</v>
      </c>
      <c r="K388" s="37" t="s">
        <v>1213</v>
      </c>
      <c r="L388" s="39" t="n">
        <v>119</v>
      </c>
      <c r="M388" s="39" t="n">
        <v>119</v>
      </c>
      <c r="N388" s="39" t="n">
        <v>62</v>
      </c>
      <c r="O388" s="39" t="n">
        <v>8</v>
      </c>
      <c r="P388" s="39" t="n">
        <v>0</v>
      </c>
      <c r="Q388" s="39" t="n">
        <v>0</v>
      </c>
      <c r="R388" s="39" t="n">
        <v>0</v>
      </c>
      <c r="S388" s="39" t="n">
        <v>0</v>
      </c>
      <c r="T388" s="40" t="n">
        <f aca="false">IF(M388=0,0,N388/M388)</f>
        <v>0.521008403361345</v>
      </c>
      <c r="U388" s="40" t="n">
        <f aca="false">IF(M388=0,0,O388/M388)</f>
        <v>0.0672268907563025</v>
      </c>
      <c r="V388" s="41" t="n">
        <f aca="false">IF(M388=0,0,P388/M388)</f>
        <v>0</v>
      </c>
      <c r="W388" s="40" t="n">
        <f aca="false">IF(L388=0,0,Q388/L388)</f>
        <v>0</v>
      </c>
    </row>
    <row r="389" customFormat="false" ht="15" hidden="false" customHeight="false" outlineLevel="0" collapsed="false">
      <c r="A389" s="37" t="s">
        <v>1676</v>
      </c>
      <c r="B389" s="38" t="n">
        <v>46125.3754398148</v>
      </c>
      <c r="C389" s="37" t="s">
        <v>1201</v>
      </c>
      <c r="D389" s="37" t="s">
        <v>1372</v>
      </c>
      <c r="E389" s="37" t="s">
        <v>1373</v>
      </c>
      <c r="F389" s="37" t="s">
        <v>537</v>
      </c>
      <c r="G389" s="37"/>
      <c r="H389" s="37" t="s">
        <v>54</v>
      </c>
      <c r="I389" s="37"/>
      <c r="J389" s="37" t="s">
        <v>296</v>
      </c>
      <c r="K389" s="37" t="s">
        <v>1202</v>
      </c>
      <c r="L389" s="39" t="n">
        <v>2</v>
      </c>
      <c r="M389" s="39" t="n">
        <v>2</v>
      </c>
      <c r="N389" s="39" t="n">
        <v>1</v>
      </c>
      <c r="O389" s="39" t="n">
        <v>0</v>
      </c>
      <c r="P389" s="39" t="n">
        <v>0</v>
      </c>
      <c r="Q389" s="39" t="n">
        <v>0</v>
      </c>
      <c r="R389" s="39" t="n">
        <v>0</v>
      </c>
      <c r="S389" s="39" t="n">
        <v>0</v>
      </c>
      <c r="T389" s="40" t="n">
        <f aca="false">IF(M389=0,0,N389/M389)</f>
        <v>0.5</v>
      </c>
      <c r="U389" s="40" t="n">
        <f aca="false">IF(M389=0,0,O389/M389)</f>
        <v>0</v>
      </c>
      <c r="V389" s="41" t="n">
        <f aca="false">IF(M389=0,0,P389/M389)</f>
        <v>0</v>
      </c>
      <c r="W389" s="40" t="n">
        <f aca="false">IF(L389=0,0,Q389/L389)</f>
        <v>0</v>
      </c>
    </row>
    <row r="390" customFormat="false" ht="15" hidden="false" customHeight="false" outlineLevel="0" collapsed="false">
      <c r="A390" s="37" t="s">
        <v>1677</v>
      </c>
      <c r="B390" s="38" t="n">
        <v>46125.2769097222</v>
      </c>
      <c r="C390" s="37" t="s">
        <v>1201</v>
      </c>
      <c r="D390" s="37" t="s">
        <v>1327</v>
      </c>
      <c r="E390" s="37" t="s">
        <v>1327</v>
      </c>
      <c r="F390" s="37" t="s">
        <v>544</v>
      </c>
      <c r="G390" s="37"/>
      <c r="H390" s="37" t="s">
        <v>60</v>
      </c>
      <c r="I390" s="37"/>
      <c r="J390" s="37" t="s">
        <v>430</v>
      </c>
      <c r="K390" s="37" t="s">
        <v>8</v>
      </c>
      <c r="L390" s="39" t="n">
        <v>129</v>
      </c>
      <c r="M390" s="39" t="n">
        <v>127</v>
      </c>
      <c r="N390" s="39" t="n">
        <v>65</v>
      </c>
      <c r="O390" s="39" t="n">
        <v>13</v>
      </c>
      <c r="P390" s="39" t="n">
        <v>3</v>
      </c>
      <c r="Q390" s="39" t="n">
        <v>2</v>
      </c>
      <c r="R390" s="39" t="n">
        <v>0</v>
      </c>
      <c r="S390" s="39" t="n">
        <v>0</v>
      </c>
      <c r="T390" s="40" t="n">
        <f aca="false">IF(M390=0,0,N390/M390)</f>
        <v>0.511811023622047</v>
      </c>
      <c r="U390" s="40" t="n">
        <f aca="false">IF(M390=0,0,O390/M390)</f>
        <v>0.102362204724409</v>
      </c>
      <c r="V390" s="41" t="n">
        <f aca="false">IF(M390=0,0,P390/M390)</f>
        <v>0.0236220472440945</v>
      </c>
      <c r="W390" s="40" t="n">
        <f aca="false">IF(L390=0,0,Q390/L390)</f>
        <v>0.0155038759689922</v>
      </c>
    </row>
    <row r="391" customFormat="false" ht="15" hidden="false" customHeight="false" outlineLevel="0" collapsed="false">
      <c r="A391" s="37" t="s">
        <v>1678</v>
      </c>
      <c r="B391" s="38" t="n">
        <v>46124.7589351852</v>
      </c>
      <c r="C391" s="37" t="s">
        <v>1201</v>
      </c>
      <c r="D391" s="37" t="s">
        <v>1211</v>
      </c>
      <c r="E391" s="37" t="s">
        <v>1212</v>
      </c>
      <c r="F391" s="37" t="s">
        <v>544</v>
      </c>
      <c r="G391" s="37"/>
      <c r="H391" s="37" t="s">
        <v>60</v>
      </c>
      <c r="I391" s="37"/>
      <c r="J391" s="37" t="s">
        <v>100</v>
      </c>
      <c r="K391" s="37" t="s">
        <v>1213</v>
      </c>
      <c r="L391" s="39" t="n">
        <v>119</v>
      </c>
      <c r="M391" s="39" t="n">
        <v>119</v>
      </c>
      <c r="N391" s="39" t="n">
        <v>74</v>
      </c>
      <c r="O391" s="39" t="n">
        <v>9</v>
      </c>
      <c r="P391" s="39" t="n">
        <v>0</v>
      </c>
      <c r="Q391" s="39" t="n">
        <v>0</v>
      </c>
      <c r="R391" s="39" t="n">
        <v>0</v>
      </c>
      <c r="S391" s="39" t="n">
        <v>0</v>
      </c>
      <c r="T391" s="40" t="n">
        <f aca="false">IF(M391=0,0,N391/M391)</f>
        <v>0.621848739495798</v>
      </c>
      <c r="U391" s="40" t="n">
        <f aca="false">IF(M391=0,0,O391/M391)</f>
        <v>0.0756302521008403</v>
      </c>
      <c r="V391" s="41" t="n">
        <f aca="false">IF(M391=0,0,P391/M391)</f>
        <v>0</v>
      </c>
      <c r="W391" s="40" t="n">
        <f aca="false">IF(L391=0,0,Q391/L391)</f>
        <v>0</v>
      </c>
    </row>
    <row r="392" customFormat="false" ht="15" hidden="false" customHeight="false" outlineLevel="0" collapsed="false">
      <c r="A392" s="37" t="s">
        <v>1679</v>
      </c>
      <c r="B392" s="38" t="n">
        <v>46124.3856712963</v>
      </c>
      <c r="C392" s="37" t="s">
        <v>1201</v>
      </c>
      <c r="D392" s="37" t="s">
        <v>1372</v>
      </c>
      <c r="E392" s="37" t="s">
        <v>1373</v>
      </c>
      <c r="F392" s="37" t="s">
        <v>537</v>
      </c>
      <c r="G392" s="37"/>
      <c r="H392" s="37" t="s">
        <v>63</v>
      </c>
      <c r="I392" s="37"/>
      <c r="J392" s="37" t="s">
        <v>296</v>
      </c>
      <c r="K392" s="37" t="s">
        <v>1202</v>
      </c>
      <c r="L392" s="39" t="n">
        <v>2</v>
      </c>
      <c r="M392" s="39" t="n">
        <v>2</v>
      </c>
      <c r="N392" s="39" t="n">
        <v>1</v>
      </c>
      <c r="O392" s="39" t="n">
        <v>0</v>
      </c>
      <c r="P392" s="39" t="n">
        <v>0</v>
      </c>
      <c r="Q392" s="39" t="n">
        <v>0</v>
      </c>
      <c r="R392" s="39" t="n">
        <v>0</v>
      </c>
      <c r="S392" s="39" t="n">
        <v>0</v>
      </c>
      <c r="T392" s="40" t="n">
        <f aca="false">IF(M392=0,0,N392/M392)</f>
        <v>0.5</v>
      </c>
      <c r="U392" s="40" t="n">
        <f aca="false">IF(M392=0,0,O392/M392)</f>
        <v>0</v>
      </c>
      <c r="V392" s="41" t="n">
        <f aca="false">IF(M392=0,0,P392/M392)</f>
        <v>0</v>
      </c>
      <c r="W392" s="40" t="n">
        <f aca="false">IF(L392=0,0,Q392/L392)</f>
        <v>0</v>
      </c>
    </row>
    <row r="393" customFormat="false" ht="15" hidden="false" customHeight="false" outlineLevel="0" collapsed="false">
      <c r="A393" s="37" t="s">
        <v>1680</v>
      </c>
      <c r="B393" s="38" t="n">
        <v>46123.3962152778</v>
      </c>
      <c r="C393" s="37" t="s">
        <v>1201</v>
      </c>
      <c r="D393" s="37" t="s">
        <v>1475</v>
      </c>
      <c r="E393" s="37" t="s">
        <v>1373</v>
      </c>
      <c r="F393" s="37" t="s">
        <v>537</v>
      </c>
      <c r="G393" s="37"/>
      <c r="H393" s="37" t="s">
        <v>64</v>
      </c>
      <c r="I393" s="37"/>
      <c r="J393" s="37" t="s">
        <v>296</v>
      </c>
      <c r="K393" s="37" t="s">
        <v>1202</v>
      </c>
      <c r="L393" s="39" t="n">
        <v>1</v>
      </c>
      <c r="M393" s="39" t="n">
        <v>1</v>
      </c>
      <c r="N393" s="39" t="n">
        <v>0</v>
      </c>
      <c r="O393" s="39" t="n">
        <v>0</v>
      </c>
      <c r="P393" s="39" t="n">
        <v>0</v>
      </c>
      <c r="Q393" s="39" t="n">
        <v>0</v>
      </c>
      <c r="R393" s="39" t="n">
        <v>0</v>
      </c>
      <c r="S393" s="39" t="n">
        <v>0</v>
      </c>
      <c r="T393" s="40" t="n">
        <f aca="false">IF(M393=0,0,N393/M393)</f>
        <v>0</v>
      </c>
      <c r="U393" s="40" t="n">
        <f aca="false">IF(M393=0,0,O393/M393)</f>
        <v>0</v>
      </c>
      <c r="V393" s="41" t="n">
        <f aca="false">IF(M393=0,0,P393/M393)</f>
        <v>0</v>
      </c>
      <c r="W393" s="40" t="n">
        <f aca="false">IF(L393=0,0,Q393/L393)</f>
        <v>0</v>
      </c>
    </row>
    <row r="394" customFormat="false" ht="15" hidden="false" customHeight="false" outlineLevel="0" collapsed="false">
      <c r="A394" s="37" t="s">
        <v>1681</v>
      </c>
      <c r="B394" s="38" t="n">
        <v>46123.1671296296</v>
      </c>
      <c r="C394" s="37" t="s">
        <v>1201</v>
      </c>
      <c r="D394" s="37" t="s">
        <v>1475</v>
      </c>
      <c r="E394" s="37" t="s">
        <v>1373</v>
      </c>
      <c r="F394" s="37" t="s">
        <v>537</v>
      </c>
      <c r="G394" s="37"/>
      <c r="H394" s="37" t="s">
        <v>64</v>
      </c>
      <c r="I394" s="37"/>
      <c r="J394" s="37" t="s">
        <v>296</v>
      </c>
      <c r="K394" s="37" t="s">
        <v>1202</v>
      </c>
      <c r="L394" s="39" t="n">
        <v>2</v>
      </c>
      <c r="M394" s="39" t="n">
        <v>2</v>
      </c>
      <c r="N394" s="39" t="n">
        <v>1</v>
      </c>
      <c r="O394" s="39" t="n">
        <v>0</v>
      </c>
      <c r="P394" s="39" t="n">
        <v>0</v>
      </c>
      <c r="Q394" s="39" t="n">
        <v>0</v>
      </c>
      <c r="R394" s="39" t="n">
        <v>0</v>
      </c>
      <c r="S394" s="39" t="n">
        <v>0</v>
      </c>
      <c r="T394" s="40" t="n">
        <f aca="false">IF(M394=0,0,N394/M394)</f>
        <v>0.5</v>
      </c>
      <c r="U394" s="40" t="n">
        <f aca="false">IF(M394=0,0,O394/M394)</f>
        <v>0</v>
      </c>
      <c r="V394" s="41" t="n">
        <f aca="false">IF(M394=0,0,P394/M394)</f>
        <v>0</v>
      </c>
      <c r="W394" s="40" t="n">
        <f aca="false">IF(L394=0,0,Q394/L394)</f>
        <v>0</v>
      </c>
    </row>
    <row r="395" customFormat="false" ht="15" hidden="false" customHeight="false" outlineLevel="0" collapsed="false">
      <c r="A395" s="37" t="s">
        <v>1682</v>
      </c>
      <c r="B395" s="38" t="n">
        <v>46123.0104398148</v>
      </c>
      <c r="C395" s="37" t="s">
        <v>1201</v>
      </c>
      <c r="D395" s="37" t="s">
        <v>1475</v>
      </c>
      <c r="E395" s="37" t="s">
        <v>1373</v>
      </c>
      <c r="F395" s="37" t="s">
        <v>537</v>
      </c>
      <c r="G395" s="37"/>
      <c r="H395" s="37" t="s">
        <v>64</v>
      </c>
      <c r="I395" s="37"/>
      <c r="J395" s="37" t="s">
        <v>296</v>
      </c>
      <c r="K395" s="37" t="s">
        <v>1202</v>
      </c>
      <c r="L395" s="39" t="n">
        <v>2</v>
      </c>
      <c r="M395" s="39" t="n">
        <v>2</v>
      </c>
      <c r="N395" s="39" t="n">
        <v>1</v>
      </c>
      <c r="O395" s="39" t="n">
        <v>0</v>
      </c>
      <c r="P395" s="39" t="n">
        <v>0</v>
      </c>
      <c r="Q395" s="39" t="n">
        <v>0</v>
      </c>
      <c r="R395" s="39" t="n">
        <v>0</v>
      </c>
      <c r="S395" s="39" t="n">
        <v>0</v>
      </c>
      <c r="T395" s="40" t="n">
        <f aca="false">IF(M395=0,0,N395/M395)</f>
        <v>0.5</v>
      </c>
      <c r="U395" s="40" t="n">
        <f aca="false">IF(M395=0,0,O395/M395)</f>
        <v>0</v>
      </c>
      <c r="V395" s="41" t="n">
        <f aca="false">IF(M395=0,0,P395/M395)</f>
        <v>0</v>
      </c>
      <c r="W395" s="40" t="n">
        <f aca="false">IF(L395=0,0,Q395/L395)</f>
        <v>0</v>
      </c>
    </row>
    <row r="396" customFormat="false" ht="15" hidden="false" customHeight="false" outlineLevel="0" collapsed="false">
      <c r="A396" s="37" t="s">
        <v>1683</v>
      </c>
      <c r="B396" s="38" t="n">
        <v>46123.0006018519</v>
      </c>
      <c r="C396" s="37" t="s">
        <v>1201</v>
      </c>
      <c r="D396" s="37" t="s">
        <v>1475</v>
      </c>
      <c r="E396" s="37" t="s">
        <v>1373</v>
      </c>
      <c r="F396" s="37" t="s">
        <v>537</v>
      </c>
      <c r="G396" s="37"/>
      <c r="H396" s="37" t="s">
        <v>64</v>
      </c>
      <c r="I396" s="37"/>
      <c r="J396" s="37" t="s">
        <v>296</v>
      </c>
      <c r="K396" s="37" t="s">
        <v>1202</v>
      </c>
      <c r="L396" s="39" t="n">
        <v>2</v>
      </c>
      <c r="M396" s="39" t="n">
        <v>2</v>
      </c>
      <c r="N396" s="39" t="n">
        <v>1</v>
      </c>
      <c r="O396" s="39" t="n">
        <v>0</v>
      </c>
      <c r="P396" s="39" t="n">
        <v>0</v>
      </c>
      <c r="Q396" s="39" t="n">
        <v>0</v>
      </c>
      <c r="R396" s="39" t="n">
        <v>0</v>
      </c>
      <c r="S396" s="39" t="n">
        <v>0</v>
      </c>
      <c r="T396" s="40" t="n">
        <f aca="false">IF(M396=0,0,N396/M396)</f>
        <v>0.5</v>
      </c>
      <c r="U396" s="40" t="n">
        <f aca="false">IF(M396=0,0,O396/M396)</f>
        <v>0</v>
      </c>
      <c r="V396" s="41" t="n">
        <f aca="false">IF(M396=0,0,P396/M396)</f>
        <v>0</v>
      </c>
      <c r="W396" s="40" t="n">
        <f aca="false">IF(L396=0,0,Q396/L396)</f>
        <v>0</v>
      </c>
    </row>
    <row r="397" customFormat="false" ht="15" hidden="false" customHeight="false" outlineLevel="0" collapsed="false">
      <c r="A397" s="37" t="s">
        <v>1684</v>
      </c>
      <c r="B397" s="38" t="n">
        <v>46122.3854861111</v>
      </c>
      <c r="C397" s="37" t="s">
        <v>1201</v>
      </c>
      <c r="D397" s="37" t="s">
        <v>1372</v>
      </c>
      <c r="E397" s="37" t="s">
        <v>1373</v>
      </c>
      <c r="F397" s="37" t="s">
        <v>537</v>
      </c>
      <c r="G397" s="37"/>
      <c r="H397" s="37" t="s">
        <v>63</v>
      </c>
      <c r="I397" s="37"/>
      <c r="J397" s="37" t="s">
        <v>296</v>
      </c>
      <c r="K397" s="37" t="s">
        <v>1202</v>
      </c>
      <c r="L397" s="39" t="n">
        <v>2</v>
      </c>
      <c r="M397" s="39" t="n">
        <v>2</v>
      </c>
      <c r="N397" s="39" t="n">
        <v>2</v>
      </c>
      <c r="O397" s="39" t="n">
        <v>0</v>
      </c>
      <c r="P397" s="39" t="n">
        <v>0</v>
      </c>
      <c r="Q397" s="39" t="n">
        <v>0</v>
      </c>
      <c r="R397" s="39" t="n">
        <v>0</v>
      </c>
      <c r="S397" s="39" t="n">
        <v>0</v>
      </c>
      <c r="T397" s="40" t="n">
        <f aca="false">IF(M397=0,0,N397/M397)</f>
        <v>1</v>
      </c>
      <c r="U397" s="40" t="n">
        <f aca="false">IF(M397=0,0,O397/M397)</f>
        <v>0</v>
      </c>
      <c r="V397" s="41" t="n">
        <f aca="false">IF(M397=0,0,P397/M397)</f>
        <v>0</v>
      </c>
      <c r="W397" s="40" t="n">
        <f aca="false">IF(L397=0,0,Q397/L397)</f>
        <v>0</v>
      </c>
    </row>
    <row r="398" customFormat="false" ht="15" hidden="false" customHeight="false" outlineLevel="0" collapsed="false">
      <c r="A398" s="37" t="s">
        <v>1639</v>
      </c>
      <c r="B398" s="38" t="n">
        <v>46122.3542708333</v>
      </c>
      <c r="C398" s="37" t="s">
        <v>1252</v>
      </c>
      <c r="D398" s="37" t="s">
        <v>623</v>
      </c>
      <c r="E398" s="37" t="s">
        <v>166</v>
      </c>
      <c r="F398" s="37" t="s">
        <v>555</v>
      </c>
      <c r="G398" s="37" t="s">
        <v>1247</v>
      </c>
      <c r="H398" s="37" t="s">
        <v>60</v>
      </c>
      <c r="I398" s="37"/>
      <c r="J398" s="37" t="s">
        <v>164</v>
      </c>
      <c r="K398" s="37" t="s">
        <v>1202</v>
      </c>
      <c r="L398" s="39" t="n">
        <v>109</v>
      </c>
      <c r="M398" s="39" t="n">
        <v>108</v>
      </c>
      <c r="N398" s="39" t="n">
        <v>52</v>
      </c>
      <c r="O398" s="39" t="n">
        <v>15</v>
      </c>
      <c r="P398" s="39" t="n">
        <v>0</v>
      </c>
      <c r="Q398" s="39" t="n">
        <v>1</v>
      </c>
      <c r="R398" s="39" t="n">
        <v>0</v>
      </c>
      <c r="S398" s="39" t="n">
        <v>0</v>
      </c>
      <c r="T398" s="40" t="n">
        <f aca="false">IF(M398=0,0,N398/M398)</f>
        <v>0.481481481481481</v>
      </c>
      <c r="U398" s="40" t="n">
        <f aca="false">IF(M398=0,0,O398/M398)</f>
        <v>0.138888888888889</v>
      </c>
      <c r="V398" s="41" t="n">
        <f aca="false">IF(M398=0,0,P398/M398)</f>
        <v>0</v>
      </c>
      <c r="W398" s="40" t="n">
        <f aca="false">IF(L398=0,0,Q398/L398)</f>
        <v>0.00917431192660551</v>
      </c>
    </row>
    <row r="399" customFormat="false" ht="15" hidden="false" customHeight="false" outlineLevel="0" collapsed="false">
      <c r="A399" s="37" t="s">
        <v>1685</v>
      </c>
      <c r="B399" s="38" t="n">
        <v>46122.2672800926</v>
      </c>
      <c r="C399" s="37" t="s">
        <v>1201</v>
      </c>
      <c r="D399" s="37" t="s">
        <v>623</v>
      </c>
      <c r="E399" s="37" t="s">
        <v>166</v>
      </c>
      <c r="F399" s="37" t="s">
        <v>555</v>
      </c>
      <c r="G399" s="37" t="s">
        <v>1247</v>
      </c>
      <c r="H399" s="37" t="s">
        <v>60</v>
      </c>
      <c r="I399" s="37"/>
      <c r="J399" s="37" t="s">
        <v>164</v>
      </c>
      <c r="K399" s="37" t="s">
        <v>1202</v>
      </c>
      <c r="L399" s="39" t="n">
        <v>109</v>
      </c>
      <c r="M399" s="39" t="n">
        <v>109</v>
      </c>
      <c r="N399" s="39" t="n">
        <v>54</v>
      </c>
      <c r="O399" s="39" t="n">
        <v>21</v>
      </c>
      <c r="P399" s="39" t="n">
        <v>0</v>
      </c>
      <c r="Q399" s="39" t="n">
        <v>0</v>
      </c>
      <c r="R399" s="39" t="n">
        <v>0</v>
      </c>
      <c r="S399" s="39" t="n">
        <v>0</v>
      </c>
      <c r="T399" s="40" t="n">
        <f aca="false">IF(M399=0,0,N399/M399)</f>
        <v>0.495412844036697</v>
      </c>
      <c r="U399" s="40" t="n">
        <f aca="false">IF(M399=0,0,O399/M399)</f>
        <v>0.192660550458716</v>
      </c>
      <c r="V399" s="41" t="n">
        <f aca="false">IF(M399=0,0,P399/M399)</f>
        <v>0</v>
      </c>
      <c r="W399" s="40" t="n">
        <f aca="false">IF(L399=0,0,Q399/L399)</f>
        <v>0</v>
      </c>
    </row>
    <row r="400" customFormat="false" ht="15" hidden="false" customHeight="false" outlineLevel="0" collapsed="false">
      <c r="A400" s="37" t="s">
        <v>1686</v>
      </c>
      <c r="B400" s="38" t="n">
        <v>46122.1066666667</v>
      </c>
      <c r="C400" s="37" t="s">
        <v>1201</v>
      </c>
      <c r="D400" s="37" t="s">
        <v>122</v>
      </c>
      <c r="E400" s="37" t="s">
        <v>1255</v>
      </c>
      <c r="F400" s="37" t="s">
        <v>555</v>
      </c>
      <c r="G400" s="37" t="s">
        <v>1256</v>
      </c>
      <c r="H400" s="37" t="s">
        <v>61</v>
      </c>
      <c r="I400" s="37" t="s">
        <v>120</v>
      </c>
      <c r="J400" s="37" t="s">
        <v>121</v>
      </c>
      <c r="K400" s="37" t="s">
        <v>1202</v>
      </c>
      <c r="L400" s="39" t="n">
        <v>6039</v>
      </c>
      <c r="M400" s="39" t="n">
        <v>5856</v>
      </c>
      <c r="N400" s="39" t="n">
        <v>1369</v>
      </c>
      <c r="O400" s="39" t="n">
        <v>104</v>
      </c>
      <c r="P400" s="39" t="n">
        <v>94</v>
      </c>
      <c r="Q400" s="39" t="n">
        <v>183</v>
      </c>
      <c r="R400" s="39" t="n">
        <v>150</v>
      </c>
      <c r="S400" s="39" t="n">
        <v>1</v>
      </c>
      <c r="T400" s="40" t="n">
        <f aca="false">IF(M400=0,0,N400/M400)</f>
        <v>0.233777322404372</v>
      </c>
      <c r="U400" s="40" t="n">
        <f aca="false">IF(M400=0,0,O400/M400)</f>
        <v>0.0177595628415301</v>
      </c>
      <c r="V400" s="41" t="n">
        <f aca="false">IF(M400=0,0,P400/M400)</f>
        <v>0.016051912568306</v>
      </c>
      <c r="W400" s="40" t="n">
        <f aca="false">IF(L400=0,0,Q400/L400)</f>
        <v>0.0303030303030303</v>
      </c>
    </row>
    <row r="401" customFormat="false" ht="15" hidden="false" customHeight="false" outlineLevel="0" collapsed="false">
      <c r="A401" s="37" t="s">
        <v>1687</v>
      </c>
      <c r="B401" s="38" t="n">
        <v>46122.010787037</v>
      </c>
      <c r="C401" s="37" t="s">
        <v>1201</v>
      </c>
      <c r="D401" s="37" t="s">
        <v>1372</v>
      </c>
      <c r="E401" s="37" t="s">
        <v>1373</v>
      </c>
      <c r="F401" s="37" t="s">
        <v>537</v>
      </c>
      <c r="G401" s="37"/>
      <c r="H401" s="37" t="s">
        <v>63</v>
      </c>
      <c r="I401" s="37"/>
      <c r="J401" s="37" t="s">
        <v>296</v>
      </c>
      <c r="K401" s="37" t="s">
        <v>1202</v>
      </c>
      <c r="L401" s="39" t="n">
        <v>2</v>
      </c>
      <c r="M401" s="39" t="n">
        <v>2</v>
      </c>
      <c r="N401" s="39" t="n">
        <v>1</v>
      </c>
      <c r="O401" s="39" t="n">
        <v>0</v>
      </c>
      <c r="P401" s="39" t="n">
        <v>0</v>
      </c>
      <c r="Q401" s="39" t="n">
        <v>0</v>
      </c>
      <c r="R401" s="39" t="n">
        <v>0</v>
      </c>
      <c r="S401" s="39" t="n">
        <v>0</v>
      </c>
      <c r="T401" s="40" t="n">
        <f aca="false">IF(M401=0,0,N401/M401)</f>
        <v>0.5</v>
      </c>
      <c r="U401" s="40" t="n">
        <f aca="false">IF(M401=0,0,O401/M401)</f>
        <v>0</v>
      </c>
      <c r="V401" s="41" t="n">
        <f aca="false">IF(M401=0,0,P401/M401)</f>
        <v>0</v>
      </c>
      <c r="W401" s="40" t="n">
        <f aca="false">IF(L401=0,0,Q401/L401)</f>
        <v>0</v>
      </c>
    </row>
    <row r="402" customFormat="false" ht="15" hidden="false" customHeight="false" outlineLevel="0" collapsed="false">
      <c r="A402" s="37" t="s">
        <v>1688</v>
      </c>
      <c r="B402" s="38" t="n">
        <v>46121.4620138889</v>
      </c>
      <c r="C402" s="37" t="s">
        <v>1201</v>
      </c>
      <c r="D402" s="37" t="s">
        <v>1211</v>
      </c>
      <c r="E402" s="37" t="s">
        <v>1212</v>
      </c>
      <c r="F402" s="37" t="s">
        <v>544</v>
      </c>
      <c r="G402" s="37"/>
      <c r="H402" s="37" t="s">
        <v>60</v>
      </c>
      <c r="I402" s="37"/>
      <c r="J402" s="37" t="s">
        <v>100</v>
      </c>
      <c r="K402" s="37" t="s">
        <v>1213</v>
      </c>
      <c r="L402" s="39" t="n">
        <v>121</v>
      </c>
      <c r="M402" s="39" t="n">
        <v>121</v>
      </c>
      <c r="N402" s="39" t="n">
        <v>68</v>
      </c>
      <c r="O402" s="39" t="n">
        <v>23</v>
      </c>
      <c r="P402" s="39" t="n">
        <v>0</v>
      </c>
      <c r="Q402" s="39" t="n">
        <v>0</v>
      </c>
      <c r="R402" s="39" t="n">
        <v>0</v>
      </c>
      <c r="S402" s="39" t="n">
        <v>0</v>
      </c>
      <c r="T402" s="40" t="n">
        <f aca="false">IF(M402=0,0,N402/M402)</f>
        <v>0.56198347107438</v>
      </c>
      <c r="U402" s="40" t="n">
        <f aca="false">IF(M402=0,0,O402/M402)</f>
        <v>0.190082644628099</v>
      </c>
      <c r="V402" s="41" t="n">
        <f aca="false">IF(M402=0,0,P402/M402)</f>
        <v>0</v>
      </c>
      <c r="W402" s="40" t="n">
        <f aca="false">IF(L402=0,0,Q402/L402)</f>
        <v>0</v>
      </c>
    </row>
    <row r="403" customFormat="false" ht="15" hidden="false" customHeight="false" outlineLevel="0" collapsed="false">
      <c r="A403" s="37" t="s">
        <v>1689</v>
      </c>
      <c r="B403" s="38" t="n">
        <v>46121.2247569444</v>
      </c>
      <c r="C403" s="37" t="s">
        <v>1201</v>
      </c>
      <c r="D403" s="37" t="s">
        <v>1475</v>
      </c>
      <c r="E403" s="37" t="s">
        <v>1373</v>
      </c>
      <c r="F403" s="37" t="s">
        <v>537</v>
      </c>
      <c r="G403" s="37"/>
      <c r="H403" s="37" t="s">
        <v>64</v>
      </c>
      <c r="I403" s="37"/>
      <c r="J403" s="37" t="s">
        <v>296</v>
      </c>
      <c r="K403" s="37" t="s">
        <v>1202</v>
      </c>
      <c r="L403" s="39" t="n">
        <v>2</v>
      </c>
      <c r="M403" s="39" t="n">
        <v>2</v>
      </c>
      <c r="N403" s="39" t="n">
        <v>2</v>
      </c>
      <c r="O403" s="39" t="n">
        <v>0</v>
      </c>
      <c r="P403" s="39" t="n">
        <v>0</v>
      </c>
      <c r="Q403" s="39" t="n">
        <v>0</v>
      </c>
      <c r="R403" s="39" t="n">
        <v>0</v>
      </c>
      <c r="S403" s="39" t="n">
        <v>0</v>
      </c>
      <c r="T403" s="40" t="n">
        <f aca="false">IF(M403=0,0,N403/M403)</f>
        <v>1</v>
      </c>
      <c r="U403" s="40" t="n">
        <f aca="false">IF(M403=0,0,O403/M403)</f>
        <v>0</v>
      </c>
      <c r="V403" s="41" t="n">
        <f aca="false">IF(M403=0,0,P403/M403)</f>
        <v>0</v>
      </c>
      <c r="W403" s="40" t="n">
        <f aca="false">IF(L403=0,0,Q403/L403)</f>
        <v>0</v>
      </c>
    </row>
    <row r="404" customFormat="false" ht="15" hidden="false" customHeight="false" outlineLevel="0" collapsed="false">
      <c r="A404" s="37" t="s">
        <v>1690</v>
      </c>
      <c r="B404" s="38" t="n">
        <v>46121.0212384259</v>
      </c>
      <c r="C404" s="37" t="s">
        <v>1201</v>
      </c>
      <c r="D404" s="37" t="s">
        <v>1475</v>
      </c>
      <c r="E404" s="37" t="s">
        <v>1373</v>
      </c>
      <c r="F404" s="37" t="s">
        <v>537</v>
      </c>
      <c r="G404" s="37"/>
      <c r="H404" s="37" t="s">
        <v>64</v>
      </c>
      <c r="I404" s="37"/>
      <c r="J404" s="37" t="s">
        <v>296</v>
      </c>
      <c r="K404" s="37" t="s">
        <v>1202</v>
      </c>
      <c r="L404" s="39" t="n">
        <v>2</v>
      </c>
      <c r="M404" s="39" t="n">
        <v>2</v>
      </c>
      <c r="N404" s="39" t="n">
        <v>2</v>
      </c>
      <c r="O404" s="39" t="n">
        <v>0</v>
      </c>
      <c r="P404" s="39" t="n">
        <v>0</v>
      </c>
      <c r="Q404" s="39" t="n">
        <v>0</v>
      </c>
      <c r="R404" s="39" t="n">
        <v>0</v>
      </c>
      <c r="S404" s="39" t="n">
        <v>0</v>
      </c>
      <c r="T404" s="40" t="n">
        <f aca="false">IF(M404=0,0,N404/M404)</f>
        <v>1</v>
      </c>
      <c r="U404" s="40" t="n">
        <f aca="false">IF(M404=0,0,O404/M404)</f>
        <v>0</v>
      </c>
      <c r="V404" s="41" t="n">
        <f aca="false">IF(M404=0,0,P404/M404)</f>
        <v>0</v>
      </c>
      <c r="W404" s="40" t="n">
        <f aca="false">IF(L404=0,0,Q404/L404)</f>
        <v>0</v>
      </c>
    </row>
    <row r="405" customFormat="false" ht="15" hidden="false" customHeight="false" outlineLevel="0" collapsed="false">
      <c r="A405" s="37" t="s">
        <v>1691</v>
      </c>
      <c r="B405" s="38" t="n">
        <v>46120.9169560185</v>
      </c>
      <c r="C405" s="37" t="s">
        <v>1246</v>
      </c>
      <c r="D405" s="37" t="s">
        <v>152</v>
      </c>
      <c r="E405" s="37" t="s">
        <v>1344</v>
      </c>
      <c r="F405" s="37" t="s">
        <v>152</v>
      </c>
      <c r="G405" s="37"/>
      <c r="H405" s="37" t="s">
        <v>61</v>
      </c>
      <c r="I405" s="37" t="s">
        <v>150</v>
      </c>
      <c r="J405" s="37" t="s">
        <v>151</v>
      </c>
      <c r="K405" s="37" t="s">
        <v>1202</v>
      </c>
      <c r="L405" s="39" t="n">
        <v>697</v>
      </c>
      <c r="M405" s="39" t="n">
        <v>695</v>
      </c>
      <c r="N405" s="39" t="n">
        <v>356</v>
      </c>
      <c r="O405" s="39" t="n">
        <v>97</v>
      </c>
      <c r="P405" s="39" t="n">
        <v>1</v>
      </c>
      <c r="Q405" s="39" t="n">
        <v>2</v>
      </c>
      <c r="R405" s="39" t="n">
        <v>2</v>
      </c>
      <c r="S405" s="39" t="n">
        <v>0</v>
      </c>
      <c r="T405" s="40" t="n">
        <f aca="false">IF(M405=0,0,N405/M405)</f>
        <v>0.512230215827338</v>
      </c>
      <c r="U405" s="40" t="n">
        <f aca="false">IF(M405=0,0,O405/M405)</f>
        <v>0.139568345323741</v>
      </c>
      <c r="V405" s="41" t="n">
        <f aca="false">IF(M405=0,0,P405/M405)</f>
        <v>0.00143884892086331</v>
      </c>
      <c r="W405" s="40" t="n">
        <f aca="false">IF(L405=0,0,Q405/L405)</f>
        <v>0.00286944045911047</v>
      </c>
    </row>
    <row r="406" customFormat="false" ht="15" hidden="false" customHeight="false" outlineLevel="0" collapsed="false">
      <c r="A406" s="37" t="s">
        <v>1692</v>
      </c>
      <c r="B406" s="38" t="n">
        <v>46120.4379050926</v>
      </c>
      <c r="C406" s="37" t="s">
        <v>1252</v>
      </c>
      <c r="D406" s="37" t="s">
        <v>221</v>
      </c>
      <c r="E406" s="37" t="s">
        <v>193</v>
      </c>
      <c r="F406" s="37" t="s">
        <v>555</v>
      </c>
      <c r="G406" s="37" t="s">
        <v>1119</v>
      </c>
      <c r="H406" s="37" t="s">
        <v>61</v>
      </c>
      <c r="I406" s="37" t="s">
        <v>220</v>
      </c>
      <c r="J406" s="37" t="s">
        <v>191</v>
      </c>
      <c r="K406" s="37" t="s">
        <v>1202</v>
      </c>
      <c r="L406" s="39" t="n">
        <v>2629</v>
      </c>
      <c r="M406" s="39" t="n">
        <v>2603</v>
      </c>
      <c r="N406" s="39" t="n">
        <v>833</v>
      </c>
      <c r="O406" s="39" t="n">
        <v>21</v>
      </c>
      <c r="P406" s="39" t="n">
        <v>20</v>
      </c>
      <c r="Q406" s="39" t="n">
        <v>26</v>
      </c>
      <c r="R406" s="39" t="n">
        <v>19</v>
      </c>
      <c r="S406" s="39" t="n">
        <v>0</v>
      </c>
      <c r="T406" s="40" t="n">
        <f aca="false">IF(M406=0,0,N406/M406)</f>
        <v>0.320015366884364</v>
      </c>
      <c r="U406" s="40" t="n">
        <f aca="false">IF(M406=0,0,O406/M406)</f>
        <v>0.00806761429120246</v>
      </c>
      <c r="V406" s="41" t="n">
        <f aca="false">IF(M406=0,0,P406/M406)</f>
        <v>0.00768344218209758</v>
      </c>
      <c r="W406" s="40" t="n">
        <f aca="false">IF(L406=0,0,Q406/L406)</f>
        <v>0.0098896918980601</v>
      </c>
    </row>
    <row r="407" customFormat="false" ht="15" hidden="false" customHeight="false" outlineLevel="0" collapsed="false">
      <c r="A407" s="37" t="s">
        <v>1693</v>
      </c>
      <c r="B407" s="38" t="n">
        <v>46120.3219560185</v>
      </c>
      <c r="C407" s="37" t="s">
        <v>1201</v>
      </c>
      <c r="D407" s="37" t="s">
        <v>1211</v>
      </c>
      <c r="E407" s="37" t="s">
        <v>1212</v>
      </c>
      <c r="F407" s="37" t="s">
        <v>544</v>
      </c>
      <c r="G407" s="37"/>
      <c r="H407" s="37" t="s">
        <v>60</v>
      </c>
      <c r="I407" s="37"/>
      <c r="J407" s="37" t="s">
        <v>100</v>
      </c>
      <c r="K407" s="37" t="s">
        <v>1213</v>
      </c>
      <c r="L407" s="39" t="n">
        <v>121</v>
      </c>
      <c r="M407" s="39" t="n">
        <v>121</v>
      </c>
      <c r="N407" s="39" t="n">
        <v>76</v>
      </c>
      <c r="O407" s="39" t="n">
        <v>9</v>
      </c>
      <c r="P407" s="39" t="n">
        <v>0</v>
      </c>
      <c r="Q407" s="39" t="n">
        <v>0</v>
      </c>
      <c r="R407" s="39" t="n">
        <v>0</v>
      </c>
      <c r="S407" s="39" t="n">
        <v>0</v>
      </c>
      <c r="T407" s="40" t="n">
        <f aca="false">IF(M407=0,0,N407/M407)</f>
        <v>0.628099173553719</v>
      </c>
      <c r="U407" s="40" t="n">
        <f aca="false">IF(M407=0,0,O407/M407)</f>
        <v>0.0743801652892562</v>
      </c>
      <c r="V407" s="41" t="n">
        <f aca="false">IF(M407=0,0,P407/M407)</f>
        <v>0</v>
      </c>
      <c r="W407" s="40" t="n">
        <f aca="false">IF(L407=0,0,Q407/L407)</f>
        <v>0</v>
      </c>
    </row>
    <row r="408" customFormat="false" ht="15" hidden="false" customHeight="false" outlineLevel="0" collapsed="false">
      <c r="A408" s="37" t="s">
        <v>1694</v>
      </c>
      <c r="B408" s="38" t="n">
        <v>46120.3071875</v>
      </c>
      <c r="C408" s="37" t="s">
        <v>1201</v>
      </c>
      <c r="D408" s="37" t="s">
        <v>1526</v>
      </c>
      <c r="E408" s="37" t="s">
        <v>1527</v>
      </c>
      <c r="F408" s="37" t="s">
        <v>548</v>
      </c>
      <c r="G408" s="37"/>
      <c r="H408" s="37" t="s">
        <v>60</v>
      </c>
      <c r="I408" s="37"/>
      <c r="J408" s="37" t="s">
        <v>364</v>
      </c>
      <c r="K408" s="37" t="s">
        <v>1202</v>
      </c>
      <c r="L408" s="39" t="n">
        <v>486</v>
      </c>
      <c r="M408" s="39" t="n">
        <v>486</v>
      </c>
      <c r="N408" s="39" t="n">
        <v>195</v>
      </c>
      <c r="O408" s="39" t="n">
        <v>14</v>
      </c>
      <c r="P408" s="39" t="n">
        <v>4</v>
      </c>
      <c r="Q408" s="39" t="n">
        <v>0</v>
      </c>
      <c r="R408" s="39" t="n">
        <v>0</v>
      </c>
      <c r="S408" s="39" t="n">
        <v>0</v>
      </c>
      <c r="T408" s="40" t="n">
        <f aca="false">IF(M408=0,0,N408/M408)</f>
        <v>0.401234567901235</v>
      </c>
      <c r="U408" s="40" t="n">
        <f aca="false">IF(M408=0,0,O408/M408)</f>
        <v>0.0288065843621399</v>
      </c>
      <c r="V408" s="41" t="n">
        <f aca="false">IF(M408=0,0,P408/M408)</f>
        <v>0.00823045267489712</v>
      </c>
      <c r="W408" s="40" t="n">
        <f aca="false">IF(L408=0,0,Q408/L408)</f>
        <v>0</v>
      </c>
    </row>
    <row r="409" customFormat="false" ht="15" hidden="false" customHeight="false" outlineLevel="0" collapsed="false">
      <c r="A409" s="37" t="s">
        <v>1695</v>
      </c>
      <c r="B409" s="38" t="n">
        <v>46120.2741087963</v>
      </c>
      <c r="C409" s="37" t="s">
        <v>1201</v>
      </c>
      <c r="D409" s="37" t="s">
        <v>251</v>
      </c>
      <c r="E409" s="37" t="s">
        <v>252</v>
      </c>
      <c r="F409" s="37" t="s">
        <v>544</v>
      </c>
      <c r="G409" s="37"/>
      <c r="H409" s="37" t="s">
        <v>60</v>
      </c>
      <c r="I409" s="37" t="s">
        <v>250</v>
      </c>
      <c r="J409" s="37" t="s">
        <v>109</v>
      </c>
      <c r="K409" s="37" t="s">
        <v>1202</v>
      </c>
      <c r="L409" s="39" t="n">
        <v>36</v>
      </c>
      <c r="M409" s="39" t="n">
        <v>36</v>
      </c>
      <c r="N409" s="39" t="n">
        <v>22</v>
      </c>
      <c r="O409" s="39" t="n">
        <v>1</v>
      </c>
      <c r="P409" s="39" t="n">
        <v>0</v>
      </c>
      <c r="Q409" s="39" t="n">
        <v>0</v>
      </c>
      <c r="R409" s="39" t="n">
        <v>0</v>
      </c>
      <c r="S409" s="39" t="n">
        <v>0</v>
      </c>
      <c r="T409" s="40" t="n">
        <f aca="false">IF(M409=0,0,N409/M409)</f>
        <v>0.611111111111111</v>
      </c>
      <c r="U409" s="40" t="n">
        <f aca="false">IF(M409=0,0,O409/M409)</f>
        <v>0.0277777777777778</v>
      </c>
      <c r="V409" s="41" t="n">
        <f aca="false">IF(M409=0,0,P409/M409)</f>
        <v>0</v>
      </c>
      <c r="W409" s="40" t="n">
        <f aca="false">IF(L409=0,0,Q409/L409)</f>
        <v>0</v>
      </c>
    </row>
    <row r="410" customFormat="false" ht="15" hidden="false" customHeight="false" outlineLevel="0" collapsed="false">
      <c r="A410" s="37" t="s">
        <v>1696</v>
      </c>
      <c r="B410" s="38" t="n">
        <v>46120.1893171296</v>
      </c>
      <c r="C410" s="37" t="s">
        <v>1201</v>
      </c>
      <c r="D410" s="37" t="s">
        <v>1422</v>
      </c>
      <c r="E410" s="37" t="s">
        <v>186</v>
      </c>
      <c r="F410" s="37" t="s">
        <v>548</v>
      </c>
      <c r="G410" s="37"/>
      <c r="H410" s="37" t="s">
        <v>61</v>
      </c>
      <c r="I410" s="37" t="s">
        <v>212</v>
      </c>
      <c r="J410" s="37" t="s">
        <v>191</v>
      </c>
      <c r="K410" s="37" t="s">
        <v>1202</v>
      </c>
      <c r="L410" s="39" t="n">
        <v>2339</v>
      </c>
      <c r="M410" s="39" t="n">
        <v>2305</v>
      </c>
      <c r="N410" s="39" t="n">
        <v>426</v>
      </c>
      <c r="O410" s="39" t="n">
        <v>25</v>
      </c>
      <c r="P410" s="39" t="n">
        <v>15</v>
      </c>
      <c r="Q410" s="39" t="n">
        <v>34</v>
      </c>
      <c r="R410" s="39" t="n">
        <v>22</v>
      </c>
      <c r="S410" s="39" t="n">
        <v>0</v>
      </c>
      <c r="T410" s="40" t="n">
        <f aca="false">IF(M410=0,0,N410/M410)</f>
        <v>0.184815618221258</v>
      </c>
      <c r="U410" s="40" t="n">
        <f aca="false">IF(M410=0,0,O410/M410)</f>
        <v>0.0108459869848156</v>
      </c>
      <c r="V410" s="41" t="n">
        <f aca="false">IF(M410=0,0,P410/M410)</f>
        <v>0.00650759219088937</v>
      </c>
      <c r="W410" s="40" t="n">
        <f aca="false">IF(L410=0,0,Q410/L410)</f>
        <v>0.0145361265498076</v>
      </c>
    </row>
    <row r="411" customFormat="false" ht="15" hidden="false" customHeight="false" outlineLevel="0" collapsed="false">
      <c r="A411" s="37" t="s">
        <v>1697</v>
      </c>
      <c r="B411" s="38" t="n">
        <v>46119.3647800926</v>
      </c>
      <c r="C411" s="37" t="s">
        <v>1252</v>
      </c>
      <c r="D411" s="37" t="s">
        <v>1646</v>
      </c>
      <c r="E411" s="37" t="s">
        <v>193</v>
      </c>
      <c r="F411" s="37" t="s">
        <v>544</v>
      </c>
      <c r="G411" s="37"/>
      <c r="H411" s="37" t="s">
        <v>60</v>
      </c>
      <c r="I411" s="37"/>
      <c r="J411" s="37" t="s">
        <v>100</v>
      </c>
      <c r="K411" s="37" t="s">
        <v>1202</v>
      </c>
      <c r="L411" s="39" t="n">
        <v>51</v>
      </c>
      <c r="M411" s="39" t="n">
        <v>49</v>
      </c>
      <c r="N411" s="39" t="n">
        <v>18</v>
      </c>
      <c r="O411" s="39" t="n">
        <v>5</v>
      </c>
      <c r="P411" s="39" t="n">
        <v>1</v>
      </c>
      <c r="Q411" s="39" t="n">
        <v>2</v>
      </c>
      <c r="R411" s="39" t="n">
        <v>2</v>
      </c>
      <c r="S411" s="39" t="n">
        <v>0</v>
      </c>
      <c r="T411" s="40" t="n">
        <f aca="false">IF(M411=0,0,N411/M411)</f>
        <v>0.36734693877551</v>
      </c>
      <c r="U411" s="40" t="n">
        <f aca="false">IF(M411=0,0,O411/M411)</f>
        <v>0.102040816326531</v>
      </c>
      <c r="V411" s="41" t="n">
        <f aca="false">IF(M411=0,0,P411/M411)</f>
        <v>0.0204081632653061</v>
      </c>
      <c r="W411" s="40" t="n">
        <f aca="false">IF(L411=0,0,Q411/L411)</f>
        <v>0.0392156862745098</v>
      </c>
    </row>
    <row r="412" customFormat="false" ht="15" hidden="false" customHeight="false" outlineLevel="0" collapsed="false">
      <c r="A412" s="37" t="s">
        <v>1698</v>
      </c>
      <c r="B412" s="38" t="n">
        <v>46119.3647453704</v>
      </c>
      <c r="C412" s="37" t="s">
        <v>1252</v>
      </c>
      <c r="D412" s="37" t="s">
        <v>1646</v>
      </c>
      <c r="E412" s="37" t="s">
        <v>193</v>
      </c>
      <c r="F412" s="37" t="s">
        <v>544</v>
      </c>
      <c r="G412" s="37"/>
      <c r="H412" s="37" t="s">
        <v>60</v>
      </c>
      <c r="I412" s="37"/>
      <c r="J412" s="37" t="s">
        <v>100</v>
      </c>
      <c r="K412" s="37" t="s">
        <v>1202</v>
      </c>
      <c r="L412" s="39" t="n">
        <v>40</v>
      </c>
      <c r="M412" s="39" t="n">
        <v>38</v>
      </c>
      <c r="N412" s="39" t="n">
        <v>13</v>
      </c>
      <c r="O412" s="39" t="n">
        <v>2</v>
      </c>
      <c r="P412" s="39" t="n">
        <v>0</v>
      </c>
      <c r="Q412" s="39" t="n">
        <v>2</v>
      </c>
      <c r="R412" s="39" t="n">
        <v>1</v>
      </c>
      <c r="S412" s="39" t="n">
        <v>0</v>
      </c>
      <c r="T412" s="40" t="n">
        <f aca="false">IF(M412=0,0,N412/M412)</f>
        <v>0.342105263157895</v>
      </c>
      <c r="U412" s="40" t="n">
        <f aca="false">IF(M412=0,0,O412/M412)</f>
        <v>0.0526315789473684</v>
      </c>
      <c r="V412" s="41" t="n">
        <f aca="false">IF(M412=0,0,P412/M412)</f>
        <v>0</v>
      </c>
      <c r="W412" s="40" t="n">
        <f aca="false">IF(L412=0,0,Q412/L412)</f>
        <v>0.05</v>
      </c>
    </row>
    <row r="413" customFormat="false" ht="15" hidden="false" customHeight="false" outlineLevel="0" collapsed="false">
      <c r="A413" s="37" t="s">
        <v>1699</v>
      </c>
      <c r="B413" s="38" t="n">
        <v>46119.2193865741</v>
      </c>
      <c r="C413" s="37" t="s">
        <v>1201</v>
      </c>
      <c r="D413" s="37" t="s">
        <v>1700</v>
      </c>
      <c r="E413" s="37" t="s">
        <v>1436</v>
      </c>
      <c r="F413" s="37" t="s">
        <v>544</v>
      </c>
      <c r="G413" s="37"/>
      <c r="H413" s="37" t="s">
        <v>60</v>
      </c>
      <c r="I413" s="37"/>
      <c r="J413" s="37" t="s">
        <v>430</v>
      </c>
      <c r="K413" s="37" t="s">
        <v>8</v>
      </c>
      <c r="L413" s="39" t="n">
        <v>22</v>
      </c>
      <c r="M413" s="39" t="n">
        <v>22</v>
      </c>
      <c r="N413" s="39" t="n">
        <v>9</v>
      </c>
      <c r="O413" s="39" t="n">
        <v>0</v>
      </c>
      <c r="P413" s="39" t="n">
        <v>0</v>
      </c>
      <c r="Q413" s="39" t="n">
        <v>0</v>
      </c>
      <c r="R413" s="39" t="n">
        <v>0</v>
      </c>
      <c r="S413" s="39" t="n">
        <v>0</v>
      </c>
      <c r="T413" s="40" t="n">
        <f aca="false">IF(M413=0,0,N413/M413)</f>
        <v>0.409090909090909</v>
      </c>
      <c r="U413" s="40" t="n">
        <f aca="false">IF(M413=0,0,O413/M413)</f>
        <v>0</v>
      </c>
      <c r="V413" s="41" t="n">
        <f aca="false">IF(M413=0,0,P413/M413)</f>
        <v>0</v>
      </c>
      <c r="W413" s="40" t="n">
        <f aca="false">IF(L413=0,0,Q413/L413)</f>
        <v>0</v>
      </c>
    </row>
    <row r="414" customFormat="false" ht="15" hidden="false" customHeight="false" outlineLevel="0" collapsed="false">
      <c r="A414" s="37" t="s">
        <v>1701</v>
      </c>
      <c r="B414" s="38" t="n">
        <v>46118.9583796296</v>
      </c>
      <c r="C414" s="37" t="s">
        <v>1201</v>
      </c>
      <c r="D414" s="37" t="s">
        <v>152</v>
      </c>
      <c r="E414" s="37" t="s">
        <v>1344</v>
      </c>
      <c r="F414" s="37" t="s">
        <v>152</v>
      </c>
      <c r="G414" s="37"/>
      <c r="H414" s="37" t="s">
        <v>64</v>
      </c>
      <c r="I414" s="37"/>
      <c r="J414" s="37" t="s">
        <v>151</v>
      </c>
      <c r="K414" s="37" t="s">
        <v>1202</v>
      </c>
      <c r="L414" s="39" t="n">
        <v>3060</v>
      </c>
      <c r="M414" s="39" t="n">
        <v>3035</v>
      </c>
      <c r="N414" s="39" t="n">
        <v>1121</v>
      </c>
      <c r="O414" s="39" t="n">
        <v>225</v>
      </c>
      <c r="P414" s="39" t="n">
        <v>30</v>
      </c>
      <c r="Q414" s="39" t="n">
        <v>25</v>
      </c>
      <c r="R414" s="39" t="n">
        <v>24</v>
      </c>
      <c r="S414" s="39" t="n">
        <v>1</v>
      </c>
      <c r="T414" s="40" t="n">
        <f aca="false">IF(M414=0,0,N414/M414)</f>
        <v>0.369357495881384</v>
      </c>
      <c r="U414" s="40" t="n">
        <f aca="false">IF(M414=0,0,O414/M414)</f>
        <v>0.0741350906095552</v>
      </c>
      <c r="V414" s="41" t="n">
        <f aca="false">IF(M414=0,0,P414/M414)</f>
        <v>0.00988467874794069</v>
      </c>
      <c r="W414" s="40" t="n">
        <f aca="false">IF(L414=0,0,Q414/L414)</f>
        <v>0.00816993464052288</v>
      </c>
    </row>
    <row r="415" customFormat="false" ht="15" hidden="false" customHeight="false" outlineLevel="0" collapsed="false">
      <c r="A415" s="37" t="s">
        <v>1702</v>
      </c>
      <c r="B415" s="38" t="n">
        <v>46118.8335763889</v>
      </c>
      <c r="C415" s="37" t="s">
        <v>1201</v>
      </c>
      <c r="D415" s="37" t="s">
        <v>127</v>
      </c>
      <c r="E415" s="37" t="s">
        <v>178</v>
      </c>
      <c r="F415" s="37" t="s">
        <v>127</v>
      </c>
      <c r="G415" s="37"/>
      <c r="H415" s="37" t="s">
        <v>65</v>
      </c>
      <c r="I415" s="37"/>
      <c r="J415" s="37" t="s">
        <v>126</v>
      </c>
      <c r="K415" s="37" t="s">
        <v>1202</v>
      </c>
      <c r="L415" s="39" t="n">
        <v>302</v>
      </c>
      <c r="M415" s="39" t="n">
        <v>284</v>
      </c>
      <c r="N415" s="39" t="n">
        <v>109</v>
      </c>
      <c r="O415" s="39" t="n">
        <v>19</v>
      </c>
      <c r="P415" s="39" t="n">
        <v>0</v>
      </c>
      <c r="Q415" s="39" t="n">
        <v>18</v>
      </c>
      <c r="R415" s="39" t="n">
        <v>12</v>
      </c>
      <c r="S415" s="39" t="n">
        <v>0</v>
      </c>
      <c r="T415" s="40" t="n">
        <f aca="false">IF(M415=0,0,N415/M415)</f>
        <v>0.383802816901408</v>
      </c>
      <c r="U415" s="40" t="n">
        <f aca="false">IF(M415=0,0,O415/M415)</f>
        <v>0.0669014084507042</v>
      </c>
      <c r="V415" s="41" t="n">
        <f aca="false">IF(M415=0,0,P415/M415)</f>
        <v>0</v>
      </c>
      <c r="W415" s="40" t="n">
        <f aca="false">IF(L415=0,0,Q415/L415)</f>
        <v>0.0596026490066225</v>
      </c>
    </row>
    <row r="416" customFormat="false" ht="15" hidden="false" customHeight="false" outlineLevel="0" collapsed="false">
      <c r="A416" s="37" t="s">
        <v>1703</v>
      </c>
      <c r="B416" s="38" t="n">
        <v>46118.4359953704</v>
      </c>
      <c r="C416" s="37" t="s">
        <v>1201</v>
      </c>
      <c r="D416" s="37" t="s">
        <v>1211</v>
      </c>
      <c r="E416" s="37" t="s">
        <v>1212</v>
      </c>
      <c r="F416" s="37" t="s">
        <v>544</v>
      </c>
      <c r="G416" s="37"/>
      <c r="H416" s="37" t="s">
        <v>60</v>
      </c>
      <c r="I416" s="37"/>
      <c r="J416" s="37" t="s">
        <v>100</v>
      </c>
      <c r="K416" s="37" t="s">
        <v>1213</v>
      </c>
      <c r="L416" s="39" t="n">
        <v>121</v>
      </c>
      <c r="M416" s="39" t="n">
        <v>121</v>
      </c>
      <c r="N416" s="39" t="n">
        <v>77</v>
      </c>
      <c r="O416" s="39" t="n">
        <v>0</v>
      </c>
      <c r="P416" s="39" t="n">
        <v>0</v>
      </c>
      <c r="Q416" s="39" t="n">
        <v>0</v>
      </c>
      <c r="R416" s="39" t="n">
        <v>0</v>
      </c>
      <c r="S416" s="39" t="n">
        <v>0</v>
      </c>
      <c r="T416" s="40" t="n">
        <f aca="false">IF(M416=0,0,N416/M416)</f>
        <v>0.636363636363636</v>
      </c>
      <c r="U416" s="40" t="n">
        <f aca="false">IF(M416=0,0,O416/M416)</f>
        <v>0</v>
      </c>
      <c r="V416" s="41" t="n">
        <f aca="false">IF(M416=0,0,P416/M416)</f>
        <v>0</v>
      </c>
      <c r="W416" s="40" t="n">
        <f aca="false">IF(L416=0,0,Q416/L416)</f>
        <v>0</v>
      </c>
    </row>
    <row r="417" customFormat="false" ht="15" hidden="false" customHeight="false" outlineLevel="0" collapsed="false">
      <c r="A417" s="37" t="s">
        <v>1704</v>
      </c>
      <c r="B417" s="38" t="n">
        <v>46117.9749074074</v>
      </c>
      <c r="C417" s="37" t="s">
        <v>1201</v>
      </c>
      <c r="D417" s="37" t="s">
        <v>171</v>
      </c>
      <c r="E417" s="37" t="s">
        <v>172</v>
      </c>
      <c r="F417" s="37" t="s">
        <v>555</v>
      </c>
      <c r="G417" s="37"/>
      <c r="H417" s="37" t="s">
        <v>61</v>
      </c>
      <c r="I417" s="37" t="s">
        <v>169</v>
      </c>
      <c r="J417" s="37" t="s">
        <v>170</v>
      </c>
      <c r="K417" s="37" t="s">
        <v>1202</v>
      </c>
      <c r="L417" s="39" t="n">
        <v>1542</v>
      </c>
      <c r="M417" s="39" t="n">
        <v>1481</v>
      </c>
      <c r="N417" s="39" t="n">
        <v>394</v>
      </c>
      <c r="O417" s="39" t="n">
        <v>40</v>
      </c>
      <c r="P417" s="39" t="n">
        <v>27</v>
      </c>
      <c r="Q417" s="39" t="n">
        <v>61</v>
      </c>
      <c r="R417" s="39" t="n">
        <v>58</v>
      </c>
      <c r="S417" s="39" t="n">
        <v>0</v>
      </c>
      <c r="T417" s="40" t="n">
        <f aca="false">IF(M417=0,0,N417/M417)</f>
        <v>0.266036461850101</v>
      </c>
      <c r="U417" s="40" t="n">
        <f aca="false">IF(M417=0,0,O417/M417)</f>
        <v>0.0270087778528022</v>
      </c>
      <c r="V417" s="41" t="n">
        <f aca="false">IF(M417=0,0,P417/M417)</f>
        <v>0.0182309250506415</v>
      </c>
      <c r="W417" s="40" t="n">
        <f aca="false">IF(L417=0,0,Q417/L417)</f>
        <v>0.0395590142671855</v>
      </c>
    </row>
    <row r="418" customFormat="false" ht="15" hidden="false" customHeight="false" outlineLevel="0" collapsed="false">
      <c r="A418" s="37" t="s">
        <v>1705</v>
      </c>
      <c r="B418" s="38" t="n">
        <v>46117.9112268519</v>
      </c>
      <c r="C418" s="37" t="s">
        <v>1201</v>
      </c>
      <c r="D418" s="37" t="s">
        <v>1436</v>
      </c>
      <c r="E418" s="37" t="s">
        <v>1436</v>
      </c>
      <c r="F418" s="37" t="s">
        <v>544</v>
      </c>
      <c r="G418" s="37"/>
      <c r="H418" s="37" t="s">
        <v>60</v>
      </c>
      <c r="I418" s="37"/>
      <c r="J418" s="37" t="s">
        <v>144</v>
      </c>
      <c r="K418" s="37" t="s">
        <v>1213</v>
      </c>
      <c r="L418" s="39" t="n">
        <v>457</v>
      </c>
      <c r="M418" s="39" t="n">
        <v>454</v>
      </c>
      <c r="N418" s="39" t="n">
        <v>192</v>
      </c>
      <c r="O418" s="39" t="n">
        <v>47</v>
      </c>
      <c r="P418" s="39" t="n">
        <v>7</v>
      </c>
      <c r="Q418" s="39" t="n">
        <v>3</v>
      </c>
      <c r="R418" s="39" t="n">
        <v>2</v>
      </c>
      <c r="S418" s="39" t="n">
        <v>0</v>
      </c>
      <c r="T418" s="40" t="n">
        <f aca="false">IF(M418=0,0,N418/M418)</f>
        <v>0.422907488986784</v>
      </c>
      <c r="U418" s="40" t="n">
        <f aca="false">IF(M418=0,0,O418/M418)</f>
        <v>0.10352422907489</v>
      </c>
      <c r="V418" s="41" t="n">
        <f aca="false">IF(M418=0,0,P418/M418)</f>
        <v>0.0154185022026432</v>
      </c>
      <c r="W418" s="40" t="n">
        <f aca="false">IF(L418=0,0,Q418/L418)</f>
        <v>0.00656455142231948</v>
      </c>
    </row>
    <row r="419" customFormat="false" ht="15" hidden="false" customHeight="false" outlineLevel="0" collapsed="false">
      <c r="A419" s="37" t="s">
        <v>1706</v>
      </c>
      <c r="B419" s="38" t="n">
        <v>46115.3128819445</v>
      </c>
      <c r="C419" s="37" t="s">
        <v>1201</v>
      </c>
      <c r="D419" s="37" t="s">
        <v>1526</v>
      </c>
      <c r="E419" s="37" t="s">
        <v>1527</v>
      </c>
      <c r="F419" s="37" t="s">
        <v>548</v>
      </c>
      <c r="G419" s="37"/>
      <c r="H419" s="37" t="s">
        <v>60</v>
      </c>
      <c r="I419" s="37"/>
      <c r="J419" s="37" t="s">
        <v>364</v>
      </c>
      <c r="K419" s="37" t="s">
        <v>1202</v>
      </c>
      <c r="L419" s="39" t="n">
        <v>509</v>
      </c>
      <c r="M419" s="39" t="n">
        <v>505</v>
      </c>
      <c r="N419" s="39" t="n">
        <v>224</v>
      </c>
      <c r="O419" s="39" t="n">
        <v>42</v>
      </c>
      <c r="P419" s="39" t="n">
        <v>5</v>
      </c>
      <c r="Q419" s="39" t="n">
        <v>4</v>
      </c>
      <c r="R419" s="39" t="n">
        <v>4</v>
      </c>
      <c r="S419" s="39" t="n">
        <v>0</v>
      </c>
      <c r="T419" s="40" t="n">
        <f aca="false">IF(M419=0,0,N419/M419)</f>
        <v>0.443564356435644</v>
      </c>
      <c r="U419" s="40" t="n">
        <f aca="false">IF(M419=0,0,O419/M419)</f>
        <v>0.0831683168316832</v>
      </c>
      <c r="V419" s="41" t="n">
        <f aca="false">IF(M419=0,0,P419/M419)</f>
        <v>0.0099009900990099</v>
      </c>
      <c r="W419" s="40" t="n">
        <f aca="false">IF(L419=0,0,Q419/L419)</f>
        <v>0.00785854616895874</v>
      </c>
    </row>
    <row r="420" customFormat="false" ht="15" hidden="false" customHeight="false" outlineLevel="0" collapsed="false">
      <c r="A420" s="37" t="s">
        <v>1678</v>
      </c>
      <c r="B420" s="38" t="n">
        <v>46114.2742939815</v>
      </c>
      <c r="C420" s="37" t="s">
        <v>1201</v>
      </c>
      <c r="D420" s="37" t="s">
        <v>1211</v>
      </c>
      <c r="E420" s="37" t="s">
        <v>1212</v>
      </c>
      <c r="F420" s="37" t="s">
        <v>544</v>
      </c>
      <c r="G420" s="37"/>
      <c r="H420" s="37" t="s">
        <v>60</v>
      </c>
      <c r="I420" s="37"/>
      <c r="J420" s="37" t="s">
        <v>100</v>
      </c>
      <c r="K420" s="37" t="s">
        <v>1213</v>
      </c>
      <c r="L420" s="39" t="n">
        <v>122</v>
      </c>
      <c r="M420" s="39" t="n">
        <v>121</v>
      </c>
      <c r="N420" s="39" t="n">
        <v>73</v>
      </c>
      <c r="O420" s="39" t="n">
        <v>16</v>
      </c>
      <c r="P420" s="39" t="n">
        <v>0</v>
      </c>
      <c r="Q420" s="39" t="n">
        <v>1</v>
      </c>
      <c r="R420" s="39" t="n">
        <v>1</v>
      </c>
      <c r="S420" s="39" t="n">
        <v>0</v>
      </c>
      <c r="T420" s="40" t="n">
        <f aca="false">IF(M420=0,0,N420/M420)</f>
        <v>0.603305785123967</v>
      </c>
      <c r="U420" s="40" t="n">
        <f aca="false">IF(M420=0,0,O420/M420)</f>
        <v>0.132231404958678</v>
      </c>
      <c r="V420" s="41" t="n">
        <f aca="false">IF(M420=0,0,P420/M420)</f>
        <v>0</v>
      </c>
      <c r="W420" s="40" t="n">
        <f aca="false">IF(L420=0,0,Q420/L420)</f>
        <v>0.00819672131147541</v>
      </c>
    </row>
    <row r="421" customFormat="false" ht="15" hidden="false" customHeight="false" outlineLevel="0" collapsed="false">
      <c r="A421" s="37" t="s">
        <v>1707</v>
      </c>
      <c r="B421" s="38" t="n">
        <v>46114.2446759259</v>
      </c>
      <c r="C421" s="37" t="s">
        <v>1201</v>
      </c>
      <c r="D421" s="37" t="s">
        <v>1708</v>
      </c>
      <c r="E421" s="37" t="s">
        <v>1709</v>
      </c>
      <c r="F421" s="37" t="s">
        <v>127</v>
      </c>
      <c r="G421" s="37"/>
      <c r="H421" s="37" t="s">
        <v>60</v>
      </c>
      <c r="I421" s="37"/>
      <c r="J421" s="37" t="s">
        <v>126</v>
      </c>
      <c r="K421" s="37" t="s">
        <v>1213</v>
      </c>
      <c r="L421" s="39" t="n">
        <v>33</v>
      </c>
      <c r="M421" s="39" t="n">
        <v>33</v>
      </c>
      <c r="N421" s="39" t="n">
        <v>14</v>
      </c>
      <c r="O421" s="39" t="n">
        <v>2</v>
      </c>
      <c r="P421" s="39" t="n">
        <v>0</v>
      </c>
      <c r="Q421" s="39" t="n">
        <v>0</v>
      </c>
      <c r="R421" s="39" t="n">
        <v>0</v>
      </c>
      <c r="S421" s="39" t="n">
        <v>0</v>
      </c>
      <c r="T421" s="40" t="n">
        <f aca="false">IF(M421=0,0,N421/M421)</f>
        <v>0.424242424242424</v>
      </c>
      <c r="U421" s="40" t="n">
        <f aca="false">IF(M421=0,0,O421/M421)</f>
        <v>0.0606060606060606</v>
      </c>
      <c r="V421" s="41" t="n">
        <f aca="false">IF(M421=0,0,P421/M421)</f>
        <v>0</v>
      </c>
      <c r="W421" s="40" t="n">
        <f aca="false">IF(L421=0,0,Q421/L421)</f>
        <v>0</v>
      </c>
    </row>
    <row r="422" customFormat="false" ht="15" hidden="false" customHeight="false" outlineLevel="0" collapsed="false">
      <c r="A422" s="37" t="s">
        <v>1710</v>
      </c>
      <c r="B422" s="38" t="n">
        <v>46114.0692708333</v>
      </c>
      <c r="C422" s="37" t="s">
        <v>1201</v>
      </c>
      <c r="D422" s="37" t="s">
        <v>185</v>
      </c>
      <c r="E422" s="37" t="s">
        <v>186</v>
      </c>
      <c r="F422" s="37" t="s">
        <v>544</v>
      </c>
      <c r="G422" s="37"/>
      <c r="H422" s="37" t="s">
        <v>60</v>
      </c>
      <c r="I422" s="37"/>
      <c r="J422" s="37" t="s">
        <v>184</v>
      </c>
      <c r="K422" s="37" t="s">
        <v>1202</v>
      </c>
      <c r="L422" s="39" t="n">
        <v>1</v>
      </c>
      <c r="M422" s="39" t="n">
        <v>1</v>
      </c>
      <c r="N422" s="39" t="n">
        <v>1</v>
      </c>
      <c r="O422" s="39" t="n">
        <v>0</v>
      </c>
      <c r="P422" s="39" t="n">
        <v>0</v>
      </c>
      <c r="Q422" s="39" t="n">
        <v>0</v>
      </c>
      <c r="R422" s="39" t="n">
        <v>0</v>
      </c>
      <c r="S422" s="39" t="n">
        <v>0</v>
      </c>
      <c r="T422" s="40" t="n">
        <f aca="false">IF(M422=0,0,N422/M422)</f>
        <v>1</v>
      </c>
      <c r="U422" s="40" t="n">
        <f aca="false">IF(M422=0,0,O422/M422)</f>
        <v>0</v>
      </c>
      <c r="V422" s="41" t="n">
        <f aca="false">IF(M422=0,0,P422/M422)</f>
        <v>0</v>
      </c>
      <c r="W422" s="40" t="n">
        <f aca="false">IF(L422=0,0,Q422/L422)</f>
        <v>0</v>
      </c>
    </row>
    <row r="423" customFormat="false" ht="15" hidden="false" customHeight="false" outlineLevel="0" collapsed="false">
      <c r="A423" s="37" t="s">
        <v>1711</v>
      </c>
      <c r="B423" s="38" t="n">
        <v>46114.0646180556</v>
      </c>
      <c r="C423" s="37" t="s">
        <v>1201</v>
      </c>
      <c r="D423" s="37" t="s">
        <v>1708</v>
      </c>
      <c r="E423" s="37" t="s">
        <v>1709</v>
      </c>
      <c r="F423" s="37" t="s">
        <v>127</v>
      </c>
      <c r="G423" s="37"/>
      <c r="H423" s="37" t="s">
        <v>60</v>
      </c>
      <c r="I423" s="37"/>
      <c r="J423" s="37" t="s">
        <v>126</v>
      </c>
      <c r="K423" s="37" t="s">
        <v>1213</v>
      </c>
      <c r="L423" s="39" t="n">
        <v>39</v>
      </c>
      <c r="M423" s="39" t="n">
        <v>39</v>
      </c>
      <c r="N423" s="39" t="n">
        <v>8</v>
      </c>
      <c r="O423" s="39" t="n">
        <v>0</v>
      </c>
      <c r="P423" s="39" t="n">
        <v>0</v>
      </c>
      <c r="Q423" s="39" t="n">
        <v>0</v>
      </c>
      <c r="R423" s="39" t="n">
        <v>0</v>
      </c>
      <c r="S423" s="39" t="n">
        <v>0</v>
      </c>
      <c r="T423" s="40" t="n">
        <f aca="false">IF(M423=0,0,N423/M423)</f>
        <v>0.205128205128205</v>
      </c>
      <c r="U423" s="40" t="n">
        <f aca="false">IF(M423=0,0,O423/M423)</f>
        <v>0</v>
      </c>
      <c r="V423" s="41" t="n">
        <f aca="false">IF(M423=0,0,P423/M423)</f>
        <v>0</v>
      </c>
      <c r="W423" s="40" t="n">
        <f aca="false">IF(L423=0,0,Q423/L423)</f>
        <v>0</v>
      </c>
    </row>
    <row r="424" customFormat="false" ht="15" hidden="false" customHeight="false" outlineLevel="0" collapsed="false">
      <c r="A424" s="37" t="s">
        <v>1712</v>
      </c>
      <c r="B424" s="38" t="n">
        <v>46113.8145949074</v>
      </c>
      <c r="C424" s="37" t="s">
        <v>1201</v>
      </c>
      <c r="D424" s="37" t="s">
        <v>139</v>
      </c>
      <c r="E424" s="37" t="s">
        <v>128</v>
      </c>
      <c r="F424" s="37" t="s">
        <v>127</v>
      </c>
      <c r="G424" s="37"/>
      <c r="H424" s="37" t="s">
        <v>61</v>
      </c>
      <c r="I424" s="37" t="s">
        <v>138</v>
      </c>
      <c r="J424" s="37" t="s">
        <v>126</v>
      </c>
      <c r="K424" s="37" t="s">
        <v>1202</v>
      </c>
      <c r="L424" s="39" t="n">
        <v>2886</v>
      </c>
      <c r="M424" s="39" t="n">
        <v>2867</v>
      </c>
      <c r="N424" s="39" t="n">
        <v>1037</v>
      </c>
      <c r="O424" s="39" t="n">
        <v>83</v>
      </c>
      <c r="P424" s="39" t="n">
        <v>13</v>
      </c>
      <c r="Q424" s="39" t="n">
        <v>19</v>
      </c>
      <c r="R424" s="39" t="n">
        <v>12</v>
      </c>
      <c r="S424" s="39" t="n">
        <v>0</v>
      </c>
      <c r="T424" s="40" t="n">
        <f aca="false">IF(M424=0,0,N424/M424)</f>
        <v>0.361702127659575</v>
      </c>
      <c r="U424" s="40" t="n">
        <f aca="false">IF(M424=0,0,O424/M424)</f>
        <v>0.028950122078828</v>
      </c>
      <c r="V424" s="41" t="n">
        <f aca="false">IF(M424=0,0,P424/M424)</f>
        <v>0.00453435647017789</v>
      </c>
      <c r="W424" s="40" t="n">
        <f aca="false">IF(L424=0,0,Q424/L424)</f>
        <v>0.00658350658350658</v>
      </c>
    </row>
    <row r="425" customFormat="false" ht="15" hidden="false" customHeight="false" outlineLevel="0" collapsed="false">
      <c r="A425" s="37" t="s">
        <v>1713</v>
      </c>
      <c r="B425" s="38" t="n">
        <v>46113.4533680556</v>
      </c>
      <c r="C425" s="37" t="s">
        <v>1241</v>
      </c>
      <c r="D425" s="37" t="s">
        <v>1242</v>
      </c>
      <c r="E425" s="37" t="s">
        <v>1250</v>
      </c>
      <c r="F425" s="37" t="s">
        <v>555</v>
      </c>
      <c r="G425" s="37" t="s">
        <v>1714</v>
      </c>
      <c r="H425" s="37" t="s">
        <v>66</v>
      </c>
      <c r="I425" s="37"/>
      <c r="J425" s="37" t="s">
        <v>354</v>
      </c>
      <c r="K425" s="37" t="s">
        <v>1202</v>
      </c>
      <c r="L425" s="39" t="n">
        <v>0</v>
      </c>
      <c r="M425" s="39" t="n">
        <v>0</v>
      </c>
      <c r="N425" s="39" t="n">
        <v>0</v>
      </c>
      <c r="O425" s="39" t="n">
        <v>0</v>
      </c>
      <c r="P425" s="39" t="n">
        <v>0</v>
      </c>
      <c r="Q425" s="39" t="n">
        <v>0</v>
      </c>
      <c r="R425" s="39" t="n">
        <v>0</v>
      </c>
      <c r="S425" s="39" t="n">
        <v>0</v>
      </c>
      <c r="T425" s="40" t="n">
        <f aca="false">IF(M425=0,0,N425/M425)</f>
        <v>0</v>
      </c>
      <c r="U425" s="40" t="n">
        <f aca="false">IF(M425=0,0,O425/M425)</f>
        <v>0</v>
      </c>
      <c r="V425" s="41" t="n">
        <f aca="false">IF(M425=0,0,P425/M425)</f>
        <v>0</v>
      </c>
      <c r="W425" s="40" t="n">
        <f aca="false">IF(L425=0,0,Q425/L425)</f>
        <v>0</v>
      </c>
    </row>
    <row r="426" customFormat="false" ht="15" hidden="false" customHeight="false" outlineLevel="0" collapsed="false">
      <c r="A426" s="37" t="s">
        <v>1715</v>
      </c>
      <c r="B426" s="38" t="n">
        <v>46113.4223148148</v>
      </c>
      <c r="C426" s="37" t="s">
        <v>1201</v>
      </c>
      <c r="D426" s="37" t="s">
        <v>1327</v>
      </c>
      <c r="E426" s="37" t="s">
        <v>1327</v>
      </c>
      <c r="F426" s="37" t="s">
        <v>544</v>
      </c>
      <c r="G426" s="37"/>
      <c r="H426" s="37" t="s">
        <v>60</v>
      </c>
      <c r="I426" s="37"/>
      <c r="J426" s="37" t="s">
        <v>417</v>
      </c>
      <c r="K426" s="37" t="s">
        <v>1202</v>
      </c>
      <c r="L426" s="39" t="n">
        <v>23</v>
      </c>
      <c r="M426" s="39" t="n">
        <v>22</v>
      </c>
      <c r="N426" s="39" t="n">
        <v>6</v>
      </c>
      <c r="O426" s="39" t="n">
        <v>0</v>
      </c>
      <c r="P426" s="39" t="n">
        <v>1</v>
      </c>
      <c r="Q426" s="39" t="n">
        <v>1</v>
      </c>
      <c r="R426" s="39" t="n">
        <v>1</v>
      </c>
      <c r="S426" s="39" t="n">
        <v>0</v>
      </c>
      <c r="T426" s="40" t="n">
        <f aca="false">IF(M426=0,0,N426/M426)</f>
        <v>0.272727272727273</v>
      </c>
      <c r="U426" s="40" t="n">
        <f aca="false">IF(M426=0,0,O426/M426)</f>
        <v>0</v>
      </c>
      <c r="V426" s="41" t="n">
        <f aca="false">IF(M426=0,0,P426/M426)</f>
        <v>0.0454545454545455</v>
      </c>
      <c r="W426" s="40" t="n">
        <f aca="false">IF(L426=0,0,Q426/L426)</f>
        <v>0.0434782608695652</v>
      </c>
    </row>
    <row r="427" customFormat="false" ht="15" hidden="false" customHeight="false" outlineLevel="0" collapsed="false">
      <c r="A427" s="37" t="s">
        <v>1716</v>
      </c>
      <c r="B427" s="38" t="n">
        <v>46113.3912384259</v>
      </c>
      <c r="C427" s="37" t="s">
        <v>1201</v>
      </c>
      <c r="D427" s="37" t="s">
        <v>623</v>
      </c>
      <c r="E427" s="37" t="s">
        <v>166</v>
      </c>
      <c r="F427" s="37" t="s">
        <v>555</v>
      </c>
      <c r="G427" s="37" t="s">
        <v>1121</v>
      </c>
      <c r="H427" s="37" t="s">
        <v>61</v>
      </c>
      <c r="I427" s="37" t="s">
        <v>163</v>
      </c>
      <c r="J427" s="37" t="s">
        <v>164</v>
      </c>
      <c r="K427" s="37" t="s">
        <v>1202</v>
      </c>
      <c r="L427" s="39" t="n">
        <v>1316</v>
      </c>
      <c r="M427" s="39" t="n">
        <v>1312</v>
      </c>
      <c r="N427" s="39" t="n">
        <v>555</v>
      </c>
      <c r="O427" s="39" t="n">
        <v>38</v>
      </c>
      <c r="P427" s="39" t="n">
        <v>9</v>
      </c>
      <c r="Q427" s="39" t="n">
        <v>4</v>
      </c>
      <c r="R427" s="39" t="n">
        <v>3</v>
      </c>
      <c r="S427" s="39" t="n">
        <v>0</v>
      </c>
      <c r="T427" s="40" t="n">
        <f aca="false">IF(M427=0,0,N427/M427)</f>
        <v>0.423018292682927</v>
      </c>
      <c r="U427" s="40" t="n">
        <f aca="false">IF(M427=0,0,O427/M427)</f>
        <v>0.0289634146341463</v>
      </c>
      <c r="V427" s="41" t="n">
        <f aca="false">IF(M427=0,0,P427/M427)</f>
        <v>0.00685975609756098</v>
      </c>
      <c r="W427" s="40" t="n">
        <f aca="false">IF(L427=0,0,Q427/L427)</f>
        <v>0.00303951367781155</v>
      </c>
    </row>
    <row r="428" customFormat="false" ht="15" hidden="false" customHeight="false" outlineLevel="0" collapsed="false">
      <c r="A428" s="37" t="s">
        <v>1717</v>
      </c>
      <c r="B428" s="38" t="n">
        <v>46113.231099537</v>
      </c>
      <c r="C428" s="37" t="s">
        <v>1201</v>
      </c>
      <c r="D428" s="37" t="s">
        <v>185</v>
      </c>
      <c r="E428" s="37" t="s">
        <v>186</v>
      </c>
      <c r="F428" s="37" t="s">
        <v>544</v>
      </c>
      <c r="G428" s="37"/>
      <c r="H428" s="37" t="s">
        <v>60</v>
      </c>
      <c r="I428" s="37"/>
      <c r="J428" s="37" t="s">
        <v>184</v>
      </c>
      <c r="K428" s="37" t="s">
        <v>1202</v>
      </c>
      <c r="L428" s="39" t="n">
        <v>467</v>
      </c>
      <c r="M428" s="39" t="n">
        <v>460</v>
      </c>
      <c r="N428" s="39" t="n">
        <v>137</v>
      </c>
      <c r="O428" s="39" t="n">
        <v>26</v>
      </c>
      <c r="P428" s="39" t="n">
        <v>4</v>
      </c>
      <c r="Q428" s="39" t="n">
        <v>7</v>
      </c>
      <c r="R428" s="39" t="n">
        <v>5</v>
      </c>
      <c r="S428" s="39" t="n">
        <v>0</v>
      </c>
      <c r="T428" s="40" t="n">
        <f aca="false">IF(M428=0,0,N428/M428)</f>
        <v>0.297826086956522</v>
      </c>
      <c r="U428" s="40" t="n">
        <f aca="false">IF(M428=0,0,O428/M428)</f>
        <v>0.0565217391304348</v>
      </c>
      <c r="V428" s="41" t="n">
        <f aca="false">IF(M428=0,0,P428/M428)</f>
        <v>0.00869565217391304</v>
      </c>
      <c r="W428" s="40" t="n">
        <f aca="false">IF(L428=0,0,Q428/L428)</f>
        <v>0.0149892933618844</v>
      </c>
    </row>
    <row r="429" customFormat="false" ht="15" hidden="false" customHeight="false" outlineLevel="0" collapsed="false">
      <c r="A429" s="37" t="s">
        <v>1718</v>
      </c>
      <c r="B429" s="38" t="n">
        <v>46112.6254282407</v>
      </c>
      <c r="C429" s="37" t="s">
        <v>1201</v>
      </c>
      <c r="D429" s="37" t="s">
        <v>160</v>
      </c>
      <c r="E429" s="37" t="s">
        <v>160</v>
      </c>
      <c r="F429" s="37" t="s">
        <v>555</v>
      </c>
      <c r="G429" s="37" t="s">
        <v>1114</v>
      </c>
      <c r="H429" s="37" t="s">
        <v>60</v>
      </c>
      <c r="I429" s="37"/>
      <c r="J429" s="37" t="s">
        <v>158</v>
      </c>
      <c r="K429" s="37" t="s">
        <v>1202</v>
      </c>
      <c r="L429" s="39" t="n">
        <v>2094</v>
      </c>
      <c r="M429" s="39" t="n">
        <v>2085</v>
      </c>
      <c r="N429" s="39" t="n">
        <v>673</v>
      </c>
      <c r="O429" s="39" t="n">
        <v>91</v>
      </c>
      <c r="P429" s="39" t="n">
        <v>15</v>
      </c>
      <c r="Q429" s="39" t="n">
        <v>9</v>
      </c>
      <c r="R429" s="39" t="n">
        <v>6</v>
      </c>
      <c r="S429" s="39" t="n">
        <v>0</v>
      </c>
      <c r="T429" s="40" t="n">
        <f aca="false">IF(M429=0,0,N429/M429)</f>
        <v>0.322781774580336</v>
      </c>
      <c r="U429" s="40" t="n">
        <f aca="false">IF(M429=0,0,O429/M429)</f>
        <v>0.0436450839328537</v>
      </c>
      <c r="V429" s="41" t="n">
        <f aca="false">IF(M429=0,0,P429/M429)</f>
        <v>0.00719424460431655</v>
      </c>
      <c r="W429" s="40" t="n">
        <f aca="false">IF(L429=0,0,Q429/L429)</f>
        <v>0.00429799426934097</v>
      </c>
    </row>
    <row r="430" customFormat="false" ht="15" hidden="false" customHeight="false" outlineLevel="0" collapsed="false">
      <c r="A430" s="37" t="s">
        <v>1719</v>
      </c>
      <c r="B430" s="38" t="n">
        <v>46112.4791666667</v>
      </c>
      <c r="C430" s="37" t="s">
        <v>1201</v>
      </c>
      <c r="D430" s="37" t="s">
        <v>297</v>
      </c>
      <c r="E430" s="37" t="s">
        <v>1209</v>
      </c>
      <c r="F430" s="37" t="s">
        <v>537</v>
      </c>
      <c r="G430" s="37"/>
      <c r="H430" s="37" t="s">
        <v>61</v>
      </c>
      <c r="I430" s="37" t="s">
        <v>294</v>
      </c>
      <c r="J430" s="37" t="s">
        <v>296</v>
      </c>
      <c r="K430" s="37" t="s">
        <v>1202</v>
      </c>
      <c r="L430" s="39" t="n">
        <v>623</v>
      </c>
      <c r="M430" s="39" t="n">
        <v>623</v>
      </c>
      <c r="N430" s="39" t="n">
        <v>495</v>
      </c>
      <c r="O430" s="39" t="n">
        <v>49</v>
      </c>
      <c r="P430" s="39" t="n">
        <v>1</v>
      </c>
      <c r="Q430" s="39" t="n">
        <v>0</v>
      </c>
      <c r="R430" s="39" t="n">
        <v>0</v>
      </c>
      <c r="S430" s="39" t="n">
        <v>0</v>
      </c>
      <c r="T430" s="40" t="n">
        <f aca="false">IF(M430=0,0,N430/M430)</f>
        <v>0.79454253611557</v>
      </c>
      <c r="U430" s="40" t="n">
        <f aca="false">IF(M430=0,0,O430/M430)</f>
        <v>0.0786516853932584</v>
      </c>
      <c r="V430" s="41" t="n">
        <f aca="false">IF(M430=0,0,P430/M430)</f>
        <v>0.00160513643659711</v>
      </c>
      <c r="W430" s="40" t="n">
        <f aca="false">IF(L430=0,0,Q430/L430)</f>
        <v>0</v>
      </c>
    </row>
    <row r="431" customFormat="false" ht="15" hidden="false" customHeight="false" outlineLevel="0" collapsed="false">
      <c r="A431" s="37" t="s">
        <v>1720</v>
      </c>
      <c r="B431" s="38" t="n">
        <v>46112.4079166667</v>
      </c>
      <c r="C431" s="37" t="s">
        <v>1201</v>
      </c>
      <c r="D431" s="37" t="s">
        <v>1211</v>
      </c>
      <c r="E431" s="37" t="s">
        <v>1212</v>
      </c>
      <c r="F431" s="37" t="s">
        <v>544</v>
      </c>
      <c r="G431" s="37"/>
      <c r="H431" s="37" t="s">
        <v>60</v>
      </c>
      <c r="I431" s="37"/>
      <c r="J431" s="37" t="s">
        <v>100</v>
      </c>
      <c r="K431" s="37" t="s">
        <v>1213</v>
      </c>
      <c r="L431" s="39" t="n">
        <v>123</v>
      </c>
      <c r="M431" s="39" t="n">
        <v>123</v>
      </c>
      <c r="N431" s="39" t="n">
        <v>74</v>
      </c>
      <c r="O431" s="39" t="n">
        <v>13</v>
      </c>
      <c r="P431" s="39" t="n">
        <v>0</v>
      </c>
      <c r="Q431" s="39" t="n">
        <v>0</v>
      </c>
      <c r="R431" s="39" t="n">
        <v>0</v>
      </c>
      <c r="S431" s="39" t="n">
        <v>0</v>
      </c>
      <c r="T431" s="40" t="n">
        <f aca="false">IF(M431=0,0,N431/M431)</f>
        <v>0.601626016260163</v>
      </c>
      <c r="U431" s="40" t="n">
        <f aca="false">IF(M431=0,0,O431/M431)</f>
        <v>0.105691056910569</v>
      </c>
      <c r="V431" s="41" t="n">
        <f aca="false">IF(M431=0,0,P431/M431)</f>
        <v>0</v>
      </c>
      <c r="W431" s="40" t="n">
        <f aca="false">IF(L431=0,0,Q431/L431)</f>
        <v>0</v>
      </c>
    </row>
    <row r="432" customFormat="false" ht="15" hidden="false" customHeight="false" outlineLevel="0" collapsed="false">
      <c r="A432" s="37" t="s">
        <v>1721</v>
      </c>
      <c r="B432" s="38" t="n">
        <v>46112.4039236111</v>
      </c>
      <c r="C432" s="37" t="s">
        <v>1201</v>
      </c>
      <c r="D432" s="37" t="s">
        <v>116</v>
      </c>
      <c r="E432" s="37" t="s">
        <v>117</v>
      </c>
      <c r="F432" s="37" t="s">
        <v>555</v>
      </c>
      <c r="G432" s="37" t="s">
        <v>1118</v>
      </c>
      <c r="H432" s="37" t="s">
        <v>61</v>
      </c>
      <c r="I432" s="37" t="s">
        <v>114</v>
      </c>
      <c r="J432" s="37" t="s">
        <v>115</v>
      </c>
      <c r="K432" s="37" t="s">
        <v>1202</v>
      </c>
      <c r="L432" s="39" t="n">
        <v>4968</v>
      </c>
      <c r="M432" s="39" t="n">
        <v>4929</v>
      </c>
      <c r="N432" s="39" t="n">
        <v>1276</v>
      </c>
      <c r="O432" s="39" t="n">
        <v>123</v>
      </c>
      <c r="P432" s="39" t="n">
        <v>56</v>
      </c>
      <c r="Q432" s="39" t="n">
        <v>39</v>
      </c>
      <c r="R432" s="39" t="n">
        <v>19</v>
      </c>
      <c r="S432" s="39" t="n">
        <v>0</v>
      </c>
      <c r="T432" s="40" t="n">
        <f aca="false">IF(M432=0,0,N432/M432)</f>
        <v>0.258876039764658</v>
      </c>
      <c r="U432" s="40" t="n">
        <f aca="false">IF(M432=0,0,O432/M432)</f>
        <v>0.024954351795496</v>
      </c>
      <c r="V432" s="41" t="n">
        <f aca="false">IF(M432=0,0,P432/M432)</f>
        <v>0.0113613308987624</v>
      </c>
      <c r="W432" s="40" t="n">
        <f aca="false">IF(L432=0,0,Q432/L432)</f>
        <v>0.00785024154589372</v>
      </c>
    </row>
    <row r="433" customFormat="false" ht="15" hidden="false" customHeight="false" outlineLevel="0" collapsed="false">
      <c r="A433" s="37" t="s">
        <v>1722</v>
      </c>
      <c r="B433" s="38" t="n">
        <v>46112.2155208333</v>
      </c>
      <c r="C433" s="37" t="s">
        <v>1201</v>
      </c>
      <c r="D433" s="37" t="s">
        <v>237</v>
      </c>
      <c r="E433" s="37" t="s">
        <v>238</v>
      </c>
      <c r="F433" s="37" t="s">
        <v>555</v>
      </c>
      <c r="G433" s="37" t="s">
        <v>1297</v>
      </c>
      <c r="H433" s="37" t="s">
        <v>60</v>
      </c>
      <c r="I433" s="37"/>
      <c r="J433" s="37" t="s">
        <v>236</v>
      </c>
      <c r="K433" s="37" t="s">
        <v>1202</v>
      </c>
      <c r="L433" s="39" t="n">
        <v>1</v>
      </c>
      <c r="M433" s="39" t="n">
        <v>1</v>
      </c>
      <c r="N433" s="39" t="n">
        <v>0</v>
      </c>
      <c r="O433" s="39" t="n">
        <v>0</v>
      </c>
      <c r="P433" s="39" t="n">
        <v>0</v>
      </c>
      <c r="Q433" s="39" t="n">
        <v>0</v>
      </c>
      <c r="R433" s="39" t="n">
        <v>0</v>
      </c>
      <c r="S433" s="39" t="n">
        <v>0</v>
      </c>
      <c r="T433" s="40" t="n">
        <f aca="false">IF(M433=0,0,N433/M433)</f>
        <v>0</v>
      </c>
      <c r="U433" s="40" t="n">
        <f aca="false">IF(M433=0,0,O433/M433)</f>
        <v>0</v>
      </c>
      <c r="V433" s="41" t="n">
        <f aca="false">IF(M433=0,0,P433/M433)</f>
        <v>0</v>
      </c>
      <c r="W433" s="40" t="n">
        <f aca="false">IF(L433=0,0,Q433/L433)</f>
        <v>0</v>
      </c>
    </row>
    <row r="434" customFormat="false" ht="15" hidden="false" customHeight="false" outlineLevel="0" collapsed="false">
      <c r="A434" s="37" t="s">
        <v>1723</v>
      </c>
      <c r="B434" s="38" t="n">
        <v>46111.5420949074</v>
      </c>
      <c r="C434" s="37" t="s">
        <v>1201</v>
      </c>
      <c r="D434" s="37" t="s">
        <v>133</v>
      </c>
      <c r="E434" s="37" t="s">
        <v>134</v>
      </c>
      <c r="F434" s="37" t="s">
        <v>544</v>
      </c>
      <c r="G434" s="37"/>
      <c r="H434" s="37" t="s">
        <v>60</v>
      </c>
      <c r="I434" s="37" t="s">
        <v>131</v>
      </c>
      <c r="J434" s="37" t="s">
        <v>132</v>
      </c>
      <c r="K434" s="37" t="s">
        <v>1202</v>
      </c>
      <c r="L434" s="39" t="n">
        <v>1997</v>
      </c>
      <c r="M434" s="39" t="n">
        <v>1995</v>
      </c>
      <c r="N434" s="39" t="n">
        <v>332</v>
      </c>
      <c r="O434" s="39" t="n">
        <v>48</v>
      </c>
      <c r="P434" s="39" t="n">
        <v>7</v>
      </c>
      <c r="Q434" s="39" t="n">
        <v>2</v>
      </c>
      <c r="R434" s="39" t="n">
        <v>1</v>
      </c>
      <c r="S434" s="39" t="n">
        <v>0</v>
      </c>
      <c r="T434" s="40" t="n">
        <f aca="false">IF(M434=0,0,N434/M434)</f>
        <v>0.166416040100251</v>
      </c>
      <c r="U434" s="40" t="n">
        <f aca="false">IF(M434=0,0,O434/M434)</f>
        <v>0.0240601503759399</v>
      </c>
      <c r="V434" s="41" t="n">
        <f aca="false">IF(M434=0,0,P434/M434)</f>
        <v>0.00350877192982456</v>
      </c>
      <c r="W434" s="40" t="n">
        <f aca="false">IF(L434=0,0,Q434/L434)</f>
        <v>0.00100150225338007</v>
      </c>
    </row>
    <row r="435" customFormat="false" ht="15" hidden="false" customHeight="false" outlineLevel="0" collapsed="false">
      <c r="A435" s="37" t="s">
        <v>1724</v>
      </c>
      <c r="B435" s="38" t="n">
        <v>46111.4924884259</v>
      </c>
      <c r="C435" s="37" t="s">
        <v>1201</v>
      </c>
      <c r="D435" s="37" t="s">
        <v>1211</v>
      </c>
      <c r="E435" s="37" t="s">
        <v>1212</v>
      </c>
      <c r="F435" s="37" t="s">
        <v>544</v>
      </c>
      <c r="G435" s="37"/>
      <c r="H435" s="37" t="s">
        <v>60</v>
      </c>
      <c r="I435" s="37"/>
      <c r="J435" s="37" t="s">
        <v>100</v>
      </c>
      <c r="K435" s="37" t="s">
        <v>1213</v>
      </c>
      <c r="L435" s="39" t="n">
        <v>118</v>
      </c>
      <c r="M435" s="39" t="n">
        <v>118</v>
      </c>
      <c r="N435" s="39" t="n">
        <v>65</v>
      </c>
      <c r="O435" s="39" t="n">
        <v>0</v>
      </c>
      <c r="P435" s="39" t="n">
        <v>0</v>
      </c>
      <c r="Q435" s="39" t="n">
        <v>0</v>
      </c>
      <c r="R435" s="39" t="n">
        <v>0</v>
      </c>
      <c r="S435" s="39" t="n">
        <v>0</v>
      </c>
      <c r="T435" s="40" t="n">
        <f aca="false">IF(M435=0,0,N435/M435)</f>
        <v>0.550847457627119</v>
      </c>
      <c r="U435" s="40" t="n">
        <f aca="false">IF(M435=0,0,O435/M435)</f>
        <v>0</v>
      </c>
      <c r="V435" s="41" t="n">
        <f aca="false">IF(M435=0,0,P435/M435)</f>
        <v>0</v>
      </c>
      <c r="W435" s="40" t="n">
        <f aca="false">IF(L435=0,0,Q435/L435)</f>
        <v>0</v>
      </c>
    </row>
    <row r="436" customFormat="false" ht="15" hidden="false" customHeight="false" outlineLevel="0" collapsed="false">
      <c r="A436" s="37" t="s">
        <v>1725</v>
      </c>
      <c r="B436" s="38" t="n">
        <v>46111.3102893519</v>
      </c>
      <c r="C436" s="37" t="s">
        <v>1201</v>
      </c>
      <c r="D436" s="37" t="s">
        <v>1211</v>
      </c>
      <c r="E436" s="37" t="s">
        <v>1212</v>
      </c>
      <c r="F436" s="37" t="s">
        <v>544</v>
      </c>
      <c r="G436" s="37"/>
      <c r="H436" s="37" t="s">
        <v>60</v>
      </c>
      <c r="I436" s="37"/>
      <c r="J436" s="37" t="s">
        <v>100</v>
      </c>
      <c r="K436" s="37" t="s">
        <v>1213</v>
      </c>
      <c r="L436" s="39" t="n">
        <v>118</v>
      </c>
      <c r="M436" s="39" t="n">
        <v>118</v>
      </c>
      <c r="N436" s="39" t="n">
        <v>60</v>
      </c>
      <c r="O436" s="39" t="n">
        <v>6</v>
      </c>
      <c r="P436" s="39" t="n">
        <v>0</v>
      </c>
      <c r="Q436" s="39" t="n">
        <v>0</v>
      </c>
      <c r="R436" s="39" t="n">
        <v>0</v>
      </c>
      <c r="S436" s="39" t="n">
        <v>0</v>
      </c>
      <c r="T436" s="40" t="n">
        <f aca="false">IF(M436=0,0,N436/M436)</f>
        <v>0.508474576271186</v>
      </c>
      <c r="U436" s="40" t="n">
        <f aca="false">IF(M436=0,0,O436/M436)</f>
        <v>0.0508474576271187</v>
      </c>
      <c r="V436" s="41" t="n">
        <f aca="false">IF(M436=0,0,P436/M436)</f>
        <v>0</v>
      </c>
      <c r="W436" s="40" t="n">
        <f aca="false">IF(L436=0,0,Q436/L436)</f>
        <v>0</v>
      </c>
    </row>
    <row r="437" customFormat="false" ht="15" hidden="false" customHeight="false" outlineLevel="0" collapsed="false">
      <c r="A437" s="37" t="s">
        <v>1726</v>
      </c>
      <c r="B437" s="38" t="n">
        <v>46111.2187731482</v>
      </c>
      <c r="C437" s="37" t="s">
        <v>1201</v>
      </c>
      <c r="D437" s="37" t="s">
        <v>1327</v>
      </c>
      <c r="E437" s="37" t="s">
        <v>1436</v>
      </c>
      <c r="F437" s="37" t="s">
        <v>544</v>
      </c>
      <c r="G437" s="37"/>
      <c r="H437" s="37" t="s">
        <v>60</v>
      </c>
      <c r="I437" s="37"/>
      <c r="J437" s="37" t="s">
        <v>417</v>
      </c>
      <c r="K437" s="37" t="s">
        <v>1202</v>
      </c>
      <c r="L437" s="39" t="n">
        <v>106</v>
      </c>
      <c r="M437" s="39" t="n">
        <v>106</v>
      </c>
      <c r="N437" s="39" t="n">
        <v>60</v>
      </c>
      <c r="O437" s="39" t="n">
        <v>2</v>
      </c>
      <c r="P437" s="39" t="n">
        <v>0</v>
      </c>
      <c r="Q437" s="39" t="n">
        <v>0</v>
      </c>
      <c r="R437" s="39" t="n">
        <v>0</v>
      </c>
      <c r="S437" s="39" t="n">
        <v>0</v>
      </c>
      <c r="T437" s="40" t="n">
        <f aca="false">IF(M437=0,0,N437/M437)</f>
        <v>0.566037735849057</v>
      </c>
      <c r="U437" s="40" t="n">
        <f aca="false">IF(M437=0,0,O437/M437)</f>
        <v>0.0188679245283019</v>
      </c>
      <c r="V437" s="41" t="n">
        <f aca="false">IF(M437=0,0,P437/M437)</f>
        <v>0</v>
      </c>
      <c r="W437" s="40" t="n">
        <f aca="false">IF(L437=0,0,Q437/L437)</f>
        <v>0</v>
      </c>
    </row>
    <row r="438" customFormat="false" ht="15" hidden="false" customHeight="false" outlineLevel="0" collapsed="false">
      <c r="A438" s="37" t="s">
        <v>1703</v>
      </c>
      <c r="B438" s="38" t="n">
        <v>46110.8216087963</v>
      </c>
      <c r="C438" s="37" t="s">
        <v>1201</v>
      </c>
      <c r="D438" s="37" t="s">
        <v>1211</v>
      </c>
      <c r="E438" s="37" t="s">
        <v>1212</v>
      </c>
      <c r="F438" s="37" t="s">
        <v>544</v>
      </c>
      <c r="G438" s="37"/>
      <c r="H438" s="37" t="s">
        <v>60</v>
      </c>
      <c r="I438" s="37"/>
      <c r="J438" s="37" t="s">
        <v>100</v>
      </c>
      <c r="K438" s="37" t="s">
        <v>1213</v>
      </c>
      <c r="L438" s="39" t="n">
        <v>124</v>
      </c>
      <c r="M438" s="39" t="n">
        <v>124</v>
      </c>
      <c r="N438" s="39" t="n">
        <v>72</v>
      </c>
      <c r="O438" s="39" t="n">
        <v>0</v>
      </c>
      <c r="P438" s="39" t="n">
        <v>0</v>
      </c>
      <c r="Q438" s="39" t="n">
        <v>0</v>
      </c>
      <c r="R438" s="39" t="n">
        <v>0</v>
      </c>
      <c r="S438" s="39" t="n">
        <v>0</v>
      </c>
      <c r="T438" s="40" t="n">
        <f aca="false">IF(M438=0,0,N438/M438)</f>
        <v>0.580645161290323</v>
      </c>
      <c r="U438" s="40" t="n">
        <f aca="false">IF(M438=0,0,O438/M438)</f>
        <v>0</v>
      </c>
      <c r="V438" s="41" t="n">
        <f aca="false">IF(M438=0,0,P438/M438)</f>
        <v>0</v>
      </c>
      <c r="W438" s="40" t="n">
        <f aca="false">IF(L438=0,0,Q438/L438)</f>
        <v>0</v>
      </c>
    </row>
    <row r="439" customFormat="false" ht="15" hidden="false" customHeight="false" outlineLevel="0" collapsed="false">
      <c r="A439" s="37" t="s">
        <v>1727</v>
      </c>
      <c r="B439" s="38" t="n">
        <v>46108.4275347222</v>
      </c>
      <c r="C439" s="37" t="s">
        <v>1201</v>
      </c>
      <c r="D439" s="37" t="s">
        <v>281</v>
      </c>
      <c r="E439" s="37" t="s">
        <v>1728</v>
      </c>
      <c r="F439" s="37" t="s">
        <v>555</v>
      </c>
      <c r="G439" s="37"/>
      <c r="H439" s="37" t="s">
        <v>61</v>
      </c>
      <c r="I439" s="37" t="s">
        <v>275</v>
      </c>
      <c r="J439" s="37" t="s">
        <v>276</v>
      </c>
      <c r="K439" s="37" t="s">
        <v>1202</v>
      </c>
      <c r="L439" s="39" t="n">
        <v>77</v>
      </c>
      <c r="M439" s="39" t="n">
        <v>76</v>
      </c>
      <c r="N439" s="39" t="n">
        <v>36</v>
      </c>
      <c r="O439" s="39" t="n">
        <v>6</v>
      </c>
      <c r="P439" s="39" t="n">
        <v>0</v>
      </c>
      <c r="Q439" s="39" t="n">
        <v>1</v>
      </c>
      <c r="R439" s="39" t="n">
        <v>1</v>
      </c>
      <c r="S439" s="39" t="n">
        <v>0</v>
      </c>
      <c r="T439" s="40" t="n">
        <f aca="false">IF(M439=0,0,N439/M439)</f>
        <v>0.473684210526316</v>
      </c>
      <c r="U439" s="40" t="n">
        <f aca="false">IF(M439=0,0,O439/M439)</f>
        <v>0.0789473684210526</v>
      </c>
      <c r="V439" s="41" t="n">
        <f aca="false">IF(M439=0,0,P439/M439)</f>
        <v>0</v>
      </c>
      <c r="W439" s="40" t="n">
        <f aca="false">IF(L439=0,0,Q439/L439)</f>
        <v>0.012987012987013</v>
      </c>
    </row>
    <row r="440" customFormat="false" ht="15" hidden="false" customHeight="false" outlineLevel="0" collapsed="false">
      <c r="A440" s="37" t="s">
        <v>1729</v>
      </c>
      <c r="B440" s="38" t="n">
        <v>46108.3441435185</v>
      </c>
      <c r="C440" s="37" t="s">
        <v>1201</v>
      </c>
      <c r="D440" s="37" t="s">
        <v>1286</v>
      </c>
      <c r="E440" s="37" t="s">
        <v>166</v>
      </c>
      <c r="F440" s="37" t="s">
        <v>555</v>
      </c>
      <c r="G440" s="37" t="s">
        <v>1730</v>
      </c>
      <c r="H440" s="37" t="s">
        <v>66</v>
      </c>
      <c r="I440" s="37"/>
      <c r="J440" s="37" t="s">
        <v>164</v>
      </c>
      <c r="K440" s="37" t="s">
        <v>1202</v>
      </c>
      <c r="L440" s="39" t="n">
        <v>180</v>
      </c>
      <c r="M440" s="39" t="n">
        <v>174</v>
      </c>
      <c r="N440" s="39" t="n">
        <v>99</v>
      </c>
      <c r="O440" s="39" t="n">
        <v>34</v>
      </c>
      <c r="P440" s="39" t="n">
        <v>1</v>
      </c>
      <c r="Q440" s="39" t="n">
        <v>6</v>
      </c>
      <c r="R440" s="39" t="n">
        <v>6</v>
      </c>
      <c r="S440" s="39" t="n">
        <v>0</v>
      </c>
      <c r="T440" s="40" t="n">
        <f aca="false">IF(M440=0,0,N440/M440)</f>
        <v>0.568965517241379</v>
      </c>
      <c r="U440" s="40" t="n">
        <f aca="false">IF(M440=0,0,O440/M440)</f>
        <v>0.195402298850575</v>
      </c>
      <c r="V440" s="41" t="n">
        <f aca="false">IF(M440=0,0,P440/M440)</f>
        <v>0.00574712643678161</v>
      </c>
      <c r="W440" s="40" t="n">
        <f aca="false">IF(L440=0,0,Q440/L440)</f>
        <v>0.0333333333333333</v>
      </c>
    </row>
    <row r="441" customFormat="false" ht="15" hidden="false" customHeight="false" outlineLevel="0" collapsed="false">
      <c r="A441" s="37" t="s">
        <v>1731</v>
      </c>
      <c r="B441" s="38" t="n">
        <v>46108.0941782407</v>
      </c>
      <c r="C441" s="37" t="s">
        <v>1201</v>
      </c>
      <c r="D441" s="37" t="s">
        <v>110</v>
      </c>
      <c r="E441" s="37" t="s">
        <v>193</v>
      </c>
      <c r="F441" s="37" t="s">
        <v>555</v>
      </c>
      <c r="G441" s="37" t="s">
        <v>1215</v>
      </c>
      <c r="H441" s="37" t="s">
        <v>61</v>
      </c>
      <c r="I441" s="37" t="s">
        <v>107</v>
      </c>
      <c r="J441" s="37" t="s">
        <v>109</v>
      </c>
      <c r="K441" s="37" t="s">
        <v>1202</v>
      </c>
      <c r="L441" s="39" t="n">
        <v>7638</v>
      </c>
      <c r="M441" s="39" t="n">
        <v>7387</v>
      </c>
      <c r="N441" s="39" t="n">
        <v>1821</v>
      </c>
      <c r="O441" s="39" t="n">
        <v>90</v>
      </c>
      <c r="P441" s="39" t="n">
        <v>97</v>
      </c>
      <c r="Q441" s="39" t="n">
        <v>251</v>
      </c>
      <c r="R441" s="39" t="n">
        <v>223</v>
      </c>
      <c r="S441" s="39" t="n">
        <v>2</v>
      </c>
      <c r="T441" s="40" t="n">
        <f aca="false">IF(M441=0,0,N441/M441)</f>
        <v>0.246514146473535</v>
      </c>
      <c r="U441" s="40" t="n">
        <f aca="false">IF(M441=0,0,O441/M441)</f>
        <v>0.0121835657235684</v>
      </c>
      <c r="V441" s="41" t="n">
        <f aca="false">IF(M441=0,0,P441/M441)</f>
        <v>0.0131311763909571</v>
      </c>
      <c r="W441" s="40" t="n">
        <f aca="false">IF(L441=0,0,Q441/L441)</f>
        <v>0.0328620057606703</v>
      </c>
    </row>
    <row r="442" customFormat="false" ht="15" hidden="false" customHeight="false" outlineLevel="0" collapsed="false">
      <c r="A442" s="37" t="s">
        <v>1732</v>
      </c>
      <c r="B442" s="38" t="n">
        <v>46108.0213657407</v>
      </c>
      <c r="C442" s="37" t="s">
        <v>1201</v>
      </c>
      <c r="D442" s="37" t="s">
        <v>152</v>
      </c>
      <c r="E442" s="37" t="s">
        <v>1124</v>
      </c>
      <c r="F442" s="37" t="s">
        <v>152</v>
      </c>
      <c r="G442" s="37"/>
      <c r="H442" s="37" t="s">
        <v>64</v>
      </c>
      <c r="I442" s="37"/>
      <c r="J442" s="37" t="s">
        <v>151</v>
      </c>
      <c r="K442" s="37" t="s">
        <v>1202</v>
      </c>
      <c r="L442" s="39" t="n">
        <v>3883</v>
      </c>
      <c r="M442" s="39" t="n">
        <v>3877</v>
      </c>
      <c r="N442" s="39" t="n">
        <v>1369</v>
      </c>
      <c r="O442" s="39" t="n">
        <v>318</v>
      </c>
      <c r="P442" s="39" t="n">
        <v>33</v>
      </c>
      <c r="Q442" s="39" t="n">
        <v>6</v>
      </c>
      <c r="R442" s="39" t="n">
        <v>4</v>
      </c>
      <c r="S442" s="39" t="n">
        <v>0</v>
      </c>
      <c r="T442" s="40" t="n">
        <f aca="false">IF(M442=0,0,N442/M442)</f>
        <v>0.353108073252515</v>
      </c>
      <c r="U442" s="40" t="n">
        <f aca="false">IF(M442=0,0,O442/M442)</f>
        <v>0.0820221820995615</v>
      </c>
      <c r="V442" s="41" t="n">
        <f aca="false">IF(M442=0,0,P442/M442)</f>
        <v>0.00851173587825638</v>
      </c>
      <c r="W442" s="40" t="n">
        <f aca="false">IF(L442=0,0,Q442/L442)</f>
        <v>0.00154519701261911</v>
      </c>
    </row>
    <row r="443" customFormat="false" ht="15" hidden="false" customHeight="false" outlineLevel="0" collapsed="false">
      <c r="A443" s="37" t="s">
        <v>1733</v>
      </c>
      <c r="B443" s="38" t="n">
        <v>46107.4273148148</v>
      </c>
      <c r="C443" s="37" t="s">
        <v>1201</v>
      </c>
      <c r="D443" s="37" t="s">
        <v>1286</v>
      </c>
      <c r="E443" s="37" t="s">
        <v>166</v>
      </c>
      <c r="F443" s="37" t="s">
        <v>555</v>
      </c>
      <c r="G443" s="37" t="s">
        <v>1734</v>
      </c>
      <c r="H443" s="37" t="s">
        <v>61</v>
      </c>
      <c r="I443" s="37" t="s">
        <v>260</v>
      </c>
      <c r="J443" s="37" t="s">
        <v>164</v>
      </c>
      <c r="K443" s="37" t="s">
        <v>1202</v>
      </c>
      <c r="L443" s="39" t="n">
        <v>20</v>
      </c>
      <c r="M443" s="39" t="n">
        <v>20</v>
      </c>
      <c r="N443" s="39" t="n">
        <v>8</v>
      </c>
      <c r="O443" s="39" t="n">
        <v>0</v>
      </c>
      <c r="P443" s="39" t="n">
        <v>0</v>
      </c>
      <c r="Q443" s="39" t="n">
        <v>0</v>
      </c>
      <c r="R443" s="39" t="n">
        <v>0</v>
      </c>
      <c r="S443" s="39" t="n">
        <v>0</v>
      </c>
      <c r="T443" s="40" t="n">
        <f aca="false">IF(M443=0,0,N443/M443)</f>
        <v>0.4</v>
      </c>
      <c r="U443" s="40" t="n">
        <f aca="false">IF(M443=0,0,O443/M443)</f>
        <v>0</v>
      </c>
      <c r="V443" s="41" t="n">
        <f aca="false">IF(M443=0,0,P443/M443)</f>
        <v>0</v>
      </c>
      <c r="W443" s="40" t="n">
        <f aca="false">IF(L443=0,0,Q443/L443)</f>
        <v>0</v>
      </c>
    </row>
    <row r="444" customFormat="false" ht="15" hidden="false" customHeight="false" outlineLevel="0" collapsed="false">
      <c r="A444" s="37" t="s">
        <v>1735</v>
      </c>
      <c r="B444" s="38" t="n">
        <v>46106.4454282407</v>
      </c>
      <c r="C444" s="37" t="s">
        <v>1201</v>
      </c>
      <c r="D444" s="37" t="s">
        <v>230</v>
      </c>
      <c r="E444" s="37" t="s">
        <v>231</v>
      </c>
      <c r="F444" s="37" t="s">
        <v>555</v>
      </c>
      <c r="G444" s="37"/>
      <c r="H444" s="37" t="s">
        <v>60</v>
      </c>
      <c r="I444" s="37"/>
      <c r="J444" s="37" t="s">
        <v>229</v>
      </c>
      <c r="K444" s="37" t="s">
        <v>1202</v>
      </c>
      <c r="L444" s="39" t="n">
        <v>489</v>
      </c>
      <c r="M444" s="39" t="n">
        <v>485</v>
      </c>
      <c r="N444" s="39" t="n">
        <v>135</v>
      </c>
      <c r="O444" s="39" t="n">
        <v>10</v>
      </c>
      <c r="P444" s="39" t="n">
        <v>0</v>
      </c>
      <c r="Q444" s="39" t="n">
        <v>4</v>
      </c>
      <c r="R444" s="39" t="n">
        <v>4</v>
      </c>
      <c r="S444" s="39" t="n">
        <v>0</v>
      </c>
      <c r="T444" s="40" t="n">
        <f aca="false">IF(M444=0,0,N444/M444)</f>
        <v>0.278350515463918</v>
      </c>
      <c r="U444" s="40" t="n">
        <f aca="false">IF(M444=0,0,O444/M444)</f>
        <v>0.0206185567010309</v>
      </c>
      <c r="V444" s="41" t="n">
        <f aca="false">IF(M444=0,0,P444/M444)</f>
        <v>0</v>
      </c>
      <c r="W444" s="40" t="n">
        <f aca="false">IF(L444=0,0,Q444/L444)</f>
        <v>0.0081799591002045</v>
      </c>
    </row>
    <row r="445" customFormat="false" ht="15" hidden="false" customHeight="false" outlineLevel="0" collapsed="false">
      <c r="A445" s="37" t="s">
        <v>1736</v>
      </c>
      <c r="B445" s="38" t="n">
        <v>46105.0938773148</v>
      </c>
      <c r="C445" s="37" t="s">
        <v>1201</v>
      </c>
      <c r="D445" s="37" t="s">
        <v>251</v>
      </c>
      <c r="E445" s="37" t="s">
        <v>252</v>
      </c>
      <c r="F445" s="37" t="s">
        <v>544</v>
      </c>
      <c r="G445" s="37"/>
      <c r="H445" s="37" t="s">
        <v>60</v>
      </c>
      <c r="I445" s="37" t="s">
        <v>250</v>
      </c>
      <c r="J445" s="37" t="s">
        <v>109</v>
      </c>
      <c r="K445" s="37" t="s">
        <v>1202</v>
      </c>
      <c r="L445" s="39" t="n">
        <v>36</v>
      </c>
      <c r="M445" s="39" t="n">
        <v>36</v>
      </c>
      <c r="N445" s="39" t="n">
        <v>19</v>
      </c>
      <c r="O445" s="39" t="n">
        <v>0</v>
      </c>
      <c r="P445" s="39" t="n">
        <v>0</v>
      </c>
      <c r="Q445" s="39" t="n">
        <v>0</v>
      </c>
      <c r="R445" s="39" t="n">
        <v>0</v>
      </c>
      <c r="S445" s="39" t="n">
        <v>0</v>
      </c>
      <c r="T445" s="40" t="n">
        <f aca="false">IF(M445=0,0,N445/M445)</f>
        <v>0.527777777777778</v>
      </c>
      <c r="U445" s="40" t="n">
        <f aca="false">IF(M445=0,0,O445/M445)</f>
        <v>0</v>
      </c>
      <c r="V445" s="41" t="n">
        <f aca="false">IF(M445=0,0,P445/M445)</f>
        <v>0</v>
      </c>
      <c r="W445" s="40" t="n">
        <f aca="false">IF(L445=0,0,Q445/L445)</f>
        <v>0</v>
      </c>
    </row>
    <row r="446" customFormat="false" ht="15" hidden="false" customHeight="false" outlineLevel="0" collapsed="false">
      <c r="A446" s="37" t="s">
        <v>1737</v>
      </c>
      <c r="B446" s="38" t="n">
        <v>46104.8184722222</v>
      </c>
      <c r="C446" s="37" t="s">
        <v>1201</v>
      </c>
      <c r="D446" s="37" t="s">
        <v>1573</v>
      </c>
      <c r="E446" s="37" t="s">
        <v>1237</v>
      </c>
      <c r="F446" s="37" t="s">
        <v>555</v>
      </c>
      <c r="G446" s="37"/>
      <c r="H446" s="37" t="s">
        <v>60</v>
      </c>
      <c r="I446" s="37"/>
      <c r="J446" s="37" t="s">
        <v>430</v>
      </c>
      <c r="K446" s="37" t="s">
        <v>8</v>
      </c>
      <c r="L446" s="39" t="n">
        <v>2724</v>
      </c>
      <c r="M446" s="39" t="n">
        <v>2684</v>
      </c>
      <c r="N446" s="39" t="n">
        <v>899</v>
      </c>
      <c r="O446" s="39" t="n">
        <v>177</v>
      </c>
      <c r="P446" s="39" t="n">
        <v>42</v>
      </c>
      <c r="Q446" s="39" t="n">
        <v>40</v>
      </c>
      <c r="R446" s="39" t="n">
        <v>3</v>
      </c>
      <c r="S446" s="39" t="n">
        <v>1</v>
      </c>
      <c r="T446" s="40" t="n">
        <f aca="false">IF(M446=0,0,N446/M446)</f>
        <v>0.3349478390462</v>
      </c>
      <c r="U446" s="40" t="n">
        <f aca="false">IF(M446=0,0,O446/M446)</f>
        <v>0.065946348733234</v>
      </c>
      <c r="V446" s="41" t="n">
        <f aca="false">IF(M446=0,0,P446/M446)</f>
        <v>0.0156482861400894</v>
      </c>
      <c r="W446" s="40" t="n">
        <f aca="false">IF(L446=0,0,Q446/L446)</f>
        <v>0.0146842878120411</v>
      </c>
    </row>
    <row r="447" customFormat="false" ht="15" hidden="false" customHeight="false" outlineLevel="0" collapsed="false">
      <c r="A447" s="37" t="s">
        <v>1738</v>
      </c>
      <c r="B447" s="38" t="n">
        <v>46104.8165856482</v>
      </c>
      <c r="C447" s="37" t="s">
        <v>1201</v>
      </c>
      <c r="D447" s="37" t="s">
        <v>1573</v>
      </c>
      <c r="E447" s="37" t="s">
        <v>1237</v>
      </c>
      <c r="F447" s="37" t="s">
        <v>555</v>
      </c>
      <c r="G447" s="37"/>
      <c r="H447" s="37" t="s">
        <v>60</v>
      </c>
      <c r="I447" s="37"/>
      <c r="J447" s="37" t="s">
        <v>430</v>
      </c>
      <c r="K447" s="37" t="s">
        <v>8</v>
      </c>
      <c r="L447" s="39" t="n">
        <v>1206</v>
      </c>
      <c r="M447" s="39" t="n">
        <v>1195</v>
      </c>
      <c r="N447" s="39" t="n">
        <v>381</v>
      </c>
      <c r="O447" s="39" t="n">
        <v>30</v>
      </c>
      <c r="P447" s="39" t="n">
        <v>28</v>
      </c>
      <c r="Q447" s="39" t="n">
        <v>11</v>
      </c>
      <c r="R447" s="39" t="n">
        <v>5</v>
      </c>
      <c r="S447" s="39" t="n">
        <v>0</v>
      </c>
      <c r="T447" s="40" t="n">
        <f aca="false">IF(M447=0,0,N447/M447)</f>
        <v>0.318828451882845</v>
      </c>
      <c r="U447" s="40" t="n">
        <f aca="false">IF(M447=0,0,O447/M447)</f>
        <v>0.0251046025104603</v>
      </c>
      <c r="V447" s="41" t="n">
        <f aca="false">IF(M447=0,0,P447/M447)</f>
        <v>0.0234309623430962</v>
      </c>
      <c r="W447" s="40" t="n">
        <f aca="false">IF(L447=0,0,Q447/L447)</f>
        <v>0.00912106135986733</v>
      </c>
    </row>
    <row r="448" customFormat="false" ht="15" hidden="false" customHeight="false" outlineLevel="0" collapsed="false">
      <c r="A448" s="37" t="s">
        <v>1739</v>
      </c>
      <c r="B448" s="38" t="n">
        <v>46101.3882407407</v>
      </c>
      <c r="C448" s="37" t="s">
        <v>1201</v>
      </c>
      <c r="D448" s="37" t="s">
        <v>1286</v>
      </c>
      <c r="E448" s="37" t="s">
        <v>166</v>
      </c>
      <c r="F448" s="37" t="s">
        <v>555</v>
      </c>
      <c r="G448" s="37" t="s">
        <v>1730</v>
      </c>
      <c r="H448" s="37" t="s">
        <v>60</v>
      </c>
      <c r="I448" s="37"/>
      <c r="J448" s="37" t="s">
        <v>164</v>
      </c>
      <c r="K448" s="37" t="s">
        <v>1202</v>
      </c>
      <c r="L448" s="39" t="n">
        <v>907</v>
      </c>
      <c r="M448" s="39" t="n">
        <v>905</v>
      </c>
      <c r="N448" s="39" t="n">
        <v>359</v>
      </c>
      <c r="O448" s="39" t="n">
        <v>34</v>
      </c>
      <c r="P448" s="39" t="n">
        <v>3</v>
      </c>
      <c r="Q448" s="39" t="n">
        <v>2</v>
      </c>
      <c r="R448" s="39" t="n">
        <v>2</v>
      </c>
      <c r="S448" s="39" t="n">
        <v>0</v>
      </c>
      <c r="T448" s="40" t="n">
        <f aca="false">IF(M448=0,0,N448/M448)</f>
        <v>0.396685082872928</v>
      </c>
      <c r="U448" s="40" t="n">
        <f aca="false">IF(M448=0,0,O448/M448)</f>
        <v>0.0375690607734807</v>
      </c>
      <c r="V448" s="41" t="n">
        <f aca="false">IF(M448=0,0,P448/M448)</f>
        <v>0.00331491712707182</v>
      </c>
      <c r="W448" s="40" t="n">
        <f aca="false">IF(L448=0,0,Q448/L448)</f>
        <v>0.00220507166482911</v>
      </c>
    </row>
    <row r="449" customFormat="false" ht="15" hidden="false" customHeight="false" outlineLevel="0" collapsed="false">
      <c r="A449" s="37" t="s">
        <v>1740</v>
      </c>
      <c r="B449" s="38" t="n">
        <v>46100.5380439815</v>
      </c>
      <c r="C449" s="37" t="s">
        <v>1201</v>
      </c>
      <c r="D449" s="37" t="s">
        <v>133</v>
      </c>
      <c r="E449" s="37" t="s">
        <v>134</v>
      </c>
      <c r="F449" s="37" t="s">
        <v>544</v>
      </c>
      <c r="G449" s="37"/>
      <c r="H449" s="37" t="s">
        <v>60</v>
      </c>
      <c r="I449" s="37" t="s">
        <v>131</v>
      </c>
      <c r="J449" s="37" t="s">
        <v>132</v>
      </c>
      <c r="K449" s="37" t="s">
        <v>1202</v>
      </c>
      <c r="L449" s="39" t="n">
        <v>2073</v>
      </c>
      <c r="M449" s="39" t="n">
        <v>2048</v>
      </c>
      <c r="N449" s="39" t="n">
        <v>304</v>
      </c>
      <c r="O449" s="39" t="n">
        <v>35</v>
      </c>
      <c r="P449" s="39" t="n">
        <v>11</v>
      </c>
      <c r="Q449" s="39" t="n">
        <v>25</v>
      </c>
      <c r="R449" s="39" t="n">
        <v>23</v>
      </c>
      <c r="S449" s="39" t="n">
        <v>0</v>
      </c>
      <c r="T449" s="40" t="n">
        <f aca="false">IF(M449=0,0,N449/M449)</f>
        <v>0.1484375</v>
      </c>
      <c r="U449" s="40" t="n">
        <f aca="false">IF(M449=0,0,O449/M449)</f>
        <v>0.01708984375</v>
      </c>
      <c r="V449" s="41" t="n">
        <f aca="false">IF(M449=0,0,P449/M449)</f>
        <v>0.00537109375</v>
      </c>
      <c r="W449" s="40" t="n">
        <f aca="false">IF(L449=0,0,Q449/L449)</f>
        <v>0.0120598166907863</v>
      </c>
    </row>
    <row r="450" customFormat="false" ht="15" hidden="false" customHeight="false" outlineLevel="0" collapsed="false">
      <c r="A450" s="37" t="s">
        <v>1741</v>
      </c>
      <c r="B450" s="38" t="n">
        <v>46100.3842592593</v>
      </c>
      <c r="C450" s="37" t="s">
        <v>1252</v>
      </c>
      <c r="D450" s="37" t="s">
        <v>101</v>
      </c>
      <c r="E450" s="37" t="s">
        <v>1222</v>
      </c>
      <c r="F450" s="37" t="s">
        <v>548</v>
      </c>
      <c r="G450" s="37" t="s">
        <v>1223</v>
      </c>
      <c r="H450" s="37" t="s">
        <v>61</v>
      </c>
      <c r="I450" s="37" t="s">
        <v>98</v>
      </c>
      <c r="J450" s="37" t="s">
        <v>100</v>
      </c>
      <c r="K450" s="37" t="s">
        <v>1202</v>
      </c>
      <c r="L450" s="39" t="n">
        <v>5665</v>
      </c>
      <c r="M450" s="39" t="n">
        <v>5648</v>
      </c>
      <c r="N450" s="39" t="n">
        <v>1108</v>
      </c>
      <c r="O450" s="39" t="n">
        <v>117</v>
      </c>
      <c r="P450" s="39" t="n">
        <v>25</v>
      </c>
      <c r="Q450" s="39" t="n">
        <v>17</v>
      </c>
      <c r="R450" s="39" t="n">
        <v>13</v>
      </c>
      <c r="S450" s="39" t="n">
        <v>0</v>
      </c>
      <c r="T450" s="40" t="n">
        <f aca="false">IF(M450=0,0,N450/M450)</f>
        <v>0.196175637393768</v>
      </c>
      <c r="U450" s="40" t="n">
        <f aca="false">IF(M450=0,0,O450/M450)</f>
        <v>0.0207152974504249</v>
      </c>
      <c r="V450" s="41" t="n">
        <f aca="false">IF(M450=0,0,P450/M450)</f>
        <v>0.00442634560906516</v>
      </c>
      <c r="W450" s="40" t="n">
        <f aca="false">IF(L450=0,0,Q450/L450)</f>
        <v>0.0030008826125331</v>
      </c>
    </row>
    <row r="451" customFormat="false" ht="15" hidden="false" customHeight="false" outlineLevel="0" collapsed="false">
      <c r="A451" s="37" t="s">
        <v>1742</v>
      </c>
      <c r="B451" s="38" t="n">
        <v>46100.0234953704</v>
      </c>
      <c r="C451" s="37" t="s">
        <v>1201</v>
      </c>
      <c r="D451" s="37" t="s">
        <v>127</v>
      </c>
      <c r="E451" s="37" t="s">
        <v>128</v>
      </c>
      <c r="F451" s="37" t="s">
        <v>127</v>
      </c>
      <c r="G451" s="37"/>
      <c r="H451" s="37" t="s">
        <v>60</v>
      </c>
      <c r="I451" s="37"/>
      <c r="J451" s="37" t="s">
        <v>126</v>
      </c>
      <c r="K451" s="37" t="s">
        <v>1202</v>
      </c>
      <c r="L451" s="39" t="n">
        <v>333</v>
      </c>
      <c r="M451" s="39" t="n">
        <v>313</v>
      </c>
      <c r="N451" s="39" t="n">
        <v>111</v>
      </c>
      <c r="O451" s="39" t="n">
        <v>26</v>
      </c>
      <c r="P451" s="39" t="n">
        <v>3</v>
      </c>
      <c r="Q451" s="39" t="n">
        <v>20</v>
      </c>
      <c r="R451" s="39" t="n">
        <v>18</v>
      </c>
      <c r="S451" s="39" t="n">
        <v>0</v>
      </c>
      <c r="T451" s="40" t="n">
        <f aca="false">IF(M451=0,0,N451/M451)</f>
        <v>0.354632587859425</v>
      </c>
      <c r="U451" s="40" t="n">
        <f aca="false">IF(M451=0,0,O451/M451)</f>
        <v>0.0830670926517572</v>
      </c>
      <c r="V451" s="41" t="n">
        <f aca="false">IF(M451=0,0,P451/M451)</f>
        <v>0.00958466453674121</v>
      </c>
      <c r="W451" s="40" t="n">
        <f aca="false">IF(L451=0,0,Q451/L451)</f>
        <v>0.0600600600600601</v>
      </c>
    </row>
    <row r="452" customFormat="false" ht="15" hidden="false" customHeight="false" outlineLevel="0" collapsed="false">
      <c r="A452" s="37" t="s">
        <v>1743</v>
      </c>
      <c r="B452" s="38" t="n">
        <v>46099.8167013889</v>
      </c>
      <c r="C452" s="37" t="s">
        <v>1201</v>
      </c>
      <c r="D452" s="37" t="s">
        <v>127</v>
      </c>
      <c r="E452" s="37" t="s">
        <v>128</v>
      </c>
      <c r="F452" s="37" t="s">
        <v>127</v>
      </c>
      <c r="G452" s="37"/>
      <c r="H452" s="37" t="s">
        <v>60</v>
      </c>
      <c r="I452" s="37" t="s">
        <v>125</v>
      </c>
      <c r="J452" s="37" t="s">
        <v>126</v>
      </c>
      <c r="K452" s="37" t="s">
        <v>1202</v>
      </c>
      <c r="L452" s="39" t="n">
        <v>3213</v>
      </c>
      <c r="M452" s="39" t="n">
        <v>3189</v>
      </c>
      <c r="N452" s="39" t="n">
        <v>1098</v>
      </c>
      <c r="O452" s="39" t="n">
        <v>97</v>
      </c>
      <c r="P452" s="39" t="n">
        <v>15</v>
      </c>
      <c r="Q452" s="39" t="n">
        <v>24</v>
      </c>
      <c r="R452" s="39" t="n">
        <v>18</v>
      </c>
      <c r="S452" s="39" t="n">
        <v>0</v>
      </c>
      <c r="T452" s="40" t="n">
        <f aca="false">IF(M452=0,0,N452/M452)</f>
        <v>0.344308560677328</v>
      </c>
      <c r="U452" s="40" t="n">
        <f aca="false">IF(M452=0,0,O452/M452)</f>
        <v>0.0304170586390718</v>
      </c>
      <c r="V452" s="41" t="n">
        <f aca="false">IF(M452=0,0,P452/M452)</f>
        <v>0.00470366886171214</v>
      </c>
      <c r="W452" s="40" t="n">
        <f aca="false">IF(L452=0,0,Q452/L452)</f>
        <v>0.00746965452847806</v>
      </c>
    </row>
    <row r="453" customFormat="false" ht="15" hidden="false" customHeight="false" outlineLevel="0" collapsed="false">
      <c r="A453" s="37" t="s">
        <v>1744</v>
      </c>
      <c r="B453" s="38" t="n">
        <v>46099.2382291667</v>
      </c>
      <c r="C453" s="37" t="s">
        <v>1201</v>
      </c>
      <c r="D453" s="37" t="s">
        <v>1527</v>
      </c>
      <c r="E453" s="37" t="s">
        <v>1527</v>
      </c>
      <c r="F453" s="37" t="s">
        <v>548</v>
      </c>
      <c r="G453" s="37"/>
      <c r="H453" s="37" t="s">
        <v>61</v>
      </c>
      <c r="I453" s="37"/>
      <c r="J453" s="37" t="s">
        <v>364</v>
      </c>
      <c r="K453" s="37" t="s">
        <v>1202</v>
      </c>
      <c r="L453" s="39" t="n">
        <v>120</v>
      </c>
      <c r="M453" s="39" t="n">
        <v>118</v>
      </c>
      <c r="N453" s="39" t="n">
        <v>62</v>
      </c>
      <c r="O453" s="39" t="n">
        <v>5</v>
      </c>
      <c r="P453" s="39" t="n">
        <v>1</v>
      </c>
      <c r="Q453" s="39" t="n">
        <v>2</v>
      </c>
      <c r="R453" s="39" t="n">
        <v>2</v>
      </c>
      <c r="S453" s="39" t="n">
        <v>0</v>
      </c>
      <c r="T453" s="40" t="n">
        <f aca="false">IF(M453=0,0,N453/M453)</f>
        <v>0.525423728813559</v>
      </c>
      <c r="U453" s="40" t="n">
        <f aca="false">IF(M453=0,0,O453/M453)</f>
        <v>0.0423728813559322</v>
      </c>
      <c r="V453" s="41" t="n">
        <f aca="false">IF(M453=0,0,P453/M453)</f>
        <v>0.00847457627118644</v>
      </c>
      <c r="W453" s="40" t="n">
        <f aca="false">IF(L453=0,0,Q453/L453)</f>
        <v>0.0166666666666667</v>
      </c>
    </row>
    <row r="454" customFormat="false" ht="15" hidden="false" customHeight="false" outlineLevel="0" collapsed="false">
      <c r="A454" s="37" t="s">
        <v>1745</v>
      </c>
      <c r="B454" s="38" t="n">
        <v>46099.0423263889</v>
      </c>
      <c r="C454" s="37" t="s">
        <v>1201</v>
      </c>
      <c r="D454" s="37" t="s">
        <v>152</v>
      </c>
      <c r="E454" s="37" t="s">
        <v>1124</v>
      </c>
      <c r="F454" s="37" t="s">
        <v>152</v>
      </c>
      <c r="G454" s="37"/>
      <c r="H454" s="37" t="s">
        <v>64</v>
      </c>
      <c r="I454" s="37"/>
      <c r="J454" s="37" t="s">
        <v>151</v>
      </c>
      <c r="K454" s="37" t="s">
        <v>1202</v>
      </c>
      <c r="L454" s="39" t="n">
        <v>4261</v>
      </c>
      <c r="M454" s="39" t="n">
        <v>4217</v>
      </c>
      <c r="N454" s="39" t="n">
        <v>1434</v>
      </c>
      <c r="O454" s="39" t="n">
        <v>359</v>
      </c>
      <c r="P454" s="39" t="n">
        <v>43</v>
      </c>
      <c r="Q454" s="39" t="n">
        <v>44</v>
      </c>
      <c r="R454" s="39" t="n">
        <v>41</v>
      </c>
      <c r="S454" s="39" t="n">
        <v>0</v>
      </c>
      <c r="T454" s="40" t="n">
        <f aca="false">IF(M454=0,0,N454/M454)</f>
        <v>0.34005216978895</v>
      </c>
      <c r="U454" s="40" t="n">
        <f aca="false">IF(M454=0,0,O454/M454)</f>
        <v>0.0851316101493953</v>
      </c>
      <c r="V454" s="41" t="n">
        <f aca="false">IF(M454=0,0,P454/M454)</f>
        <v>0.0101968223855822</v>
      </c>
      <c r="W454" s="40" t="n">
        <f aca="false">IF(L454=0,0,Q454/L454)</f>
        <v>0.0103262145036376</v>
      </c>
    </row>
    <row r="455" customFormat="false" ht="15" hidden="false" customHeight="false" outlineLevel="0" collapsed="false">
      <c r="A455" s="37" t="s">
        <v>1746</v>
      </c>
      <c r="B455" s="38" t="n">
        <v>46098.5039467593</v>
      </c>
      <c r="C455" s="37" t="s">
        <v>1201</v>
      </c>
      <c r="D455" s="37" t="s">
        <v>1211</v>
      </c>
      <c r="E455" s="37" t="s">
        <v>1212</v>
      </c>
      <c r="F455" s="37" t="s">
        <v>544</v>
      </c>
      <c r="G455" s="37"/>
      <c r="H455" s="37" t="s">
        <v>60</v>
      </c>
      <c r="I455" s="37"/>
      <c r="J455" s="37" t="s">
        <v>100</v>
      </c>
      <c r="K455" s="37" t="s">
        <v>1213</v>
      </c>
      <c r="L455" s="39" t="n">
        <v>123</v>
      </c>
      <c r="M455" s="39" t="n">
        <v>123</v>
      </c>
      <c r="N455" s="39" t="n">
        <v>57</v>
      </c>
      <c r="O455" s="39" t="n">
        <v>6</v>
      </c>
      <c r="P455" s="39" t="n">
        <v>0</v>
      </c>
      <c r="Q455" s="39" t="n">
        <v>0</v>
      </c>
      <c r="R455" s="39" t="n">
        <v>0</v>
      </c>
      <c r="S455" s="39" t="n">
        <v>0</v>
      </c>
      <c r="T455" s="40" t="n">
        <f aca="false">IF(M455=0,0,N455/M455)</f>
        <v>0.463414634146342</v>
      </c>
      <c r="U455" s="40" t="n">
        <f aca="false">IF(M455=0,0,O455/M455)</f>
        <v>0.0487804878048781</v>
      </c>
      <c r="V455" s="41" t="n">
        <f aca="false">IF(M455=0,0,P455/M455)</f>
        <v>0</v>
      </c>
      <c r="W455" s="40" t="n">
        <f aca="false">IF(L455=0,0,Q455/L455)</f>
        <v>0</v>
      </c>
    </row>
    <row r="456" customFormat="false" ht="15" hidden="false" customHeight="false" outlineLevel="0" collapsed="false">
      <c r="A456" s="37" t="s">
        <v>1747</v>
      </c>
      <c r="B456" s="38" t="n">
        <v>46098.4616898148</v>
      </c>
      <c r="C456" s="37" t="s">
        <v>1201</v>
      </c>
      <c r="D456" s="37" t="s">
        <v>1211</v>
      </c>
      <c r="E456" s="37" t="s">
        <v>1212</v>
      </c>
      <c r="F456" s="37" t="s">
        <v>544</v>
      </c>
      <c r="G456" s="37"/>
      <c r="H456" s="37" t="s">
        <v>60</v>
      </c>
      <c r="I456" s="37"/>
      <c r="J456" s="37" t="s">
        <v>100</v>
      </c>
      <c r="K456" s="37" t="s">
        <v>1213</v>
      </c>
      <c r="L456" s="39" t="n">
        <v>123</v>
      </c>
      <c r="M456" s="39" t="n">
        <v>123</v>
      </c>
      <c r="N456" s="39" t="n">
        <v>70</v>
      </c>
      <c r="O456" s="39" t="n">
        <v>8</v>
      </c>
      <c r="P456" s="39" t="n">
        <v>0</v>
      </c>
      <c r="Q456" s="39" t="n">
        <v>0</v>
      </c>
      <c r="R456" s="39" t="n">
        <v>0</v>
      </c>
      <c r="S456" s="39" t="n">
        <v>0</v>
      </c>
      <c r="T456" s="40" t="n">
        <f aca="false">IF(M456=0,0,N456/M456)</f>
        <v>0.569105691056911</v>
      </c>
      <c r="U456" s="40" t="n">
        <f aca="false">IF(M456=0,0,O456/M456)</f>
        <v>0.0650406504065041</v>
      </c>
      <c r="V456" s="41" t="n">
        <f aca="false">IF(M456=0,0,P456/M456)</f>
        <v>0</v>
      </c>
      <c r="W456" s="40" t="n">
        <f aca="false">IF(L456=0,0,Q456/L456)</f>
        <v>0</v>
      </c>
    </row>
    <row r="457" customFormat="false" ht="15" hidden="false" customHeight="false" outlineLevel="0" collapsed="false">
      <c r="A457" s="37" t="s">
        <v>1748</v>
      </c>
      <c r="B457" s="38" t="n">
        <v>46098.3338773148</v>
      </c>
      <c r="C457" s="37" t="s">
        <v>1252</v>
      </c>
      <c r="D457" s="37" t="s">
        <v>1600</v>
      </c>
      <c r="E457" s="37" t="s">
        <v>288</v>
      </c>
      <c r="F457" s="37" t="s">
        <v>548</v>
      </c>
      <c r="G457" s="37" t="s">
        <v>1601</v>
      </c>
      <c r="H457" s="37" t="s">
        <v>60</v>
      </c>
      <c r="I457" s="37"/>
      <c r="J457" s="37" t="s">
        <v>287</v>
      </c>
      <c r="K457" s="37" t="s">
        <v>1202</v>
      </c>
      <c r="L457" s="39" t="n">
        <v>300</v>
      </c>
      <c r="M457" s="39" t="n">
        <v>297</v>
      </c>
      <c r="N457" s="39" t="n">
        <v>37</v>
      </c>
      <c r="O457" s="39" t="n">
        <v>0</v>
      </c>
      <c r="P457" s="39" t="n">
        <v>0</v>
      </c>
      <c r="Q457" s="39" t="n">
        <v>3</v>
      </c>
      <c r="R457" s="39" t="n">
        <v>0</v>
      </c>
      <c r="S457" s="39" t="n">
        <v>0</v>
      </c>
      <c r="T457" s="40" t="n">
        <f aca="false">IF(M457=0,0,N457/M457)</f>
        <v>0.124579124579125</v>
      </c>
      <c r="U457" s="40" t="n">
        <f aca="false">IF(M457=0,0,O457/M457)</f>
        <v>0</v>
      </c>
      <c r="V457" s="41" t="n">
        <f aca="false">IF(M457=0,0,P457/M457)</f>
        <v>0</v>
      </c>
      <c r="W457" s="40" t="n">
        <f aca="false">IF(L457=0,0,Q457/L457)</f>
        <v>0.01</v>
      </c>
    </row>
    <row r="458" customFormat="false" ht="15" hidden="false" customHeight="false" outlineLevel="0" collapsed="false">
      <c r="A458" s="37" t="s">
        <v>1749</v>
      </c>
      <c r="B458" s="38" t="n">
        <v>46098.1045486111</v>
      </c>
      <c r="C458" s="37" t="s">
        <v>1201</v>
      </c>
      <c r="D458" s="37" t="s">
        <v>647</v>
      </c>
      <c r="E458" s="37" t="s">
        <v>1546</v>
      </c>
      <c r="F458" s="37" t="s">
        <v>544</v>
      </c>
      <c r="G458" s="37" t="s">
        <v>1107</v>
      </c>
      <c r="H458" s="37" t="s">
        <v>60</v>
      </c>
      <c r="I458" s="37"/>
      <c r="J458" s="37" t="s">
        <v>236</v>
      </c>
      <c r="K458" s="37" t="s">
        <v>1202</v>
      </c>
      <c r="L458" s="39" t="n">
        <v>1694</v>
      </c>
      <c r="M458" s="39" t="n">
        <v>1669</v>
      </c>
      <c r="N458" s="39" t="n">
        <v>400</v>
      </c>
      <c r="O458" s="39" t="n">
        <v>47</v>
      </c>
      <c r="P458" s="39" t="n">
        <v>17</v>
      </c>
      <c r="Q458" s="39" t="n">
        <v>25</v>
      </c>
      <c r="R458" s="39" t="n">
        <v>25</v>
      </c>
      <c r="S458" s="39" t="n">
        <v>0</v>
      </c>
      <c r="T458" s="40" t="n">
        <f aca="false">IF(M458=0,0,N458/M458)</f>
        <v>0.239664469742361</v>
      </c>
      <c r="U458" s="40" t="n">
        <f aca="false">IF(M458=0,0,O458/M458)</f>
        <v>0.0281605751947274</v>
      </c>
      <c r="V458" s="41" t="n">
        <f aca="false">IF(M458=0,0,P458/M458)</f>
        <v>0.0101857399640503</v>
      </c>
      <c r="W458" s="40" t="n">
        <f aca="false">IF(L458=0,0,Q458/L458)</f>
        <v>0.0147579693034239</v>
      </c>
    </row>
    <row r="459" customFormat="false" ht="15" hidden="false" customHeight="false" outlineLevel="0" collapsed="false">
      <c r="A459" s="37" t="s">
        <v>1750</v>
      </c>
      <c r="B459" s="38" t="n">
        <v>46097.5480902778</v>
      </c>
      <c r="C459" s="37" t="s">
        <v>1201</v>
      </c>
      <c r="D459" s="37" t="s">
        <v>1237</v>
      </c>
      <c r="E459" s="37" t="s">
        <v>1237</v>
      </c>
      <c r="F459" s="37" t="s">
        <v>555</v>
      </c>
      <c r="G459" s="37"/>
      <c r="H459" s="37" t="s">
        <v>60</v>
      </c>
      <c r="I459" s="37"/>
      <c r="J459" s="37" t="s">
        <v>430</v>
      </c>
      <c r="K459" s="37" t="s">
        <v>8</v>
      </c>
      <c r="L459" s="39" t="n">
        <v>3114</v>
      </c>
      <c r="M459" s="39" t="n">
        <v>3041</v>
      </c>
      <c r="N459" s="39" t="n">
        <v>821</v>
      </c>
      <c r="O459" s="39" t="n">
        <v>42</v>
      </c>
      <c r="P459" s="39" t="n">
        <v>45</v>
      </c>
      <c r="Q459" s="39" t="n">
        <v>73</v>
      </c>
      <c r="R459" s="39" t="n">
        <v>33</v>
      </c>
      <c r="S459" s="39" t="n">
        <v>1</v>
      </c>
      <c r="T459" s="40" t="n">
        <f aca="false">IF(M459=0,0,N459/M459)</f>
        <v>0.269976981256166</v>
      </c>
      <c r="U459" s="40" t="n">
        <f aca="false">IF(M459=0,0,O459/M459)</f>
        <v>0.013811246300559</v>
      </c>
      <c r="V459" s="41" t="n">
        <f aca="false">IF(M459=0,0,P459/M459)</f>
        <v>0.0147977638934561</v>
      </c>
      <c r="W459" s="40" t="n">
        <f aca="false">IF(L459=0,0,Q459/L459)</f>
        <v>0.0234425176621708</v>
      </c>
    </row>
    <row r="460" customFormat="false" ht="15" hidden="false" customHeight="false" outlineLevel="0" collapsed="false">
      <c r="A460" s="37" t="s">
        <v>1751</v>
      </c>
      <c r="B460" s="38" t="n">
        <v>46097.3383101852</v>
      </c>
      <c r="C460" s="37" t="s">
        <v>1201</v>
      </c>
      <c r="D460" s="37" t="s">
        <v>1211</v>
      </c>
      <c r="E460" s="37" t="s">
        <v>1212</v>
      </c>
      <c r="F460" s="37" t="s">
        <v>544</v>
      </c>
      <c r="G460" s="37"/>
      <c r="H460" s="37" t="s">
        <v>60</v>
      </c>
      <c r="I460" s="37"/>
      <c r="J460" s="37" t="s">
        <v>100</v>
      </c>
      <c r="K460" s="37" t="s">
        <v>1213</v>
      </c>
      <c r="L460" s="39" t="n">
        <v>123</v>
      </c>
      <c r="M460" s="39" t="n">
        <v>123</v>
      </c>
      <c r="N460" s="39" t="n">
        <v>66</v>
      </c>
      <c r="O460" s="39" t="n">
        <v>4</v>
      </c>
      <c r="P460" s="39" t="n">
        <v>0</v>
      </c>
      <c r="Q460" s="39" t="n">
        <v>0</v>
      </c>
      <c r="R460" s="39" t="n">
        <v>0</v>
      </c>
      <c r="S460" s="39" t="n">
        <v>0</v>
      </c>
      <c r="T460" s="40" t="n">
        <f aca="false">IF(M460=0,0,N460/M460)</f>
        <v>0.536585365853659</v>
      </c>
      <c r="U460" s="40" t="n">
        <f aca="false">IF(M460=0,0,O460/M460)</f>
        <v>0.032520325203252</v>
      </c>
      <c r="V460" s="41" t="n">
        <f aca="false">IF(M460=0,0,P460/M460)</f>
        <v>0</v>
      </c>
      <c r="W460" s="40" t="n">
        <f aca="false">IF(L460=0,0,Q460/L460)</f>
        <v>0</v>
      </c>
    </row>
    <row r="461" customFormat="false" ht="15" hidden="false" customHeight="false" outlineLevel="0" collapsed="false">
      <c r="A461" s="37" t="s">
        <v>1752</v>
      </c>
      <c r="B461" s="38" t="n">
        <v>46097.3214583333</v>
      </c>
      <c r="C461" s="37" t="s">
        <v>1201</v>
      </c>
      <c r="D461" s="37" t="s">
        <v>1211</v>
      </c>
      <c r="E461" s="37" t="s">
        <v>1212</v>
      </c>
      <c r="F461" s="37" t="s">
        <v>544</v>
      </c>
      <c r="G461" s="37"/>
      <c r="H461" s="37" t="s">
        <v>60</v>
      </c>
      <c r="I461" s="37"/>
      <c r="J461" s="37" t="s">
        <v>100</v>
      </c>
      <c r="K461" s="37" t="s">
        <v>1213</v>
      </c>
      <c r="L461" s="39" t="n">
        <v>124</v>
      </c>
      <c r="M461" s="39" t="n">
        <v>124</v>
      </c>
      <c r="N461" s="39" t="n">
        <v>70</v>
      </c>
      <c r="O461" s="39" t="n">
        <v>18</v>
      </c>
      <c r="P461" s="39" t="n">
        <v>0</v>
      </c>
      <c r="Q461" s="39" t="n">
        <v>0</v>
      </c>
      <c r="R461" s="39" t="n">
        <v>0</v>
      </c>
      <c r="S461" s="39" t="n">
        <v>0</v>
      </c>
      <c r="T461" s="40" t="n">
        <f aca="false">IF(M461=0,0,N461/M461)</f>
        <v>0.564516129032258</v>
      </c>
      <c r="U461" s="40" t="n">
        <f aca="false">IF(M461=0,0,O461/M461)</f>
        <v>0.145161290322581</v>
      </c>
      <c r="V461" s="41" t="n">
        <f aca="false">IF(M461=0,0,P461/M461)</f>
        <v>0</v>
      </c>
      <c r="W461" s="40" t="n">
        <f aca="false">IF(L461=0,0,Q461/L461)</f>
        <v>0</v>
      </c>
    </row>
    <row r="462" customFormat="false" ht="15" hidden="false" customHeight="false" outlineLevel="0" collapsed="false">
      <c r="A462" s="37" t="s">
        <v>1753</v>
      </c>
      <c r="B462" s="38" t="n">
        <v>46097.1046527778</v>
      </c>
      <c r="C462" s="37" t="s">
        <v>1201</v>
      </c>
      <c r="D462" s="37" t="s">
        <v>647</v>
      </c>
      <c r="E462" s="37" t="s">
        <v>1546</v>
      </c>
      <c r="F462" s="37" t="s">
        <v>544</v>
      </c>
      <c r="G462" s="37" t="s">
        <v>1107</v>
      </c>
      <c r="H462" s="37" t="s">
        <v>60</v>
      </c>
      <c r="I462" s="37"/>
      <c r="J462" s="37" t="s">
        <v>236</v>
      </c>
      <c r="K462" s="37" t="s">
        <v>1202</v>
      </c>
      <c r="L462" s="39" t="n">
        <v>106</v>
      </c>
      <c r="M462" s="39" t="n">
        <v>105</v>
      </c>
      <c r="N462" s="39" t="n">
        <v>46</v>
      </c>
      <c r="O462" s="39" t="n">
        <v>12</v>
      </c>
      <c r="P462" s="39" t="n">
        <v>1</v>
      </c>
      <c r="Q462" s="39" t="n">
        <v>1</v>
      </c>
      <c r="R462" s="39" t="n">
        <v>1</v>
      </c>
      <c r="S462" s="39" t="n">
        <v>0</v>
      </c>
      <c r="T462" s="40" t="n">
        <f aca="false">IF(M462=0,0,N462/M462)</f>
        <v>0.438095238095238</v>
      </c>
      <c r="U462" s="40" t="n">
        <f aca="false">IF(M462=0,0,O462/M462)</f>
        <v>0.114285714285714</v>
      </c>
      <c r="V462" s="41" t="n">
        <f aca="false">IF(M462=0,0,P462/M462)</f>
        <v>0.00952380952380953</v>
      </c>
      <c r="W462" s="40" t="n">
        <f aca="false">IF(L462=0,0,Q462/L462)</f>
        <v>0.00943396226415094</v>
      </c>
    </row>
    <row r="463" customFormat="false" ht="15" hidden="false" customHeight="false" outlineLevel="0" collapsed="false">
      <c r="A463" s="37" t="s">
        <v>1754</v>
      </c>
      <c r="B463" s="38" t="n">
        <v>46097.0939583333</v>
      </c>
      <c r="C463" s="37" t="s">
        <v>1201</v>
      </c>
      <c r="D463" s="37" t="s">
        <v>647</v>
      </c>
      <c r="E463" s="37" t="s">
        <v>1546</v>
      </c>
      <c r="F463" s="37" t="s">
        <v>544</v>
      </c>
      <c r="G463" s="37" t="s">
        <v>1107</v>
      </c>
      <c r="H463" s="37" t="s">
        <v>60</v>
      </c>
      <c r="I463" s="37"/>
      <c r="J463" s="37" t="s">
        <v>236</v>
      </c>
      <c r="K463" s="37" t="s">
        <v>1202</v>
      </c>
      <c r="L463" s="39" t="n">
        <v>134</v>
      </c>
      <c r="M463" s="39" t="n">
        <v>133</v>
      </c>
      <c r="N463" s="39" t="n">
        <v>76</v>
      </c>
      <c r="O463" s="39" t="n">
        <v>45</v>
      </c>
      <c r="P463" s="39" t="n">
        <v>0</v>
      </c>
      <c r="Q463" s="39" t="n">
        <v>1</v>
      </c>
      <c r="R463" s="39" t="n">
        <v>1</v>
      </c>
      <c r="S463" s="39" t="n">
        <v>0</v>
      </c>
      <c r="T463" s="40" t="n">
        <f aca="false">IF(M463=0,0,N463/M463)</f>
        <v>0.571428571428571</v>
      </c>
      <c r="U463" s="40" t="n">
        <f aca="false">IF(M463=0,0,O463/M463)</f>
        <v>0.338345864661654</v>
      </c>
      <c r="V463" s="41" t="n">
        <f aca="false">IF(M463=0,0,P463/M463)</f>
        <v>0</v>
      </c>
      <c r="W463" s="40" t="n">
        <f aca="false">IF(L463=0,0,Q463/L463)</f>
        <v>0.00746268656716418</v>
      </c>
    </row>
    <row r="464" customFormat="false" ht="15" hidden="false" customHeight="false" outlineLevel="0" collapsed="false">
      <c r="A464" s="37" t="s">
        <v>1755</v>
      </c>
      <c r="B464" s="38" t="n">
        <v>46097.0775578704</v>
      </c>
      <c r="C464" s="37" t="s">
        <v>1201</v>
      </c>
      <c r="D464" s="37" t="s">
        <v>127</v>
      </c>
      <c r="E464" s="37" t="s">
        <v>178</v>
      </c>
      <c r="F464" s="37" t="s">
        <v>127</v>
      </c>
      <c r="G464" s="37"/>
      <c r="H464" s="37" t="s">
        <v>60</v>
      </c>
      <c r="I464" s="37"/>
      <c r="J464" s="37" t="s">
        <v>126</v>
      </c>
      <c r="K464" s="37" t="s">
        <v>1202</v>
      </c>
      <c r="L464" s="39" t="n">
        <v>57</v>
      </c>
      <c r="M464" s="39" t="n">
        <v>56</v>
      </c>
      <c r="N464" s="39" t="n">
        <v>25</v>
      </c>
      <c r="O464" s="39" t="n">
        <v>11</v>
      </c>
      <c r="P464" s="39" t="n">
        <v>0</v>
      </c>
      <c r="Q464" s="39" t="n">
        <v>1</v>
      </c>
      <c r="R464" s="39" t="n">
        <v>1</v>
      </c>
      <c r="S464" s="39" t="n">
        <v>0</v>
      </c>
      <c r="T464" s="40" t="n">
        <f aca="false">IF(M464=0,0,N464/M464)</f>
        <v>0.446428571428571</v>
      </c>
      <c r="U464" s="40" t="n">
        <f aca="false">IF(M464=0,0,O464/M464)</f>
        <v>0.196428571428571</v>
      </c>
      <c r="V464" s="41" t="n">
        <f aca="false">IF(M464=0,0,P464/M464)</f>
        <v>0</v>
      </c>
      <c r="W464" s="40" t="n">
        <f aca="false">IF(L464=0,0,Q464/L464)</f>
        <v>0.0175438596491228</v>
      </c>
    </row>
    <row r="465" customFormat="false" ht="15" hidden="false" customHeight="false" outlineLevel="0" collapsed="false">
      <c r="A465" s="37" t="s">
        <v>1756</v>
      </c>
      <c r="B465" s="38" t="n">
        <v>46097.023287037</v>
      </c>
      <c r="C465" s="37" t="s">
        <v>1201</v>
      </c>
      <c r="D465" s="37" t="s">
        <v>647</v>
      </c>
      <c r="E465" s="37" t="s">
        <v>238</v>
      </c>
      <c r="F465" s="37" t="s">
        <v>544</v>
      </c>
      <c r="G465" s="37" t="s">
        <v>1107</v>
      </c>
      <c r="H465" s="37" t="s">
        <v>66</v>
      </c>
      <c r="I465" s="37"/>
      <c r="J465" s="37" t="s">
        <v>236</v>
      </c>
      <c r="K465" s="37" t="s">
        <v>1202</v>
      </c>
      <c r="L465" s="39" t="n">
        <v>266</v>
      </c>
      <c r="M465" s="39" t="n">
        <v>251</v>
      </c>
      <c r="N465" s="39" t="n">
        <v>122</v>
      </c>
      <c r="O465" s="39" t="n">
        <v>58</v>
      </c>
      <c r="P465" s="39" t="n">
        <v>1</v>
      </c>
      <c r="Q465" s="39" t="n">
        <v>15</v>
      </c>
      <c r="R465" s="39" t="n">
        <v>15</v>
      </c>
      <c r="S465" s="39" t="n">
        <v>0</v>
      </c>
      <c r="T465" s="40" t="n">
        <f aca="false">IF(M465=0,0,N465/M465)</f>
        <v>0.48605577689243</v>
      </c>
      <c r="U465" s="40" t="n">
        <f aca="false">IF(M465=0,0,O465/M465)</f>
        <v>0.231075697211155</v>
      </c>
      <c r="V465" s="41" t="n">
        <f aca="false">IF(M465=0,0,P465/M465)</f>
        <v>0.00398406374501992</v>
      </c>
      <c r="W465" s="40" t="n">
        <f aca="false">IF(L465=0,0,Q465/L465)</f>
        <v>0.056390977443609</v>
      </c>
    </row>
    <row r="466" customFormat="false" ht="15" hidden="false" customHeight="false" outlineLevel="0" collapsed="false">
      <c r="A466" s="37" t="s">
        <v>1232</v>
      </c>
      <c r="B466" s="38" t="n">
        <v>46094.3853240741</v>
      </c>
      <c r="C466" s="37" t="s">
        <v>1201</v>
      </c>
      <c r="D466" s="37" t="s">
        <v>1757</v>
      </c>
      <c r="E466" s="37" t="s">
        <v>1757</v>
      </c>
      <c r="F466" s="37" t="s">
        <v>544</v>
      </c>
      <c r="G466" s="37"/>
      <c r="H466" s="37" t="s">
        <v>60</v>
      </c>
      <c r="I466" s="37"/>
      <c r="J466" s="37" t="s">
        <v>430</v>
      </c>
      <c r="K466" s="37" t="s">
        <v>8</v>
      </c>
      <c r="L466" s="39" t="n">
        <v>597</v>
      </c>
      <c r="M466" s="39" t="n">
        <v>597</v>
      </c>
      <c r="N466" s="39" t="n">
        <v>223</v>
      </c>
      <c r="O466" s="39" t="n">
        <v>23</v>
      </c>
      <c r="P466" s="39" t="n">
        <v>1</v>
      </c>
      <c r="Q466" s="39" t="n">
        <v>0</v>
      </c>
      <c r="R466" s="39" t="n">
        <v>0</v>
      </c>
      <c r="S466" s="39" t="n">
        <v>0</v>
      </c>
      <c r="T466" s="40" t="n">
        <f aca="false">IF(M466=0,0,N466/M466)</f>
        <v>0.373534338358459</v>
      </c>
      <c r="U466" s="40" t="n">
        <f aca="false">IF(M466=0,0,O466/M466)</f>
        <v>0.0385259631490787</v>
      </c>
      <c r="V466" s="41" t="n">
        <f aca="false">IF(M466=0,0,P466/M466)</f>
        <v>0.0016750418760469</v>
      </c>
      <c r="W466" s="40" t="n">
        <f aca="false">IF(L466=0,0,Q466/L466)</f>
        <v>0</v>
      </c>
    </row>
    <row r="467" customFormat="false" ht="15" hidden="false" customHeight="false" outlineLevel="0" collapsed="false">
      <c r="A467" s="37" t="s">
        <v>1758</v>
      </c>
      <c r="B467" s="38" t="n">
        <v>46094.2909953704</v>
      </c>
      <c r="C467" s="37" t="s">
        <v>1201</v>
      </c>
      <c r="D467" s="37" t="s">
        <v>230</v>
      </c>
      <c r="E467" s="37" t="s">
        <v>231</v>
      </c>
      <c r="F467" s="37" t="s">
        <v>555</v>
      </c>
      <c r="G467" s="37"/>
      <c r="H467" s="37" t="s">
        <v>60</v>
      </c>
      <c r="I467" s="37"/>
      <c r="J467" s="37" t="s">
        <v>229</v>
      </c>
      <c r="K467" s="37" t="s">
        <v>1202</v>
      </c>
      <c r="L467" s="39" t="n">
        <v>497</v>
      </c>
      <c r="M467" s="39" t="n">
        <v>497</v>
      </c>
      <c r="N467" s="39" t="n">
        <v>160</v>
      </c>
      <c r="O467" s="39" t="n">
        <v>19</v>
      </c>
      <c r="P467" s="39" t="n">
        <v>1</v>
      </c>
      <c r="Q467" s="39" t="n">
        <v>0</v>
      </c>
      <c r="R467" s="39" t="n">
        <v>0</v>
      </c>
      <c r="S467" s="39" t="n">
        <v>0</v>
      </c>
      <c r="T467" s="40" t="n">
        <f aca="false">IF(M467=0,0,N467/M467)</f>
        <v>0.321931589537223</v>
      </c>
      <c r="U467" s="40" t="n">
        <f aca="false">IF(M467=0,0,O467/M467)</f>
        <v>0.0382293762575453</v>
      </c>
      <c r="V467" s="41" t="n">
        <f aca="false">IF(M467=0,0,P467/M467)</f>
        <v>0.00201207243460765</v>
      </c>
      <c r="W467" s="40" t="n">
        <f aca="false">IF(L467=0,0,Q467/L467)</f>
        <v>0</v>
      </c>
    </row>
    <row r="468" customFormat="false" ht="15" hidden="false" customHeight="false" outlineLevel="0" collapsed="false">
      <c r="A468" s="37" t="s">
        <v>1759</v>
      </c>
      <c r="B468" s="38" t="n">
        <v>46093.4478587963</v>
      </c>
      <c r="C468" s="37" t="s">
        <v>1201</v>
      </c>
      <c r="D468" s="37" t="s">
        <v>1237</v>
      </c>
      <c r="E468" s="37" t="s">
        <v>1237</v>
      </c>
      <c r="F468" s="37" t="s">
        <v>555</v>
      </c>
      <c r="G468" s="37"/>
      <c r="H468" s="37" t="s">
        <v>60</v>
      </c>
      <c r="I468" s="37"/>
      <c r="J468" s="37" t="s">
        <v>430</v>
      </c>
      <c r="K468" s="37" t="s">
        <v>8</v>
      </c>
      <c r="L468" s="39" t="n">
        <v>1218</v>
      </c>
      <c r="M468" s="39" t="n">
        <v>1212</v>
      </c>
      <c r="N468" s="39" t="n">
        <v>379</v>
      </c>
      <c r="O468" s="39" t="n">
        <v>107</v>
      </c>
      <c r="P468" s="39" t="n">
        <v>10</v>
      </c>
      <c r="Q468" s="39" t="n">
        <v>6</v>
      </c>
      <c r="R468" s="39" t="n">
        <v>3</v>
      </c>
      <c r="S468" s="39" t="n">
        <v>0</v>
      </c>
      <c r="T468" s="40" t="n">
        <f aca="false">IF(M468=0,0,N468/M468)</f>
        <v>0.312706270627063</v>
      </c>
      <c r="U468" s="40" t="n">
        <f aca="false">IF(M468=0,0,O468/M468)</f>
        <v>0.0882838283828383</v>
      </c>
      <c r="V468" s="41" t="n">
        <f aca="false">IF(M468=0,0,P468/M468)</f>
        <v>0.00825082508250825</v>
      </c>
      <c r="W468" s="40" t="n">
        <f aca="false">IF(L468=0,0,Q468/L468)</f>
        <v>0.00492610837438424</v>
      </c>
    </row>
    <row r="469" customFormat="false" ht="15" hidden="false" customHeight="false" outlineLevel="0" collapsed="false">
      <c r="A469" s="37" t="s">
        <v>1760</v>
      </c>
      <c r="B469" s="38" t="n">
        <v>46093.3026388889</v>
      </c>
      <c r="C469" s="37" t="s">
        <v>1252</v>
      </c>
      <c r="D469" s="37" t="s">
        <v>1286</v>
      </c>
      <c r="E469" s="37" t="s">
        <v>166</v>
      </c>
      <c r="F469" s="37" t="s">
        <v>555</v>
      </c>
      <c r="G469" s="37" t="s">
        <v>1730</v>
      </c>
      <c r="H469" s="37" t="s">
        <v>60</v>
      </c>
      <c r="I469" s="37"/>
      <c r="J469" s="37" t="s">
        <v>164</v>
      </c>
      <c r="K469" s="37" t="s">
        <v>1202</v>
      </c>
      <c r="L469" s="39" t="n">
        <v>747</v>
      </c>
      <c r="M469" s="39" t="n">
        <v>745</v>
      </c>
      <c r="N469" s="39" t="n">
        <v>249</v>
      </c>
      <c r="O469" s="39" t="n">
        <v>27</v>
      </c>
      <c r="P469" s="39" t="n">
        <v>4</v>
      </c>
      <c r="Q469" s="39" t="n">
        <v>2</v>
      </c>
      <c r="R469" s="39" t="n">
        <v>2</v>
      </c>
      <c r="S469" s="39" t="n">
        <v>0</v>
      </c>
      <c r="T469" s="40" t="n">
        <f aca="false">IF(M469=0,0,N469/M469)</f>
        <v>0.334228187919463</v>
      </c>
      <c r="U469" s="40" t="n">
        <f aca="false">IF(M469=0,0,O469/M469)</f>
        <v>0.036241610738255</v>
      </c>
      <c r="V469" s="41" t="n">
        <f aca="false">IF(M469=0,0,P469/M469)</f>
        <v>0.00536912751677852</v>
      </c>
      <c r="W469" s="40" t="n">
        <f aca="false">IF(L469=0,0,Q469/L469)</f>
        <v>0.00267737617135208</v>
      </c>
    </row>
    <row r="470" customFormat="false" ht="15" hidden="false" customHeight="false" outlineLevel="0" collapsed="false">
      <c r="A470" s="37" t="s">
        <v>1761</v>
      </c>
      <c r="B470" s="38" t="n">
        <v>46093.3025115741</v>
      </c>
      <c r="C470" s="37" t="s">
        <v>1252</v>
      </c>
      <c r="D470" s="37" t="s">
        <v>1286</v>
      </c>
      <c r="E470" s="37" t="s">
        <v>166</v>
      </c>
      <c r="F470" s="37" t="s">
        <v>555</v>
      </c>
      <c r="G470" s="37" t="s">
        <v>1730</v>
      </c>
      <c r="H470" s="37" t="s">
        <v>60</v>
      </c>
      <c r="I470" s="37"/>
      <c r="J470" s="37" t="s">
        <v>164</v>
      </c>
      <c r="K470" s="37" t="s">
        <v>1202</v>
      </c>
      <c r="L470" s="39" t="n">
        <v>180</v>
      </c>
      <c r="M470" s="39" t="n">
        <v>179</v>
      </c>
      <c r="N470" s="39" t="n">
        <v>85</v>
      </c>
      <c r="O470" s="39" t="n">
        <v>25</v>
      </c>
      <c r="P470" s="39" t="n">
        <v>0</v>
      </c>
      <c r="Q470" s="39" t="n">
        <v>1</v>
      </c>
      <c r="R470" s="39" t="n">
        <v>0</v>
      </c>
      <c r="S470" s="39" t="n">
        <v>0</v>
      </c>
      <c r="T470" s="40" t="n">
        <f aca="false">IF(M470=0,0,N470/M470)</f>
        <v>0.474860335195531</v>
      </c>
      <c r="U470" s="40" t="n">
        <f aca="false">IF(M470=0,0,O470/M470)</f>
        <v>0.139664804469274</v>
      </c>
      <c r="V470" s="41" t="n">
        <f aca="false">IF(M470=0,0,P470/M470)</f>
        <v>0</v>
      </c>
      <c r="W470" s="40" t="n">
        <f aca="false">IF(L470=0,0,Q470/L470)</f>
        <v>0.00555555555555556</v>
      </c>
    </row>
    <row r="471" customFormat="false" ht="15" hidden="false" customHeight="false" outlineLevel="0" collapsed="false">
      <c r="A471" s="37" t="s">
        <v>1762</v>
      </c>
      <c r="B471" s="38" t="n">
        <v>46093.173912037</v>
      </c>
      <c r="C471" s="37" t="s">
        <v>1201</v>
      </c>
      <c r="D471" s="37" t="s">
        <v>122</v>
      </c>
      <c r="E471" s="37" t="s">
        <v>1255</v>
      </c>
      <c r="F471" s="37" t="s">
        <v>555</v>
      </c>
      <c r="G471" s="37" t="s">
        <v>1256</v>
      </c>
      <c r="H471" s="37" t="s">
        <v>61</v>
      </c>
      <c r="I471" s="37" t="s">
        <v>120</v>
      </c>
      <c r="J471" s="37" t="s">
        <v>121</v>
      </c>
      <c r="K471" s="37" t="s">
        <v>1202</v>
      </c>
      <c r="L471" s="39" t="n">
        <v>1413</v>
      </c>
      <c r="M471" s="39" t="n">
        <v>1405</v>
      </c>
      <c r="N471" s="39" t="n">
        <v>304</v>
      </c>
      <c r="O471" s="39" t="n">
        <v>12</v>
      </c>
      <c r="P471" s="39" t="n">
        <v>4</v>
      </c>
      <c r="Q471" s="39" t="n">
        <v>8</v>
      </c>
      <c r="R471" s="39" t="n">
        <v>6</v>
      </c>
      <c r="S471" s="39" t="n">
        <v>0</v>
      </c>
      <c r="T471" s="40" t="n">
        <f aca="false">IF(M471=0,0,N471/M471)</f>
        <v>0.216370106761566</v>
      </c>
      <c r="U471" s="40" t="n">
        <f aca="false">IF(M471=0,0,O471/M471)</f>
        <v>0.00854092526690392</v>
      </c>
      <c r="V471" s="41" t="n">
        <f aca="false">IF(M471=0,0,P471/M471)</f>
        <v>0.00284697508896797</v>
      </c>
      <c r="W471" s="40" t="n">
        <f aca="false">IF(L471=0,0,Q471/L471)</f>
        <v>0.0056617126680821</v>
      </c>
    </row>
    <row r="472" customFormat="false" ht="15" hidden="false" customHeight="false" outlineLevel="0" collapsed="false">
      <c r="A472" s="37" t="s">
        <v>1763</v>
      </c>
      <c r="B472" s="38" t="n">
        <v>46092.6577546296</v>
      </c>
      <c r="C472" s="37" t="s">
        <v>1201</v>
      </c>
      <c r="D472" s="37" t="s">
        <v>1764</v>
      </c>
      <c r="E472" s="37" t="s">
        <v>1764</v>
      </c>
      <c r="F472" s="37" t="s">
        <v>617</v>
      </c>
      <c r="G472" s="37"/>
      <c r="H472" s="37" t="s">
        <v>61</v>
      </c>
      <c r="I472" s="37"/>
      <c r="J472" s="37" t="s">
        <v>430</v>
      </c>
      <c r="K472" s="37" t="s">
        <v>8</v>
      </c>
      <c r="L472" s="39" t="n">
        <v>331</v>
      </c>
      <c r="M472" s="39" t="n">
        <v>317</v>
      </c>
      <c r="N472" s="39" t="n">
        <v>174</v>
      </c>
      <c r="O472" s="39" t="n">
        <v>40</v>
      </c>
      <c r="P472" s="39" t="n">
        <v>2</v>
      </c>
      <c r="Q472" s="39" t="n">
        <v>14</v>
      </c>
      <c r="R472" s="39" t="n">
        <v>11</v>
      </c>
      <c r="S472" s="39" t="n">
        <v>1</v>
      </c>
      <c r="T472" s="40" t="n">
        <f aca="false">IF(M472=0,0,N472/M472)</f>
        <v>0.548895899053628</v>
      </c>
      <c r="U472" s="40" t="n">
        <f aca="false">IF(M472=0,0,O472/M472)</f>
        <v>0.126182965299685</v>
      </c>
      <c r="V472" s="41" t="n">
        <f aca="false">IF(M472=0,0,P472/M472)</f>
        <v>0.00630914826498423</v>
      </c>
      <c r="W472" s="40" t="n">
        <f aca="false">IF(L472=0,0,Q472/L472)</f>
        <v>0.0422960725075529</v>
      </c>
    </row>
    <row r="473" customFormat="false" ht="15" hidden="false" customHeight="false" outlineLevel="0" collapsed="false">
      <c r="A473" s="37" t="s">
        <v>1765</v>
      </c>
      <c r="B473" s="38" t="n">
        <v>46092.3859606482</v>
      </c>
      <c r="C473" s="37" t="s">
        <v>1201</v>
      </c>
      <c r="D473" s="37" t="s">
        <v>1475</v>
      </c>
      <c r="E473" s="37" t="s">
        <v>1373</v>
      </c>
      <c r="F473" s="37" t="s">
        <v>537</v>
      </c>
      <c r="G473" s="37"/>
      <c r="H473" s="37" t="s">
        <v>64</v>
      </c>
      <c r="I473" s="37"/>
      <c r="J473" s="37" t="s">
        <v>296</v>
      </c>
      <c r="K473" s="37" t="s">
        <v>1202</v>
      </c>
      <c r="L473" s="39" t="n">
        <v>2</v>
      </c>
      <c r="M473" s="39" t="n">
        <v>2</v>
      </c>
      <c r="N473" s="39" t="n">
        <v>2</v>
      </c>
      <c r="O473" s="39" t="n">
        <v>0</v>
      </c>
      <c r="P473" s="39" t="n">
        <v>0</v>
      </c>
      <c r="Q473" s="39" t="n">
        <v>0</v>
      </c>
      <c r="R473" s="39" t="n">
        <v>0</v>
      </c>
      <c r="S473" s="39" t="n">
        <v>0</v>
      </c>
      <c r="T473" s="40" t="n">
        <f aca="false">IF(M473=0,0,N473/M473)</f>
        <v>1</v>
      </c>
      <c r="U473" s="40" t="n">
        <f aca="false">IF(M473=0,0,O473/M473)</f>
        <v>0</v>
      </c>
      <c r="V473" s="41" t="n">
        <f aca="false">IF(M473=0,0,P473/M473)</f>
        <v>0</v>
      </c>
      <c r="W473" s="40" t="n">
        <f aca="false">IF(L473=0,0,Q473/L473)</f>
        <v>0</v>
      </c>
    </row>
    <row r="474" customFormat="false" ht="15" hidden="false" customHeight="false" outlineLevel="0" collapsed="false">
      <c r="A474" s="37" t="s">
        <v>1766</v>
      </c>
      <c r="B474" s="38" t="n">
        <v>46092.3683333333</v>
      </c>
      <c r="C474" s="37" t="s">
        <v>1201</v>
      </c>
      <c r="D474" s="37" t="s">
        <v>251</v>
      </c>
      <c r="E474" s="37" t="s">
        <v>252</v>
      </c>
      <c r="F474" s="37" t="s">
        <v>544</v>
      </c>
      <c r="G474" s="37"/>
      <c r="H474" s="37" t="s">
        <v>60</v>
      </c>
      <c r="I474" s="37" t="s">
        <v>250</v>
      </c>
      <c r="J474" s="37" t="s">
        <v>109</v>
      </c>
      <c r="K474" s="37" t="s">
        <v>1202</v>
      </c>
      <c r="L474" s="39" t="n">
        <v>36</v>
      </c>
      <c r="M474" s="39" t="n">
        <v>36</v>
      </c>
      <c r="N474" s="39" t="n">
        <v>19</v>
      </c>
      <c r="O474" s="39" t="n">
        <v>0</v>
      </c>
      <c r="P474" s="39" t="n">
        <v>0</v>
      </c>
      <c r="Q474" s="39" t="n">
        <v>0</v>
      </c>
      <c r="R474" s="39" t="n">
        <v>0</v>
      </c>
      <c r="S474" s="39" t="n">
        <v>0</v>
      </c>
      <c r="T474" s="40" t="n">
        <f aca="false">IF(M474=0,0,N474/M474)</f>
        <v>0.527777777777778</v>
      </c>
      <c r="U474" s="40" t="n">
        <f aca="false">IF(M474=0,0,O474/M474)</f>
        <v>0</v>
      </c>
      <c r="V474" s="41" t="n">
        <f aca="false">IF(M474=0,0,P474/M474)</f>
        <v>0</v>
      </c>
      <c r="W474" s="40" t="n">
        <f aca="false">IF(L474=0,0,Q474/L474)</f>
        <v>0</v>
      </c>
    </row>
    <row r="475" customFormat="false" ht="15" hidden="false" customHeight="false" outlineLevel="0" collapsed="false">
      <c r="A475" s="37" t="s">
        <v>1767</v>
      </c>
      <c r="B475" s="38" t="n">
        <v>46092.2016435185</v>
      </c>
      <c r="C475" s="37" t="s">
        <v>1201</v>
      </c>
      <c r="D475" s="37" t="s">
        <v>1768</v>
      </c>
      <c r="E475" s="37" t="s">
        <v>252</v>
      </c>
      <c r="F475" s="37" t="s">
        <v>555</v>
      </c>
      <c r="G475" s="37"/>
      <c r="H475" s="37" t="s">
        <v>60</v>
      </c>
      <c r="I475" s="37"/>
      <c r="J475" s="37" t="s">
        <v>109</v>
      </c>
      <c r="K475" s="37" t="s">
        <v>1213</v>
      </c>
      <c r="L475" s="39" t="n">
        <v>73</v>
      </c>
      <c r="M475" s="39" t="n">
        <v>69</v>
      </c>
      <c r="N475" s="39" t="n">
        <v>17</v>
      </c>
      <c r="O475" s="39" t="n">
        <v>3</v>
      </c>
      <c r="P475" s="39" t="n">
        <v>0</v>
      </c>
      <c r="Q475" s="39" t="n">
        <v>4</v>
      </c>
      <c r="R475" s="39" t="n">
        <v>4</v>
      </c>
      <c r="S475" s="39" t="n">
        <v>0</v>
      </c>
      <c r="T475" s="40" t="n">
        <f aca="false">IF(M475=0,0,N475/M475)</f>
        <v>0.246376811594203</v>
      </c>
      <c r="U475" s="40" t="n">
        <f aca="false">IF(M475=0,0,O475/M475)</f>
        <v>0.0434782608695652</v>
      </c>
      <c r="V475" s="41" t="n">
        <f aca="false">IF(M475=0,0,P475/M475)</f>
        <v>0</v>
      </c>
      <c r="W475" s="40" t="n">
        <f aca="false">IF(L475=0,0,Q475/L475)</f>
        <v>0.0547945205479452</v>
      </c>
    </row>
    <row r="476" customFormat="false" ht="15" hidden="false" customHeight="false" outlineLevel="0" collapsed="false">
      <c r="A476" s="37" t="s">
        <v>1769</v>
      </c>
      <c r="B476" s="38" t="n">
        <v>46092.0356712963</v>
      </c>
      <c r="C476" s="37" t="s">
        <v>1241</v>
      </c>
      <c r="D476" s="37" t="s">
        <v>152</v>
      </c>
      <c r="E476" s="37" t="s">
        <v>1204</v>
      </c>
      <c r="F476" s="37" t="s">
        <v>152</v>
      </c>
      <c r="G476" s="37"/>
      <c r="H476" s="37" t="s">
        <v>63</v>
      </c>
      <c r="I476" s="37"/>
      <c r="J476" s="37" t="s">
        <v>151</v>
      </c>
      <c r="K476" s="37" t="s">
        <v>1202</v>
      </c>
      <c r="L476" s="39" t="n">
        <v>101</v>
      </c>
      <c r="M476" s="39" t="n">
        <v>97</v>
      </c>
      <c r="N476" s="39" t="n">
        <v>54</v>
      </c>
      <c r="O476" s="39" t="n">
        <v>13</v>
      </c>
      <c r="P476" s="39" t="n">
        <v>0</v>
      </c>
      <c r="Q476" s="39" t="n">
        <v>4</v>
      </c>
      <c r="R476" s="39" t="n">
        <v>4</v>
      </c>
      <c r="S476" s="39" t="n">
        <v>0</v>
      </c>
      <c r="T476" s="40" t="n">
        <f aca="false">IF(M476=0,0,N476/M476)</f>
        <v>0.556701030927835</v>
      </c>
      <c r="U476" s="40" t="n">
        <f aca="false">IF(M476=0,0,O476/M476)</f>
        <v>0.134020618556701</v>
      </c>
      <c r="V476" s="41" t="n">
        <f aca="false">IF(M476=0,0,P476/M476)</f>
        <v>0</v>
      </c>
      <c r="W476" s="40" t="n">
        <f aca="false">IF(L476=0,0,Q476/L476)</f>
        <v>0.0396039603960396</v>
      </c>
    </row>
    <row r="477" customFormat="false" ht="15" hidden="false" customHeight="false" outlineLevel="0" collapsed="false">
      <c r="A477" s="37" t="s">
        <v>1770</v>
      </c>
      <c r="B477" s="38" t="n">
        <v>46091.6850115741</v>
      </c>
      <c r="C477" s="37" t="s">
        <v>1201</v>
      </c>
      <c r="D477" s="37" t="s">
        <v>1339</v>
      </c>
      <c r="E477" s="37" t="s">
        <v>1728</v>
      </c>
      <c r="F477" s="37" t="s">
        <v>544</v>
      </c>
      <c r="G477" s="37" t="s">
        <v>603</v>
      </c>
      <c r="H477" s="37" t="s">
        <v>60</v>
      </c>
      <c r="I477" s="37"/>
      <c r="J477" s="37" t="s">
        <v>115</v>
      </c>
      <c r="K477" s="37" t="s">
        <v>1202</v>
      </c>
      <c r="L477" s="39" t="n">
        <v>255</v>
      </c>
      <c r="M477" s="39" t="n">
        <v>241</v>
      </c>
      <c r="N477" s="39" t="n">
        <v>71</v>
      </c>
      <c r="O477" s="39" t="n">
        <v>25</v>
      </c>
      <c r="P477" s="39" t="n">
        <v>1</v>
      </c>
      <c r="Q477" s="39" t="n">
        <v>14</v>
      </c>
      <c r="R477" s="39" t="n">
        <v>14</v>
      </c>
      <c r="S477" s="39" t="n">
        <v>0</v>
      </c>
      <c r="T477" s="40" t="n">
        <f aca="false">IF(M477=0,0,N477/M477)</f>
        <v>0.294605809128631</v>
      </c>
      <c r="U477" s="40" t="n">
        <f aca="false">IF(M477=0,0,O477/M477)</f>
        <v>0.103734439834025</v>
      </c>
      <c r="V477" s="41" t="n">
        <f aca="false">IF(M477=0,0,P477/M477)</f>
        <v>0.004149377593361</v>
      </c>
      <c r="W477" s="40" t="n">
        <f aca="false">IF(L477=0,0,Q477/L477)</f>
        <v>0.0549019607843137</v>
      </c>
    </row>
    <row r="478" customFormat="false" ht="15" hidden="false" customHeight="false" outlineLevel="0" collapsed="false">
      <c r="A478" s="37" t="s">
        <v>1771</v>
      </c>
      <c r="B478" s="38" t="n">
        <v>46091.6090393519</v>
      </c>
      <c r="C478" s="37" t="s">
        <v>1201</v>
      </c>
      <c r="D478" s="37" t="s">
        <v>1211</v>
      </c>
      <c r="E478" s="37" t="s">
        <v>1212</v>
      </c>
      <c r="F478" s="37" t="s">
        <v>544</v>
      </c>
      <c r="G478" s="37"/>
      <c r="H478" s="37" t="s">
        <v>60</v>
      </c>
      <c r="I478" s="37"/>
      <c r="J478" s="37" t="s">
        <v>100</v>
      </c>
      <c r="K478" s="37" t="s">
        <v>1213</v>
      </c>
      <c r="L478" s="39" t="n">
        <v>124</v>
      </c>
      <c r="M478" s="39" t="n">
        <v>124</v>
      </c>
      <c r="N478" s="39" t="n">
        <v>81</v>
      </c>
      <c r="O478" s="39" t="n">
        <v>9</v>
      </c>
      <c r="P478" s="39" t="n">
        <v>0</v>
      </c>
      <c r="Q478" s="39" t="n">
        <v>0</v>
      </c>
      <c r="R478" s="39" t="n">
        <v>0</v>
      </c>
      <c r="S478" s="39" t="n">
        <v>0</v>
      </c>
      <c r="T478" s="40" t="n">
        <f aca="false">IF(M478=0,0,N478/M478)</f>
        <v>0.653225806451613</v>
      </c>
      <c r="U478" s="40" t="n">
        <f aca="false">IF(M478=0,0,O478/M478)</f>
        <v>0.0725806451612903</v>
      </c>
      <c r="V478" s="41" t="n">
        <f aca="false">IF(M478=0,0,P478/M478)</f>
        <v>0</v>
      </c>
      <c r="W478" s="40" t="n">
        <f aca="false">IF(L478=0,0,Q478/L478)</f>
        <v>0</v>
      </c>
    </row>
    <row r="479" customFormat="false" ht="15" hidden="false" customHeight="false" outlineLevel="0" collapsed="false">
      <c r="A479" s="37" t="s">
        <v>1772</v>
      </c>
      <c r="B479" s="38" t="n">
        <v>46091.0526967593</v>
      </c>
      <c r="C479" s="37" t="s">
        <v>1201</v>
      </c>
      <c r="D479" s="37" t="s">
        <v>1372</v>
      </c>
      <c r="E479" s="37" t="s">
        <v>1373</v>
      </c>
      <c r="F479" s="37" t="s">
        <v>537</v>
      </c>
      <c r="G479" s="37"/>
      <c r="H479" s="37" t="s">
        <v>60</v>
      </c>
      <c r="I479" s="37"/>
      <c r="J479" s="37" t="s">
        <v>296</v>
      </c>
      <c r="K479" s="37" t="s">
        <v>1202</v>
      </c>
      <c r="L479" s="39" t="n">
        <v>2</v>
      </c>
      <c r="M479" s="39" t="n">
        <v>2</v>
      </c>
      <c r="N479" s="39" t="n">
        <v>2</v>
      </c>
      <c r="O479" s="39" t="n">
        <v>0</v>
      </c>
      <c r="P479" s="39" t="n">
        <v>0</v>
      </c>
      <c r="Q479" s="39" t="n">
        <v>0</v>
      </c>
      <c r="R479" s="39" t="n">
        <v>0</v>
      </c>
      <c r="S479" s="39" t="n">
        <v>0</v>
      </c>
      <c r="T479" s="40" t="n">
        <f aca="false">IF(M479=0,0,N479/M479)</f>
        <v>1</v>
      </c>
      <c r="U479" s="40" t="n">
        <f aca="false">IF(M479=0,0,O479/M479)</f>
        <v>0</v>
      </c>
      <c r="V479" s="41" t="n">
        <f aca="false">IF(M479=0,0,P479/M479)</f>
        <v>0</v>
      </c>
      <c r="W479" s="40" t="n">
        <f aca="false">IF(L479=0,0,Q479/L479)</f>
        <v>0</v>
      </c>
    </row>
    <row r="480" customFormat="false" ht="15" hidden="false" customHeight="false" outlineLevel="0" collapsed="false">
      <c r="A480" s="37" t="s">
        <v>1773</v>
      </c>
      <c r="B480" s="38" t="n">
        <v>46091.0416666667</v>
      </c>
      <c r="C480" s="37" t="s">
        <v>1201</v>
      </c>
      <c r="D480" s="37" t="s">
        <v>1372</v>
      </c>
      <c r="E480" s="37" t="s">
        <v>1373</v>
      </c>
      <c r="F480" s="37" t="s">
        <v>537</v>
      </c>
      <c r="G480" s="37"/>
      <c r="H480" s="37" t="s">
        <v>63</v>
      </c>
      <c r="I480" s="37"/>
      <c r="J480" s="37" t="s">
        <v>296</v>
      </c>
      <c r="K480" s="37" t="s">
        <v>1202</v>
      </c>
      <c r="L480" s="39" t="n">
        <v>2</v>
      </c>
      <c r="M480" s="39" t="n">
        <v>2</v>
      </c>
      <c r="N480" s="39" t="n">
        <v>2</v>
      </c>
      <c r="O480" s="39" t="n">
        <v>0</v>
      </c>
      <c r="P480" s="39" t="n">
        <v>0</v>
      </c>
      <c r="Q480" s="39" t="n">
        <v>0</v>
      </c>
      <c r="R480" s="39" t="n">
        <v>0</v>
      </c>
      <c r="S480" s="39" t="n">
        <v>0</v>
      </c>
      <c r="T480" s="40" t="n">
        <f aca="false">IF(M480=0,0,N480/M480)</f>
        <v>1</v>
      </c>
      <c r="U480" s="40" t="n">
        <f aca="false">IF(M480=0,0,O480/M480)</f>
        <v>0</v>
      </c>
      <c r="V480" s="41" t="n">
        <f aca="false">IF(M480=0,0,P480/M480)</f>
        <v>0</v>
      </c>
      <c r="W480" s="40" t="n">
        <f aca="false">IF(L480=0,0,Q480/L480)</f>
        <v>0</v>
      </c>
    </row>
    <row r="481" customFormat="false" ht="15" hidden="false" customHeight="false" outlineLevel="0" collapsed="false">
      <c r="A481" s="37" t="s">
        <v>1774</v>
      </c>
      <c r="B481" s="38" t="n">
        <v>46090.4897800926</v>
      </c>
      <c r="C481" s="37" t="s">
        <v>1201</v>
      </c>
      <c r="D481" s="37" t="s">
        <v>1372</v>
      </c>
      <c r="E481" s="37" t="s">
        <v>1373</v>
      </c>
      <c r="F481" s="37" t="s">
        <v>537</v>
      </c>
      <c r="G481" s="37"/>
      <c r="H481" s="37" t="s">
        <v>63</v>
      </c>
      <c r="I481" s="37"/>
      <c r="J481" s="37" t="s">
        <v>296</v>
      </c>
      <c r="K481" s="37" t="s">
        <v>1202</v>
      </c>
      <c r="L481" s="39" t="n">
        <v>2</v>
      </c>
      <c r="M481" s="39" t="n">
        <v>2</v>
      </c>
      <c r="N481" s="39" t="n">
        <v>2</v>
      </c>
      <c r="O481" s="39" t="n">
        <v>0</v>
      </c>
      <c r="P481" s="39" t="n">
        <v>0</v>
      </c>
      <c r="Q481" s="39" t="n">
        <v>0</v>
      </c>
      <c r="R481" s="39" t="n">
        <v>0</v>
      </c>
      <c r="S481" s="39" t="n">
        <v>0</v>
      </c>
      <c r="T481" s="40" t="n">
        <f aca="false">IF(M481=0,0,N481/M481)</f>
        <v>1</v>
      </c>
      <c r="U481" s="40" t="n">
        <f aca="false">IF(M481=0,0,O481/M481)</f>
        <v>0</v>
      </c>
      <c r="V481" s="41" t="n">
        <f aca="false">IF(M481=0,0,P481/M481)</f>
        <v>0</v>
      </c>
      <c r="W481" s="40" t="n">
        <f aca="false">IF(L481=0,0,Q481/L481)</f>
        <v>0</v>
      </c>
    </row>
    <row r="482" customFormat="false" ht="15" hidden="false" customHeight="false" outlineLevel="0" collapsed="false">
      <c r="A482" s="37" t="s">
        <v>1775</v>
      </c>
      <c r="B482" s="38" t="n">
        <v>46090.3105787037</v>
      </c>
      <c r="C482" s="37" t="s">
        <v>1241</v>
      </c>
      <c r="D482" s="37" t="s">
        <v>1242</v>
      </c>
      <c r="E482" s="37" t="s">
        <v>193</v>
      </c>
      <c r="F482" s="37" t="s">
        <v>555</v>
      </c>
      <c r="G482" s="37" t="s">
        <v>1714</v>
      </c>
      <c r="H482" s="37" t="s">
        <v>65</v>
      </c>
      <c r="I482" s="37"/>
      <c r="J482" s="37" t="s">
        <v>354</v>
      </c>
      <c r="K482" s="37" t="s">
        <v>1202</v>
      </c>
      <c r="L482" s="39" t="n">
        <v>334</v>
      </c>
      <c r="M482" s="39" t="n">
        <v>333</v>
      </c>
      <c r="N482" s="39" t="n">
        <v>98</v>
      </c>
      <c r="O482" s="39" t="n">
        <v>16</v>
      </c>
      <c r="P482" s="39" t="n">
        <v>3</v>
      </c>
      <c r="Q482" s="39" t="n">
        <v>1</v>
      </c>
      <c r="R482" s="39" t="n">
        <v>1</v>
      </c>
      <c r="S482" s="39" t="n">
        <v>0</v>
      </c>
      <c r="T482" s="40" t="n">
        <f aca="false">IF(M482=0,0,N482/M482)</f>
        <v>0.294294294294294</v>
      </c>
      <c r="U482" s="40" t="n">
        <f aca="false">IF(M482=0,0,O482/M482)</f>
        <v>0.0480480480480481</v>
      </c>
      <c r="V482" s="41" t="n">
        <f aca="false">IF(M482=0,0,P482/M482)</f>
        <v>0.00900900900900901</v>
      </c>
      <c r="W482" s="40" t="n">
        <f aca="false">IF(L482=0,0,Q482/L482)</f>
        <v>0.0029940119760479</v>
      </c>
    </row>
    <row r="483" customFormat="false" ht="15" hidden="false" customHeight="false" outlineLevel="0" collapsed="false">
      <c r="A483" s="37" t="s">
        <v>1776</v>
      </c>
      <c r="B483" s="38" t="n">
        <v>46090.2964583333</v>
      </c>
      <c r="C483" s="37" t="s">
        <v>1241</v>
      </c>
      <c r="D483" s="37" t="s">
        <v>1242</v>
      </c>
      <c r="E483" s="37" t="s">
        <v>1250</v>
      </c>
      <c r="F483" s="37" t="s">
        <v>555</v>
      </c>
      <c r="G483" s="37"/>
      <c r="H483" s="37" t="s">
        <v>65</v>
      </c>
      <c r="I483" s="37"/>
      <c r="J483" s="37" t="s">
        <v>354</v>
      </c>
      <c r="K483" s="37" t="s">
        <v>1202</v>
      </c>
      <c r="L483" s="39" t="n">
        <v>352</v>
      </c>
      <c r="M483" s="39" t="n">
        <v>349</v>
      </c>
      <c r="N483" s="39" t="n">
        <v>100</v>
      </c>
      <c r="O483" s="39" t="n">
        <v>16</v>
      </c>
      <c r="P483" s="39" t="n">
        <v>5</v>
      </c>
      <c r="Q483" s="39" t="n">
        <v>3</v>
      </c>
      <c r="R483" s="39" t="n">
        <v>2</v>
      </c>
      <c r="S483" s="39" t="n">
        <v>0</v>
      </c>
      <c r="T483" s="40" t="n">
        <f aca="false">IF(M483=0,0,N483/M483)</f>
        <v>0.286532951289398</v>
      </c>
      <c r="U483" s="40" t="n">
        <f aca="false">IF(M483=0,0,O483/M483)</f>
        <v>0.0458452722063037</v>
      </c>
      <c r="V483" s="41" t="n">
        <f aca="false">IF(M483=0,0,P483/M483)</f>
        <v>0.0143266475644699</v>
      </c>
      <c r="W483" s="40" t="n">
        <f aca="false">IF(L483=0,0,Q483/L483)</f>
        <v>0.00852272727272727</v>
      </c>
    </row>
    <row r="484" customFormat="false" ht="15" hidden="false" customHeight="false" outlineLevel="0" collapsed="false">
      <c r="A484" s="37" t="s">
        <v>1777</v>
      </c>
      <c r="B484" s="38" t="n">
        <v>46090.1410763889</v>
      </c>
      <c r="C484" s="37" t="s">
        <v>1201</v>
      </c>
      <c r="D484" s="37" t="s">
        <v>647</v>
      </c>
      <c r="E484" s="37" t="s">
        <v>238</v>
      </c>
      <c r="F484" s="37" t="s">
        <v>544</v>
      </c>
      <c r="G484" s="37" t="s">
        <v>1107</v>
      </c>
      <c r="H484" s="37" t="s">
        <v>60</v>
      </c>
      <c r="I484" s="37"/>
      <c r="J484" s="37" t="s">
        <v>236</v>
      </c>
      <c r="K484" s="37" t="s">
        <v>1202</v>
      </c>
      <c r="L484" s="39" t="n">
        <v>524</v>
      </c>
      <c r="M484" s="39" t="n">
        <v>521</v>
      </c>
      <c r="N484" s="39" t="n">
        <v>278</v>
      </c>
      <c r="O484" s="39" t="n">
        <v>182</v>
      </c>
      <c r="P484" s="39" t="n">
        <v>1</v>
      </c>
      <c r="Q484" s="39" t="n">
        <v>3</v>
      </c>
      <c r="R484" s="39" t="n">
        <v>3</v>
      </c>
      <c r="S484" s="39" t="n">
        <v>0</v>
      </c>
      <c r="T484" s="40" t="n">
        <f aca="false">IF(M484=0,0,N484/M484)</f>
        <v>0.533589251439539</v>
      </c>
      <c r="U484" s="40" t="n">
        <f aca="false">IF(M484=0,0,O484/M484)</f>
        <v>0.349328214971209</v>
      </c>
      <c r="V484" s="41" t="n">
        <f aca="false">IF(M484=0,0,P484/M484)</f>
        <v>0.00191938579654511</v>
      </c>
      <c r="W484" s="40" t="n">
        <f aca="false">IF(L484=0,0,Q484/L484)</f>
        <v>0.00572519083969466</v>
      </c>
    </row>
    <row r="485" customFormat="false" ht="15" hidden="false" customHeight="false" outlineLevel="0" collapsed="false">
      <c r="A485" s="37" t="s">
        <v>1778</v>
      </c>
      <c r="B485" s="38" t="n">
        <v>46090.0524768519</v>
      </c>
      <c r="C485" s="37" t="s">
        <v>1201</v>
      </c>
      <c r="D485" s="37" t="s">
        <v>1475</v>
      </c>
      <c r="E485" s="37" t="s">
        <v>1373</v>
      </c>
      <c r="F485" s="37" t="s">
        <v>537</v>
      </c>
      <c r="G485" s="37"/>
      <c r="H485" s="37" t="s">
        <v>64</v>
      </c>
      <c r="I485" s="37"/>
      <c r="J485" s="37" t="s">
        <v>296</v>
      </c>
      <c r="K485" s="37" t="s">
        <v>1202</v>
      </c>
      <c r="L485" s="39" t="n">
        <v>2</v>
      </c>
      <c r="M485" s="39" t="n">
        <v>2</v>
      </c>
      <c r="N485" s="39" t="n">
        <v>2</v>
      </c>
      <c r="O485" s="39" t="n">
        <v>0</v>
      </c>
      <c r="P485" s="39" t="n">
        <v>0</v>
      </c>
      <c r="Q485" s="39" t="n">
        <v>0</v>
      </c>
      <c r="R485" s="39" t="n">
        <v>0</v>
      </c>
      <c r="S485" s="39" t="n">
        <v>0</v>
      </c>
      <c r="T485" s="40" t="n">
        <f aca="false">IF(M485=0,0,N485/M485)</f>
        <v>1</v>
      </c>
      <c r="U485" s="40" t="n">
        <f aca="false">IF(M485=0,0,O485/M485)</f>
        <v>0</v>
      </c>
      <c r="V485" s="41" t="n">
        <f aca="false">IF(M485=0,0,P485/M485)</f>
        <v>0</v>
      </c>
      <c r="W485" s="40" t="n">
        <f aca="false">IF(L485=0,0,Q485/L485)</f>
        <v>0</v>
      </c>
    </row>
    <row r="486" customFormat="false" ht="15" hidden="false" customHeight="false" outlineLevel="0" collapsed="false">
      <c r="A486" s="37" t="s">
        <v>1779</v>
      </c>
      <c r="B486" s="38" t="n">
        <v>46089.0109490741</v>
      </c>
      <c r="C486" s="37" t="s">
        <v>1201</v>
      </c>
      <c r="D486" s="37" t="s">
        <v>1372</v>
      </c>
      <c r="E486" s="37" t="s">
        <v>1373</v>
      </c>
      <c r="F486" s="37" t="s">
        <v>537</v>
      </c>
      <c r="G486" s="37"/>
      <c r="H486" s="37" t="s">
        <v>63</v>
      </c>
      <c r="I486" s="37"/>
      <c r="J486" s="37" t="s">
        <v>296</v>
      </c>
      <c r="K486" s="37" t="s">
        <v>1202</v>
      </c>
      <c r="L486" s="39" t="n">
        <v>2</v>
      </c>
      <c r="M486" s="39" t="n">
        <v>2</v>
      </c>
      <c r="N486" s="39" t="n">
        <v>2</v>
      </c>
      <c r="O486" s="39" t="n">
        <v>0</v>
      </c>
      <c r="P486" s="39" t="n">
        <v>0</v>
      </c>
      <c r="Q486" s="39" t="n">
        <v>0</v>
      </c>
      <c r="R486" s="39" t="n">
        <v>0</v>
      </c>
      <c r="S486" s="39" t="n">
        <v>0</v>
      </c>
      <c r="T486" s="40" t="n">
        <f aca="false">IF(M486=0,0,N486/M486)</f>
        <v>1</v>
      </c>
      <c r="U486" s="40" t="n">
        <f aca="false">IF(M486=0,0,O486/M486)</f>
        <v>0</v>
      </c>
      <c r="V486" s="41" t="n">
        <f aca="false">IF(M486=0,0,P486/M486)</f>
        <v>0</v>
      </c>
      <c r="W486" s="40" t="n">
        <f aca="false">IF(L486=0,0,Q486/L486)</f>
        <v>0</v>
      </c>
    </row>
    <row r="487" customFormat="false" ht="15" hidden="false" customHeight="false" outlineLevel="0" collapsed="false">
      <c r="A487" s="37" t="s">
        <v>1780</v>
      </c>
      <c r="B487" s="38" t="n">
        <v>46087.2349421296</v>
      </c>
      <c r="C487" s="37" t="s">
        <v>1201</v>
      </c>
      <c r="D487" s="37" t="s">
        <v>185</v>
      </c>
      <c r="E487" s="37" t="s">
        <v>186</v>
      </c>
      <c r="F487" s="37" t="s">
        <v>555</v>
      </c>
      <c r="G487" s="37"/>
      <c r="H487" s="37" t="s">
        <v>61</v>
      </c>
      <c r="I487" s="37" t="s">
        <v>183</v>
      </c>
      <c r="J487" s="37" t="s">
        <v>184</v>
      </c>
      <c r="K487" s="37" t="s">
        <v>1202</v>
      </c>
      <c r="L487" s="39" t="n">
        <v>67</v>
      </c>
      <c r="M487" s="39" t="n">
        <v>66</v>
      </c>
      <c r="N487" s="39" t="n">
        <v>26</v>
      </c>
      <c r="O487" s="39" t="n">
        <v>6</v>
      </c>
      <c r="P487" s="39" t="n">
        <v>0</v>
      </c>
      <c r="Q487" s="39" t="n">
        <v>1</v>
      </c>
      <c r="R487" s="39" t="n">
        <v>1</v>
      </c>
      <c r="S487" s="39" t="n">
        <v>0</v>
      </c>
      <c r="T487" s="40" t="n">
        <f aca="false">IF(M487=0,0,N487/M487)</f>
        <v>0.393939393939394</v>
      </c>
      <c r="U487" s="40" t="n">
        <f aca="false">IF(M487=0,0,O487/M487)</f>
        <v>0.0909090909090909</v>
      </c>
      <c r="V487" s="41" t="n">
        <f aca="false">IF(M487=0,0,P487/M487)</f>
        <v>0</v>
      </c>
      <c r="W487" s="40" t="n">
        <f aca="false">IF(L487=0,0,Q487/L487)</f>
        <v>0.0149253731343284</v>
      </c>
    </row>
    <row r="488" customFormat="false" ht="15" hidden="false" customHeight="false" outlineLevel="0" collapsed="false">
      <c r="A488" s="37" t="s">
        <v>1781</v>
      </c>
      <c r="B488" s="38" t="n">
        <v>46086.9351736111</v>
      </c>
      <c r="C488" s="37" t="s">
        <v>1201</v>
      </c>
      <c r="D488" s="37" t="s">
        <v>127</v>
      </c>
      <c r="E488" s="37" t="s">
        <v>128</v>
      </c>
      <c r="F488" s="37" t="s">
        <v>127</v>
      </c>
      <c r="G488" s="37"/>
      <c r="H488" s="37" t="s">
        <v>60</v>
      </c>
      <c r="I488" s="37"/>
      <c r="J488" s="37" t="s">
        <v>126</v>
      </c>
      <c r="K488" s="37" t="s">
        <v>1202</v>
      </c>
      <c r="L488" s="39" t="n">
        <v>89</v>
      </c>
      <c r="M488" s="39" t="n">
        <v>89</v>
      </c>
      <c r="N488" s="39" t="n">
        <v>38</v>
      </c>
      <c r="O488" s="39" t="n">
        <v>21</v>
      </c>
      <c r="P488" s="39" t="n">
        <v>1</v>
      </c>
      <c r="Q488" s="39" t="n">
        <v>0</v>
      </c>
      <c r="R488" s="39" t="n">
        <v>0</v>
      </c>
      <c r="S488" s="39" t="n">
        <v>0</v>
      </c>
      <c r="T488" s="40" t="n">
        <f aca="false">IF(M488=0,0,N488/M488)</f>
        <v>0.426966292134831</v>
      </c>
      <c r="U488" s="40" t="n">
        <f aca="false">IF(M488=0,0,O488/M488)</f>
        <v>0.235955056179775</v>
      </c>
      <c r="V488" s="41" t="n">
        <f aca="false">IF(M488=0,0,P488/M488)</f>
        <v>0.0112359550561798</v>
      </c>
      <c r="W488" s="40" t="n">
        <f aca="false">IF(L488=0,0,Q488/L488)</f>
        <v>0</v>
      </c>
    </row>
    <row r="489" customFormat="false" ht="15" hidden="false" customHeight="false" outlineLevel="0" collapsed="false">
      <c r="A489" s="37" t="s">
        <v>1782</v>
      </c>
      <c r="B489" s="38" t="n">
        <v>46086.3385300926</v>
      </c>
      <c r="C489" s="37" t="s">
        <v>1201</v>
      </c>
      <c r="D489" s="37" t="s">
        <v>1372</v>
      </c>
      <c r="E489" s="37" t="s">
        <v>1373</v>
      </c>
      <c r="F489" s="37" t="s">
        <v>537</v>
      </c>
      <c r="G489" s="37"/>
      <c r="H489" s="37" t="s">
        <v>63</v>
      </c>
      <c r="I489" s="37"/>
      <c r="J489" s="37" t="s">
        <v>296</v>
      </c>
      <c r="K489" s="37" t="s">
        <v>1202</v>
      </c>
      <c r="L489" s="39" t="n">
        <v>2</v>
      </c>
      <c r="M489" s="39" t="n">
        <v>2</v>
      </c>
      <c r="N489" s="39" t="n">
        <v>2</v>
      </c>
      <c r="O489" s="39" t="n">
        <v>0</v>
      </c>
      <c r="P489" s="39" t="n">
        <v>0</v>
      </c>
      <c r="Q489" s="39" t="n">
        <v>0</v>
      </c>
      <c r="R489" s="39" t="n">
        <v>0</v>
      </c>
      <c r="S489" s="39" t="n">
        <v>0</v>
      </c>
      <c r="T489" s="40" t="n">
        <f aca="false">IF(M489=0,0,N489/M489)</f>
        <v>1</v>
      </c>
      <c r="U489" s="40" t="n">
        <f aca="false">IF(M489=0,0,O489/M489)</f>
        <v>0</v>
      </c>
      <c r="V489" s="41" t="n">
        <f aca="false">IF(M489=0,0,P489/M489)</f>
        <v>0</v>
      </c>
      <c r="W489" s="40" t="n">
        <f aca="false">IF(L489=0,0,Q489/L489)</f>
        <v>0</v>
      </c>
    </row>
    <row r="490" customFormat="false" ht="15" hidden="false" customHeight="false" outlineLevel="0" collapsed="false">
      <c r="A490" s="37" t="s">
        <v>1783</v>
      </c>
      <c r="B490" s="38" t="n">
        <v>46086.0002430556</v>
      </c>
      <c r="C490" s="37" t="s">
        <v>1201</v>
      </c>
      <c r="D490" s="37" t="s">
        <v>1475</v>
      </c>
      <c r="E490" s="37" t="s">
        <v>1373</v>
      </c>
      <c r="F490" s="37" t="s">
        <v>537</v>
      </c>
      <c r="G490" s="37"/>
      <c r="H490" s="37" t="s">
        <v>64</v>
      </c>
      <c r="I490" s="37"/>
      <c r="J490" s="37" t="s">
        <v>296</v>
      </c>
      <c r="K490" s="37" t="s">
        <v>1202</v>
      </c>
      <c r="L490" s="39" t="n">
        <v>2</v>
      </c>
      <c r="M490" s="39" t="n">
        <v>2</v>
      </c>
      <c r="N490" s="39" t="n">
        <v>2</v>
      </c>
      <c r="O490" s="39" t="n">
        <v>0</v>
      </c>
      <c r="P490" s="39" t="n">
        <v>0</v>
      </c>
      <c r="Q490" s="39" t="n">
        <v>0</v>
      </c>
      <c r="R490" s="39" t="n">
        <v>0</v>
      </c>
      <c r="S490" s="39" t="n">
        <v>0</v>
      </c>
      <c r="T490" s="40" t="n">
        <f aca="false">IF(M490=0,0,N490/M490)</f>
        <v>1</v>
      </c>
      <c r="U490" s="40" t="n">
        <f aca="false">IF(M490=0,0,O490/M490)</f>
        <v>0</v>
      </c>
      <c r="V490" s="41" t="n">
        <f aca="false">IF(M490=0,0,P490/M490)</f>
        <v>0</v>
      </c>
      <c r="W490" s="40" t="n">
        <f aca="false">IF(L490=0,0,Q490/L490)</f>
        <v>0</v>
      </c>
    </row>
    <row r="491" customFormat="false" ht="15" hidden="false" customHeight="false" outlineLevel="0" collapsed="false">
      <c r="A491" s="37" t="s">
        <v>1784</v>
      </c>
      <c r="B491" s="38" t="n">
        <v>46085.8752430556</v>
      </c>
      <c r="C491" s="37" t="s">
        <v>1201</v>
      </c>
      <c r="D491" s="37" t="s">
        <v>152</v>
      </c>
      <c r="E491" s="37" t="s">
        <v>1344</v>
      </c>
      <c r="F491" s="37" t="s">
        <v>152</v>
      </c>
      <c r="G491" s="37"/>
      <c r="H491" s="37" t="s">
        <v>60</v>
      </c>
      <c r="I491" s="37"/>
      <c r="J491" s="37" t="s">
        <v>151</v>
      </c>
      <c r="K491" s="37" t="s">
        <v>1202</v>
      </c>
      <c r="L491" s="39" t="n">
        <v>439</v>
      </c>
      <c r="M491" s="39" t="n">
        <v>433</v>
      </c>
      <c r="N491" s="39" t="n">
        <v>169</v>
      </c>
      <c r="O491" s="39" t="n">
        <v>13</v>
      </c>
      <c r="P491" s="39" t="n">
        <v>3</v>
      </c>
      <c r="Q491" s="39" t="n">
        <v>6</v>
      </c>
      <c r="R491" s="39" t="n">
        <v>4</v>
      </c>
      <c r="S491" s="39" t="n">
        <v>0</v>
      </c>
      <c r="T491" s="40" t="n">
        <f aca="false">IF(M491=0,0,N491/M491)</f>
        <v>0.390300230946882</v>
      </c>
      <c r="U491" s="40" t="n">
        <f aca="false">IF(M491=0,0,O491/M491)</f>
        <v>0.0300230946882217</v>
      </c>
      <c r="V491" s="41" t="n">
        <f aca="false">IF(M491=0,0,P491/M491)</f>
        <v>0.0069284064665127</v>
      </c>
      <c r="W491" s="40" t="n">
        <f aca="false">IF(L491=0,0,Q491/L491)</f>
        <v>0.0136674259681093</v>
      </c>
    </row>
    <row r="492" customFormat="false" ht="15" hidden="false" customHeight="false" outlineLevel="0" collapsed="false">
      <c r="A492" s="37" t="s">
        <v>1785</v>
      </c>
      <c r="B492" s="38" t="n">
        <v>46085.3841319445</v>
      </c>
      <c r="C492" s="37" t="s">
        <v>1201</v>
      </c>
      <c r="D492" s="37" t="s">
        <v>1237</v>
      </c>
      <c r="E492" s="37" t="s">
        <v>1237</v>
      </c>
      <c r="F492" s="37" t="s">
        <v>544</v>
      </c>
      <c r="G492" s="37"/>
      <c r="H492" s="37" t="s">
        <v>60</v>
      </c>
      <c r="I492" s="37"/>
      <c r="J492" s="37" t="s">
        <v>430</v>
      </c>
      <c r="K492" s="37" t="s">
        <v>8</v>
      </c>
      <c r="L492" s="39" t="n">
        <v>1269</v>
      </c>
      <c r="M492" s="39" t="n">
        <v>1213</v>
      </c>
      <c r="N492" s="39" t="n">
        <v>476</v>
      </c>
      <c r="O492" s="39" t="n">
        <v>77</v>
      </c>
      <c r="P492" s="39" t="n">
        <v>25</v>
      </c>
      <c r="Q492" s="39" t="n">
        <v>56</v>
      </c>
      <c r="R492" s="39" t="n">
        <v>50</v>
      </c>
      <c r="S492" s="39" t="n">
        <v>0</v>
      </c>
      <c r="T492" s="40" t="n">
        <f aca="false">IF(M492=0,0,N492/M492)</f>
        <v>0.392415498763397</v>
      </c>
      <c r="U492" s="40" t="n">
        <f aca="false">IF(M492=0,0,O492/M492)</f>
        <v>0.0634789777411377</v>
      </c>
      <c r="V492" s="41" t="n">
        <f aca="false">IF(M492=0,0,P492/M492)</f>
        <v>0.0206100577081616</v>
      </c>
      <c r="W492" s="40" t="n">
        <f aca="false">IF(L492=0,0,Q492/L492)</f>
        <v>0.0441292356185973</v>
      </c>
    </row>
    <row r="493" customFormat="false" ht="15" hidden="false" customHeight="false" outlineLevel="0" collapsed="false">
      <c r="A493" s="37" t="s">
        <v>1786</v>
      </c>
      <c r="B493" s="38" t="n">
        <v>46085.3755671296</v>
      </c>
      <c r="C493" s="37" t="s">
        <v>1201</v>
      </c>
      <c r="D493" s="37" t="s">
        <v>1475</v>
      </c>
      <c r="E493" s="37" t="s">
        <v>1373</v>
      </c>
      <c r="F493" s="37" t="s">
        <v>537</v>
      </c>
      <c r="G493" s="37"/>
      <c r="H493" s="37" t="s">
        <v>64</v>
      </c>
      <c r="I493" s="37"/>
      <c r="J493" s="37" t="s">
        <v>296</v>
      </c>
      <c r="K493" s="37" t="s">
        <v>1202</v>
      </c>
      <c r="L493" s="39" t="n">
        <v>2</v>
      </c>
      <c r="M493" s="39" t="n">
        <v>2</v>
      </c>
      <c r="N493" s="39" t="n">
        <v>2</v>
      </c>
      <c r="O493" s="39" t="n">
        <v>0</v>
      </c>
      <c r="P493" s="39" t="n">
        <v>0</v>
      </c>
      <c r="Q493" s="39" t="n">
        <v>0</v>
      </c>
      <c r="R493" s="39" t="n">
        <v>0</v>
      </c>
      <c r="S493" s="39" t="n">
        <v>0</v>
      </c>
      <c r="T493" s="40" t="n">
        <f aca="false">IF(M493=0,0,N493/M493)</f>
        <v>1</v>
      </c>
      <c r="U493" s="40" t="n">
        <f aca="false">IF(M493=0,0,O493/M493)</f>
        <v>0</v>
      </c>
      <c r="V493" s="41" t="n">
        <f aca="false">IF(M493=0,0,P493/M493)</f>
        <v>0</v>
      </c>
      <c r="W493" s="40" t="n">
        <f aca="false">IF(L493=0,0,Q493/L493)</f>
        <v>0</v>
      </c>
    </row>
    <row r="494" customFormat="false" ht="15" hidden="false" customHeight="false" outlineLevel="0" collapsed="false">
      <c r="A494" s="37" t="s">
        <v>1787</v>
      </c>
      <c r="B494" s="38" t="n">
        <v>46085.375462963</v>
      </c>
      <c r="C494" s="37" t="s">
        <v>1201</v>
      </c>
      <c r="D494" s="37" t="s">
        <v>1475</v>
      </c>
      <c r="E494" s="37" t="s">
        <v>1373</v>
      </c>
      <c r="F494" s="37" t="s">
        <v>537</v>
      </c>
      <c r="G494" s="37"/>
      <c r="H494" s="37" t="s">
        <v>64</v>
      </c>
      <c r="I494" s="37"/>
      <c r="J494" s="37" t="s">
        <v>296</v>
      </c>
      <c r="K494" s="37" t="s">
        <v>1202</v>
      </c>
      <c r="L494" s="39" t="n">
        <v>2</v>
      </c>
      <c r="M494" s="39" t="n">
        <v>2</v>
      </c>
      <c r="N494" s="39" t="n">
        <v>2</v>
      </c>
      <c r="O494" s="39" t="n">
        <v>0</v>
      </c>
      <c r="P494" s="39" t="n">
        <v>0</v>
      </c>
      <c r="Q494" s="39" t="n">
        <v>0</v>
      </c>
      <c r="R494" s="39" t="n">
        <v>0</v>
      </c>
      <c r="S494" s="39" t="n">
        <v>0</v>
      </c>
      <c r="T494" s="40" t="n">
        <f aca="false">IF(M494=0,0,N494/M494)</f>
        <v>1</v>
      </c>
      <c r="U494" s="40" t="n">
        <f aca="false">IF(M494=0,0,O494/M494)</f>
        <v>0</v>
      </c>
      <c r="V494" s="41" t="n">
        <f aca="false">IF(M494=0,0,P494/M494)</f>
        <v>0</v>
      </c>
      <c r="W494" s="40" t="n">
        <f aca="false">IF(L494=0,0,Q494/L494)</f>
        <v>0</v>
      </c>
    </row>
    <row r="495" customFormat="false" ht="15" hidden="false" customHeight="false" outlineLevel="0" collapsed="false">
      <c r="A495" s="37" t="s">
        <v>1788</v>
      </c>
      <c r="B495" s="38" t="n">
        <v>46085.3750231482</v>
      </c>
      <c r="C495" s="37" t="s">
        <v>1201</v>
      </c>
      <c r="D495" s="37" t="s">
        <v>1475</v>
      </c>
      <c r="E495" s="37" t="s">
        <v>1373</v>
      </c>
      <c r="F495" s="37" t="s">
        <v>537</v>
      </c>
      <c r="G495" s="37"/>
      <c r="H495" s="37" t="s">
        <v>64</v>
      </c>
      <c r="I495" s="37"/>
      <c r="J495" s="37" t="s">
        <v>296</v>
      </c>
      <c r="K495" s="37" t="s">
        <v>1202</v>
      </c>
      <c r="L495" s="39" t="n">
        <v>2</v>
      </c>
      <c r="M495" s="39" t="n">
        <v>2</v>
      </c>
      <c r="N495" s="39" t="n">
        <v>2</v>
      </c>
      <c r="O495" s="39" t="n">
        <v>0</v>
      </c>
      <c r="P495" s="39" t="n">
        <v>0</v>
      </c>
      <c r="Q495" s="39" t="n">
        <v>0</v>
      </c>
      <c r="R495" s="39" t="n">
        <v>0</v>
      </c>
      <c r="S495" s="39" t="n">
        <v>0</v>
      </c>
      <c r="T495" s="40" t="n">
        <f aca="false">IF(M495=0,0,N495/M495)</f>
        <v>1</v>
      </c>
      <c r="U495" s="40" t="n">
        <f aca="false">IF(M495=0,0,O495/M495)</f>
        <v>0</v>
      </c>
      <c r="V495" s="41" t="n">
        <f aca="false">IF(M495=0,0,P495/M495)</f>
        <v>0</v>
      </c>
      <c r="W495" s="40" t="n">
        <f aca="false">IF(L495=0,0,Q495/L495)</f>
        <v>0</v>
      </c>
    </row>
    <row r="496" customFormat="false" ht="15" hidden="false" customHeight="false" outlineLevel="0" collapsed="false">
      <c r="A496" s="37" t="s">
        <v>1789</v>
      </c>
      <c r="B496" s="38" t="n">
        <v>46085.0743865741</v>
      </c>
      <c r="C496" s="37" t="s">
        <v>1201</v>
      </c>
      <c r="D496" s="37" t="s">
        <v>1436</v>
      </c>
      <c r="E496" s="37" t="s">
        <v>1436</v>
      </c>
      <c r="F496" s="37" t="s">
        <v>555</v>
      </c>
      <c r="G496" s="37"/>
      <c r="H496" s="37" t="s">
        <v>60</v>
      </c>
      <c r="I496" s="37"/>
      <c r="J496" s="37" t="s">
        <v>144</v>
      </c>
      <c r="K496" s="37" t="s">
        <v>1213</v>
      </c>
      <c r="L496" s="39" t="n">
        <v>208</v>
      </c>
      <c r="M496" s="39" t="n">
        <v>206</v>
      </c>
      <c r="N496" s="39" t="n">
        <v>84</v>
      </c>
      <c r="O496" s="39" t="n">
        <v>5</v>
      </c>
      <c r="P496" s="39" t="n">
        <v>2</v>
      </c>
      <c r="Q496" s="39" t="n">
        <v>2</v>
      </c>
      <c r="R496" s="39" t="n">
        <v>1</v>
      </c>
      <c r="S496" s="39" t="n">
        <v>0</v>
      </c>
      <c r="T496" s="40" t="n">
        <f aca="false">IF(M496=0,0,N496/M496)</f>
        <v>0.407766990291262</v>
      </c>
      <c r="U496" s="40" t="n">
        <f aca="false">IF(M496=0,0,O496/M496)</f>
        <v>0.0242718446601942</v>
      </c>
      <c r="V496" s="41" t="n">
        <f aca="false">IF(M496=0,0,P496/M496)</f>
        <v>0.00970873786407767</v>
      </c>
      <c r="W496" s="40" t="n">
        <f aca="false">IF(L496=0,0,Q496/L496)</f>
        <v>0.00961538461538462</v>
      </c>
    </row>
    <row r="497" customFormat="false" ht="15" hidden="false" customHeight="false" outlineLevel="0" collapsed="false">
      <c r="A497" s="37" t="s">
        <v>1790</v>
      </c>
      <c r="B497" s="38" t="n">
        <v>46084.503587963</v>
      </c>
      <c r="C497" s="37" t="s">
        <v>1201</v>
      </c>
      <c r="D497" s="37" t="s">
        <v>654</v>
      </c>
      <c r="E497" s="37" t="s">
        <v>160</v>
      </c>
      <c r="F497" s="37" t="s">
        <v>555</v>
      </c>
      <c r="G497" s="37" t="s">
        <v>1114</v>
      </c>
      <c r="H497" s="37" t="s">
        <v>61</v>
      </c>
      <c r="I497" s="37" t="s">
        <v>157</v>
      </c>
      <c r="J497" s="37" t="s">
        <v>158</v>
      </c>
      <c r="K497" s="37" t="s">
        <v>1202</v>
      </c>
      <c r="L497" s="39" t="n">
        <v>2178</v>
      </c>
      <c r="M497" s="39" t="n">
        <v>2129</v>
      </c>
      <c r="N497" s="39" t="n">
        <v>643</v>
      </c>
      <c r="O497" s="39" t="n">
        <v>98</v>
      </c>
      <c r="P497" s="39" t="n">
        <v>28</v>
      </c>
      <c r="Q497" s="39" t="n">
        <v>49</v>
      </c>
      <c r="R497" s="39" t="n">
        <v>46</v>
      </c>
      <c r="S497" s="39" t="n">
        <v>1</v>
      </c>
      <c r="T497" s="40" t="n">
        <f aca="false">IF(M497=0,0,N497/M497)</f>
        <v>0.30201972757163</v>
      </c>
      <c r="U497" s="40" t="n">
        <f aca="false">IF(M497=0,0,O497/M497)</f>
        <v>0.0460310004697041</v>
      </c>
      <c r="V497" s="41" t="n">
        <f aca="false">IF(M497=0,0,P497/M497)</f>
        <v>0.0131517144199155</v>
      </c>
      <c r="W497" s="40" t="n">
        <f aca="false">IF(L497=0,0,Q497/L497)</f>
        <v>0.0224977043158861</v>
      </c>
    </row>
    <row r="498" customFormat="false" ht="15" hidden="false" customHeight="false" outlineLevel="0" collapsed="false">
      <c r="A498" s="37" t="s">
        <v>1791</v>
      </c>
      <c r="B498" s="38" t="n">
        <v>46084.3336226852</v>
      </c>
      <c r="C498" s="37" t="s">
        <v>1201</v>
      </c>
      <c r="D498" s="37" t="s">
        <v>1211</v>
      </c>
      <c r="E498" s="37" t="s">
        <v>1212</v>
      </c>
      <c r="F498" s="37" t="s">
        <v>544</v>
      </c>
      <c r="G498" s="37"/>
      <c r="H498" s="37" t="s">
        <v>60</v>
      </c>
      <c r="I498" s="37"/>
      <c r="J498" s="37" t="s">
        <v>100</v>
      </c>
      <c r="K498" s="37" t="s">
        <v>1213</v>
      </c>
      <c r="L498" s="39" t="n">
        <v>126</v>
      </c>
      <c r="M498" s="39" t="n">
        <v>126</v>
      </c>
      <c r="N498" s="39" t="n">
        <v>70</v>
      </c>
      <c r="O498" s="39" t="n">
        <v>19</v>
      </c>
      <c r="P498" s="39" t="n">
        <v>0</v>
      </c>
      <c r="Q498" s="39" t="n">
        <v>0</v>
      </c>
      <c r="R498" s="39" t="n">
        <v>0</v>
      </c>
      <c r="S498" s="39" t="n">
        <v>0</v>
      </c>
      <c r="T498" s="40" t="n">
        <f aca="false">IF(M498=0,0,N498/M498)</f>
        <v>0.555555555555556</v>
      </c>
      <c r="U498" s="40" t="n">
        <f aca="false">IF(M498=0,0,O498/M498)</f>
        <v>0.150793650793651</v>
      </c>
      <c r="V498" s="41" t="n">
        <f aca="false">IF(M498=0,0,P498/M498)</f>
        <v>0</v>
      </c>
      <c r="W498" s="40" t="n">
        <f aca="false">IF(L498=0,0,Q498/L498)</f>
        <v>0</v>
      </c>
    </row>
    <row r="499" customFormat="false" ht="15" hidden="false" customHeight="false" outlineLevel="0" collapsed="false">
      <c r="A499" s="37" t="s">
        <v>1792</v>
      </c>
      <c r="B499" s="38" t="n">
        <v>46084.1823611111</v>
      </c>
      <c r="C499" s="37" t="s">
        <v>1201</v>
      </c>
      <c r="D499" s="37" t="s">
        <v>1475</v>
      </c>
      <c r="E499" s="37" t="s">
        <v>1373</v>
      </c>
      <c r="F499" s="37" t="s">
        <v>537</v>
      </c>
      <c r="G499" s="37"/>
      <c r="H499" s="37" t="s">
        <v>64</v>
      </c>
      <c r="I499" s="37"/>
      <c r="J499" s="37" t="s">
        <v>296</v>
      </c>
      <c r="K499" s="37" t="s">
        <v>1202</v>
      </c>
      <c r="L499" s="39" t="n">
        <v>2</v>
      </c>
      <c r="M499" s="39" t="n">
        <v>2</v>
      </c>
      <c r="N499" s="39" t="n">
        <v>2</v>
      </c>
      <c r="O499" s="39" t="n">
        <v>0</v>
      </c>
      <c r="P499" s="39" t="n">
        <v>0</v>
      </c>
      <c r="Q499" s="39" t="n">
        <v>0</v>
      </c>
      <c r="R499" s="39" t="n">
        <v>0</v>
      </c>
      <c r="S499" s="39" t="n">
        <v>0</v>
      </c>
      <c r="T499" s="40" t="n">
        <f aca="false">IF(M499=0,0,N499/M499)</f>
        <v>1</v>
      </c>
      <c r="U499" s="40" t="n">
        <f aca="false">IF(M499=0,0,O499/M499)</f>
        <v>0</v>
      </c>
      <c r="V499" s="41" t="n">
        <f aca="false">IF(M499=0,0,P499/M499)</f>
        <v>0</v>
      </c>
      <c r="W499" s="40" t="n">
        <f aca="false">IF(L499=0,0,Q499/L499)</f>
        <v>0</v>
      </c>
    </row>
    <row r="500" customFormat="false" ht="15" hidden="false" customHeight="false" outlineLevel="0" collapsed="false">
      <c r="A500" s="37" t="s">
        <v>1793</v>
      </c>
      <c r="B500" s="38" t="n">
        <v>46084.1808680556</v>
      </c>
      <c r="C500" s="37" t="s">
        <v>1201</v>
      </c>
      <c r="D500" s="37" t="s">
        <v>1475</v>
      </c>
      <c r="E500" s="37" t="s">
        <v>1373</v>
      </c>
      <c r="F500" s="37" t="s">
        <v>537</v>
      </c>
      <c r="G500" s="37"/>
      <c r="H500" s="37" t="s">
        <v>64</v>
      </c>
      <c r="I500" s="37"/>
      <c r="J500" s="37" t="s">
        <v>296</v>
      </c>
      <c r="K500" s="37" t="s">
        <v>1202</v>
      </c>
      <c r="L500" s="39" t="n">
        <v>2</v>
      </c>
      <c r="M500" s="39" t="n">
        <v>2</v>
      </c>
      <c r="N500" s="39" t="n">
        <v>2</v>
      </c>
      <c r="O500" s="39" t="n">
        <v>0</v>
      </c>
      <c r="P500" s="39" t="n">
        <v>0</v>
      </c>
      <c r="Q500" s="39" t="n">
        <v>0</v>
      </c>
      <c r="R500" s="39" t="n">
        <v>0</v>
      </c>
      <c r="S500" s="39" t="n">
        <v>0</v>
      </c>
      <c r="T500" s="40" t="n">
        <f aca="false">IF(M500=0,0,N500/M500)</f>
        <v>1</v>
      </c>
      <c r="U500" s="40" t="n">
        <f aca="false">IF(M500=0,0,O500/M500)</f>
        <v>0</v>
      </c>
      <c r="V500" s="41" t="n">
        <f aca="false">IF(M500=0,0,P500/M500)</f>
        <v>0</v>
      </c>
      <c r="W500" s="40" t="n">
        <f aca="false">IF(L500=0,0,Q500/L500)</f>
        <v>0</v>
      </c>
    </row>
    <row r="501" customFormat="false" ht="15" hidden="false" customHeight="false" outlineLevel="0" collapsed="false">
      <c r="A501" s="37" t="s">
        <v>1794</v>
      </c>
      <c r="B501" s="38" t="n">
        <v>46084.0854976852</v>
      </c>
      <c r="C501" s="37" t="s">
        <v>1201</v>
      </c>
      <c r="D501" s="37" t="s">
        <v>1475</v>
      </c>
      <c r="E501" s="37" t="s">
        <v>1373</v>
      </c>
      <c r="F501" s="37" t="s">
        <v>537</v>
      </c>
      <c r="G501" s="37"/>
      <c r="H501" s="37" t="s">
        <v>64</v>
      </c>
      <c r="I501" s="37"/>
      <c r="J501" s="37" t="s">
        <v>296</v>
      </c>
      <c r="K501" s="37" t="s">
        <v>1202</v>
      </c>
      <c r="L501" s="39" t="n">
        <v>2</v>
      </c>
      <c r="M501" s="39" t="n">
        <v>2</v>
      </c>
      <c r="N501" s="39" t="n">
        <v>2</v>
      </c>
      <c r="O501" s="39" t="n">
        <v>0</v>
      </c>
      <c r="P501" s="39" t="n">
        <v>0</v>
      </c>
      <c r="Q501" s="39" t="n">
        <v>0</v>
      </c>
      <c r="R501" s="39" t="n">
        <v>0</v>
      </c>
      <c r="S501" s="39" t="n">
        <v>0</v>
      </c>
      <c r="T501" s="40" t="n">
        <f aca="false">IF(M501=0,0,N501/M501)</f>
        <v>1</v>
      </c>
      <c r="U501" s="40" t="n">
        <f aca="false">IF(M501=0,0,O501/M501)</f>
        <v>0</v>
      </c>
      <c r="V501" s="41" t="n">
        <f aca="false">IF(M501=0,0,P501/M501)</f>
        <v>0</v>
      </c>
      <c r="W501" s="40" t="n">
        <f aca="false">IF(L501=0,0,Q501/L501)</f>
        <v>0</v>
      </c>
    </row>
    <row r="502" customFormat="false" ht="15" hidden="false" customHeight="false" outlineLevel="0" collapsed="false">
      <c r="A502" s="37" t="s">
        <v>1795</v>
      </c>
      <c r="B502" s="38" t="n">
        <v>46084.0833217593</v>
      </c>
      <c r="C502" s="37" t="s">
        <v>1201</v>
      </c>
      <c r="D502" s="37" t="s">
        <v>1475</v>
      </c>
      <c r="E502" s="37" t="s">
        <v>1373</v>
      </c>
      <c r="F502" s="37" t="s">
        <v>537</v>
      </c>
      <c r="G502" s="37"/>
      <c r="H502" s="37" t="s">
        <v>64</v>
      </c>
      <c r="I502" s="37"/>
      <c r="J502" s="37" t="s">
        <v>296</v>
      </c>
      <c r="K502" s="37" t="s">
        <v>1202</v>
      </c>
      <c r="L502" s="39" t="n">
        <v>1</v>
      </c>
      <c r="M502" s="39" t="n">
        <v>1</v>
      </c>
      <c r="N502" s="39" t="n">
        <v>1</v>
      </c>
      <c r="O502" s="39" t="n">
        <v>0</v>
      </c>
      <c r="P502" s="39" t="n">
        <v>0</v>
      </c>
      <c r="Q502" s="39" t="n">
        <v>0</v>
      </c>
      <c r="R502" s="39" t="n">
        <v>0</v>
      </c>
      <c r="S502" s="39" t="n">
        <v>0</v>
      </c>
      <c r="T502" s="40" t="n">
        <f aca="false">IF(M502=0,0,N502/M502)</f>
        <v>1</v>
      </c>
      <c r="U502" s="40" t="n">
        <f aca="false">IF(M502=0,0,O502/M502)</f>
        <v>0</v>
      </c>
      <c r="V502" s="41" t="n">
        <f aca="false">IF(M502=0,0,P502/M502)</f>
        <v>0</v>
      </c>
      <c r="W502" s="40" t="n">
        <f aca="false">IF(L502=0,0,Q502/L502)</f>
        <v>0</v>
      </c>
    </row>
    <row r="503" customFormat="false" ht="15" hidden="false" customHeight="false" outlineLevel="0" collapsed="false">
      <c r="A503" s="37" t="s">
        <v>1796</v>
      </c>
      <c r="B503" s="38" t="n">
        <v>46084.0791203704</v>
      </c>
      <c r="C503" s="37" t="s">
        <v>1201</v>
      </c>
      <c r="D503" s="37" t="s">
        <v>1373</v>
      </c>
      <c r="E503" s="37" t="s">
        <v>1373</v>
      </c>
      <c r="F503" s="37" t="s">
        <v>537</v>
      </c>
      <c r="G503" s="37"/>
      <c r="H503" s="37" t="s">
        <v>64</v>
      </c>
      <c r="I503" s="37"/>
      <c r="J503" s="37" t="s">
        <v>296</v>
      </c>
      <c r="K503" s="37" t="s">
        <v>1202</v>
      </c>
      <c r="L503" s="39" t="n">
        <v>2</v>
      </c>
      <c r="M503" s="39" t="n">
        <v>2</v>
      </c>
      <c r="N503" s="39" t="n">
        <v>2</v>
      </c>
      <c r="O503" s="39" t="n">
        <v>0</v>
      </c>
      <c r="P503" s="39" t="n">
        <v>0</v>
      </c>
      <c r="Q503" s="39" t="n">
        <v>0</v>
      </c>
      <c r="R503" s="39" t="n">
        <v>0</v>
      </c>
      <c r="S503" s="39" t="n">
        <v>0</v>
      </c>
      <c r="T503" s="40" t="n">
        <f aca="false">IF(M503=0,0,N503/M503)</f>
        <v>1</v>
      </c>
      <c r="U503" s="40" t="n">
        <f aca="false">IF(M503=0,0,O503/M503)</f>
        <v>0</v>
      </c>
      <c r="V503" s="41" t="n">
        <f aca="false">IF(M503=0,0,P503/M503)</f>
        <v>0</v>
      </c>
      <c r="W503" s="40" t="n">
        <f aca="false">IF(L503=0,0,Q503/L503)</f>
        <v>0</v>
      </c>
    </row>
    <row r="504" customFormat="false" ht="15" hidden="false" customHeight="false" outlineLevel="0" collapsed="false">
      <c r="A504" s="37" t="s">
        <v>1797</v>
      </c>
      <c r="B504" s="38" t="n">
        <v>46084.0107407407</v>
      </c>
      <c r="C504" s="37" t="s">
        <v>1201</v>
      </c>
      <c r="D504" s="37" t="s">
        <v>1372</v>
      </c>
      <c r="E504" s="37" t="s">
        <v>1373</v>
      </c>
      <c r="F504" s="37" t="s">
        <v>537</v>
      </c>
      <c r="G504" s="37"/>
      <c r="H504" s="37" t="s">
        <v>63</v>
      </c>
      <c r="I504" s="37"/>
      <c r="J504" s="37" t="s">
        <v>296</v>
      </c>
      <c r="K504" s="37" t="s">
        <v>1202</v>
      </c>
      <c r="L504" s="39" t="n">
        <v>2</v>
      </c>
      <c r="M504" s="39" t="n">
        <v>2</v>
      </c>
      <c r="N504" s="39" t="n">
        <v>2</v>
      </c>
      <c r="O504" s="39" t="n">
        <v>0</v>
      </c>
      <c r="P504" s="39" t="n">
        <v>0</v>
      </c>
      <c r="Q504" s="39" t="n">
        <v>0</v>
      </c>
      <c r="R504" s="39" t="n">
        <v>0</v>
      </c>
      <c r="S504" s="39" t="n">
        <v>0</v>
      </c>
      <c r="T504" s="40" t="n">
        <f aca="false">IF(M504=0,0,N504/M504)</f>
        <v>1</v>
      </c>
      <c r="U504" s="40" t="n">
        <f aca="false">IF(M504=0,0,O504/M504)</f>
        <v>0</v>
      </c>
      <c r="V504" s="41" t="n">
        <f aca="false">IF(M504=0,0,P504/M504)</f>
        <v>0</v>
      </c>
      <c r="W504" s="40" t="n">
        <f aca="false">IF(L504=0,0,Q504/L504)</f>
        <v>0</v>
      </c>
    </row>
    <row r="505" customFormat="false" ht="15" hidden="false" customHeight="false" outlineLevel="0" collapsed="false">
      <c r="A505" s="37" t="s">
        <v>1798</v>
      </c>
      <c r="B505" s="38" t="n">
        <v>46083.9793981482</v>
      </c>
      <c r="C505" s="37" t="s">
        <v>1201</v>
      </c>
      <c r="D505" s="37" t="s">
        <v>237</v>
      </c>
      <c r="E505" s="37" t="s">
        <v>238</v>
      </c>
      <c r="F505" s="37" t="s">
        <v>559</v>
      </c>
      <c r="G505" s="37" t="s">
        <v>1297</v>
      </c>
      <c r="H505" s="37" t="s">
        <v>61</v>
      </c>
      <c r="I505" s="37" t="s">
        <v>234</v>
      </c>
      <c r="J505" s="37" t="s">
        <v>236</v>
      </c>
      <c r="K505" s="37" t="s">
        <v>1202</v>
      </c>
      <c r="L505" s="39" t="n">
        <v>3233</v>
      </c>
      <c r="M505" s="39" t="n">
        <v>3215</v>
      </c>
      <c r="N505" s="39" t="n">
        <v>807</v>
      </c>
      <c r="O505" s="39" t="n">
        <v>85</v>
      </c>
      <c r="P505" s="39" t="n">
        <v>15</v>
      </c>
      <c r="Q505" s="39" t="n">
        <v>18</v>
      </c>
      <c r="R505" s="39" t="n">
        <v>12</v>
      </c>
      <c r="S505" s="39" t="n">
        <v>0</v>
      </c>
      <c r="T505" s="40" t="n">
        <f aca="false">IF(M505=0,0,N505/M505)</f>
        <v>0.251010886469673</v>
      </c>
      <c r="U505" s="40" t="n">
        <f aca="false">IF(M505=0,0,O505/M505)</f>
        <v>0.0264385692068429</v>
      </c>
      <c r="V505" s="41" t="n">
        <f aca="false">IF(M505=0,0,P505/M505)</f>
        <v>0.00466562986003111</v>
      </c>
      <c r="W505" s="40" t="n">
        <f aca="false">IF(L505=0,0,Q505/L505)</f>
        <v>0.0055675842870399</v>
      </c>
    </row>
    <row r="506" customFormat="false" ht="15" hidden="false" customHeight="false" outlineLevel="0" collapsed="false">
      <c r="A506" s="37" t="s">
        <v>1799</v>
      </c>
      <c r="B506" s="38" t="n">
        <v>46083.4215277778</v>
      </c>
      <c r="C506" s="37" t="s">
        <v>1201</v>
      </c>
      <c r="D506" s="37" t="s">
        <v>166</v>
      </c>
      <c r="E506" s="37" t="s">
        <v>166</v>
      </c>
      <c r="F506" s="37" t="s">
        <v>555</v>
      </c>
      <c r="G506" s="37" t="s">
        <v>1734</v>
      </c>
      <c r="H506" s="37" t="s">
        <v>61</v>
      </c>
      <c r="I506" s="37" t="s">
        <v>272</v>
      </c>
      <c r="J506" s="37" t="s">
        <v>164</v>
      </c>
      <c r="K506" s="37" t="s">
        <v>1202</v>
      </c>
      <c r="L506" s="39" t="n">
        <v>62</v>
      </c>
      <c r="M506" s="39" t="n">
        <v>62</v>
      </c>
      <c r="N506" s="39" t="n">
        <v>38</v>
      </c>
      <c r="O506" s="39" t="n">
        <v>8</v>
      </c>
      <c r="P506" s="39" t="n">
        <v>0</v>
      </c>
      <c r="Q506" s="39" t="n">
        <v>0</v>
      </c>
      <c r="R506" s="39" t="n">
        <v>0</v>
      </c>
      <c r="S506" s="39" t="n">
        <v>0</v>
      </c>
      <c r="T506" s="40" t="n">
        <f aca="false">IF(M506=0,0,N506/M506)</f>
        <v>0.612903225806452</v>
      </c>
      <c r="U506" s="40" t="n">
        <f aca="false">IF(M506=0,0,O506/M506)</f>
        <v>0.129032258064516</v>
      </c>
      <c r="V506" s="41" t="n">
        <f aca="false">IF(M506=0,0,P506/M506)</f>
        <v>0</v>
      </c>
      <c r="W506" s="40" t="n">
        <f aca="false">IF(L506=0,0,Q506/L506)</f>
        <v>0</v>
      </c>
    </row>
    <row r="507" customFormat="false" ht="15" hidden="false" customHeight="false" outlineLevel="0" collapsed="false">
      <c r="A507" s="37" t="s">
        <v>1800</v>
      </c>
      <c r="B507" s="38" t="n">
        <v>46083.3559953704</v>
      </c>
      <c r="C507" s="37" t="s">
        <v>1201</v>
      </c>
      <c r="D507" s="37" t="s">
        <v>1372</v>
      </c>
      <c r="E507" s="37" t="s">
        <v>1373</v>
      </c>
      <c r="F507" s="37" t="s">
        <v>537</v>
      </c>
      <c r="G507" s="37"/>
      <c r="H507" s="37" t="s">
        <v>64</v>
      </c>
      <c r="I507" s="37"/>
      <c r="J507" s="37" t="s">
        <v>296</v>
      </c>
      <c r="K507" s="37" t="s">
        <v>1202</v>
      </c>
      <c r="L507" s="39" t="n">
        <v>2</v>
      </c>
      <c r="M507" s="39" t="n">
        <v>2</v>
      </c>
      <c r="N507" s="39" t="n">
        <v>1</v>
      </c>
      <c r="O507" s="39" t="n">
        <v>0</v>
      </c>
      <c r="P507" s="39" t="n">
        <v>0</v>
      </c>
      <c r="Q507" s="39" t="n">
        <v>0</v>
      </c>
      <c r="R507" s="39" t="n">
        <v>0</v>
      </c>
      <c r="S507" s="39" t="n">
        <v>0</v>
      </c>
      <c r="T507" s="40" t="n">
        <f aca="false">IF(M507=0,0,N507/M507)</f>
        <v>0.5</v>
      </c>
      <c r="U507" s="40" t="n">
        <f aca="false">IF(M507=0,0,O507/M507)</f>
        <v>0</v>
      </c>
      <c r="V507" s="41" t="n">
        <f aca="false">IF(M507=0,0,P507/M507)</f>
        <v>0</v>
      </c>
      <c r="W507" s="40" t="n">
        <f aca="false">IF(L507=0,0,Q507/L507)</f>
        <v>0</v>
      </c>
    </row>
    <row r="508" customFormat="false" ht="15" hidden="false" customHeight="false" outlineLevel="0" collapsed="false">
      <c r="A508" s="37" t="s">
        <v>1801</v>
      </c>
      <c r="B508" s="38" t="n">
        <v>46083.3544907407</v>
      </c>
      <c r="C508" s="37" t="s">
        <v>1201</v>
      </c>
      <c r="D508" s="37" t="s">
        <v>1372</v>
      </c>
      <c r="E508" s="37" t="s">
        <v>1373</v>
      </c>
      <c r="F508" s="37" t="s">
        <v>537</v>
      </c>
      <c r="G508" s="37"/>
      <c r="H508" s="37" t="s">
        <v>64</v>
      </c>
      <c r="I508" s="37"/>
      <c r="J508" s="37" t="s">
        <v>296</v>
      </c>
      <c r="K508" s="37" t="s">
        <v>1202</v>
      </c>
      <c r="L508" s="39" t="n">
        <v>2</v>
      </c>
      <c r="M508" s="39" t="n">
        <v>2</v>
      </c>
      <c r="N508" s="39" t="n">
        <v>0</v>
      </c>
      <c r="O508" s="39" t="n">
        <v>0</v>
      </c>
      <c r="P508" s="39" t="n">
        <v>0</v>
      </c>
      <c r="Q508" s="39" t="n">
        <v>0</v>
      </c>
      <c r="R508" s="39" t="n">
        <v>0</v>
      </c>
      <c r="S508" s="39" t="n">
        <v>0</v>
      </c>
      <c r="T508" s="40" t="n">
        <f aca="false">IF(M508=0,0,N508/M508)</f>
        <v>0</v>
      </c>
      <c r="U508" s="40" t="n">
        <f aca="false">IF(M508=0,0,O508/M508)</f>
        <v>0</v>
      </c>
      <c r="V508" s="41" t="n">
        <f aca="false">IF(M508=0,0,P508/M508)</f>
        <v>0</v>
      </c>
      <c r="W508" s="40" t="n">
        <f aca="false">IF(L508=0,0,Q508/L508)</f>
        <v>0</v>
      </c>
    </row>
    <row r="509" customFormat="false" ht="15" hidden="false" customHeight="false" outlineLevel="0" collapsed="false">
      <c r="A509" s="37" t="s">
        <v>1802</v>
      </c>
      <c r="B509" s="38" t="n">
        <v>46083.2779050926</v>
      </c>
      <c r="C509" s="37" t="s">
        <v>1201</v>
      </c>
      <c r="D509" s="37" t="s">
        <v>1504</v>
      </c>
      <c r="E509" s="37" t="s">
        <v>1436</v>
      </c>
      <c r="F509" s="37" t="s">
        <v>555</v>
      </c>
      <c r="G509" s="37"/>
      <c r="H509" s="37" t="s">
        <v>61</v>
      </c>
      <c r="I509" s="37" t="s">
        <v>143</v>
      </c>
      <c r="J509" s="37" t="s">
        <v>144</v>
      </c>
      <c r="K509" s="37" t="s">
        <v>1202</v>
      </c>
      <c r="L509" s="39" t="n">
        <v>2323</v>
      </c>
      <c r="M509" s="39" t="n">
        <v>2260</v>
      </c>
      <c r="N509" s="39" t="n">
        <v>635</v>
      </c>
      <c r="O509" s="39" t="n">
        <v>42</v>
      </c>
      <c r="P509" s="39" t="n">
        <v>28</v>
      </c>
      <c r="Q509" s="39" t="n">
        <v>63</v>
      </c>
      <c r="R509" s="39" t="n">
        <v>11</v>
      </c>
      <c r="S509" s="39" t="n">
        <v>0</v>
      </c>
      <c r="T509" s="40" t="n">
        <f aca="false">IF(M509=0,0,N509/M509)</f>
        <v>0.280973451327434</v>
      </c>
      <c r="U509" s="40" t="n">
        <f aca="false">IF(M509=0,0,O509/M509)</f>
        <v>0.0185840707964602</v>
      </c>
      <c r="V509" s="41" t="n">
        <f aca="false">IF(M509=0,0,P509/M509)</f>
        <v>0.0123893805309735</v>
      </c>
      <c r="W509" s="40" t="n">
        <f aca="false">IF(L509=0,0,Q509/L509)</f>
        <v>0.0271201033146793</v>
      </c>
    </row>
    <row r="510" customFormat="false" ht="15" hidden="false" customHeight="false" outlineLevel="0" collapsed="false">
      <c r="A510" s="37" t="s">
        <v>1803</v>
      </c>
      <c r="B510" s="38" t="n">
        <v>46083.0630092593</v>
      </c>
      <c r="C510" s="37" t="s">
        <v>1241</v>
      </c>
      <c r="D510" s="37" t="s">
        <v>1804</v>
      </c>
      <c r="E510" s="37" t="s">
        <v>1250</v>
      </c>
      <c r="F510" s="37" t="s">
        <v>555</v>
      </c>
      <c r="G510" s="37"/>
      <c r="H510" s="37" t="s">
        <v>65</v>
      </c>
      <c r="I510" s="37"/>
      <c r="J510" s="37" t="s">
        <v>354</v>
      </c>
      <c r="K510" s="37" t="s">
        <v>1202</v>
      </c>
      <c r="L510" s="39" t="n">
        <v>166</v>
      </c>
      <c r="M510" s="39" t="n">
        <v>165</v>
      </c>
      <c r="N510" s="39" t="n">
        <v>130</v>
      </c>
      <c r="O510" s="39" t="n">
        <v>101</v>
      </c>
      <c r="P510" s="39" t="n">
        <v>2</v>
      </c>
      <c r="Q510" s="39" t="n">
        <v>1</v>
      </c>
      <c r="R510" s="39" t="n">
        <v>1</v>
      </c>
      <c r="S510" s="39" t="n">
        <v>0</v>
      </c>
      <c r="T510" s="40" t="n">
        <f aca="false">IF(M510=0,0,N510/M510)</f>
        <v>0.787878787878788</v>
      </c>
      <c r="U510" s="40" t="n">
        <f aca="false">IF(M510=0,0,O510/M510)</f>
        <v>0.612121212121212</v>
      </c>
      <c r="V510" s="41" t="n">
        <f aca="false">IF(M510=0,0,P510/M510)</f>
        <v>0.0121212121212121</v>
      </c>
      <c r="W510" s="40" t="n">
        <f aca="false">IF(L510=0,0,Q510/L510)</f>
        <v>0.00602409638554217</v>
      </c>
    </row>
    <row r="511" customFormat="false" ht="15" hidden="false" customHeight="false" outlineLevel="0" collapsed="false">
      <c r="A511" s="37" t="s">
        <v>1805</v>
      </c>
      <c r="B511" s="38" t="n">
        <v>46082.1806134259</v>
      </c>
      <c r="C511" s="37" t="s">
        <v>1201</v>
      </c>
      <c r="D511" s="37" t="s">
        <v>1211</v>
      </c>
      <c r="E511" s="37" t="s">
        <v>1212</v>
      </c>
      <c r="F511" s="37" t="s">
        <v>544</v>
      </c>
      <c r="G511" s="37"/>
      <c r="H511" s="37" t="s">
        <v>60</v>
      </c>
      <c r="I511" s="37"/>
      <c r="J511" s="37" t="s">
        <v>100</v>
      </c>
      <c r="K511" s="37" t="s">
        <v>1213</v>
      </c>
      <c r="L511" s="39" t="n">
        <v>126</v>
      </c>
      <c r="M511" s="39" t="n">
        <v>126</v>
      </c>
      <c r="N511" s="39" t="n">
        <v>88</v>
      </c>
      <c r="O511" s="39" t="n">
        <v>40</v>
      </c>
      <c r="P511" s="39" t="n">
        <v>0</v>
      </c>
      <c r="Q511" s="39" t="n">
        <v>0</v>
      </c>
      <c r="R511" s="39" t="n">
        <v>0</v>
      </c>
      <c r="S511" s="39" t="n">
        <v>0</v>
      </c>
      <c r="T511" s="40" t="n">
        <f aca="false">IF(M511=0,0,N511/M511)</f>
        <v>0.698412698412698</v>
      </c>
      <c r="U511" s="40" t="n">
        <f aca="false">IF(M511=0,0,O511/M511)</f>
        <v>0.317460317460317</v>
      </c>
      <c r="V511" s="41" t="n">
        <f aca="false">IF(M511=0,0,P511/M511)</f>
        <v>0</v>
      </c>
      <c r="W511" s="40" t="n">
        <f aca="false">IF(L511=0,0,Q511/L511)</f>
        <v>0</v>
      </c>
    </row>
    <row r="512" customFormat="false" ht="15" hidden="false" customHeight="false" outlineLevel="0" collapsed="false">
      <c r="A512" s="37" t="s">
        <v>1806</v>
      </c>
      <c r="B512" s="38" t="n">
        <v>46081.0521759259</v>
      </c>
      <c r="C512" s="37" t="s">
        <v>1201</v>
      </c>
      <c r="D512" s="37" t="s">
        <v>1372</v>
      </c>
      <c r="E512" s="37" t="s">
        <v>1373</v>
      </c>
      <c r="F512" s="37" t="s">
        <v>537</v>
      </c>
      <c r="G512" s="37"/>
      <c r="H512" s="37" t="s">
        <v>63</v>
      </c>
      <c r="I512" s="37"/>
      <c r="J512" s="37" t="s">
        <v>296</v>
      </c>
      <c r="K512" s="37" t="s">
        <v>1202</v>
      </c>
      <c r="L512" s="39" t="n">
        <v>1</v>
      </c>
      <c r="M512" s="39" t="n">
        <v>1</v>
      </c>
      <c r="N512" s="39" t="n">
        <v>1</v>
      </c>
      <c r="O512" s="39" t="n">
        <v>0</v>
      </c>
      <c r="P512" s="39" t="n">
        <v>0</v>
      </c>
      <c r="Q512" s="39" t="n">
        <v>0</v>
      </c>
      <c r="R512" s="39" t="n">
        <v>0</v>
      </c>
      <c r="S512" s="39" t="n">
        <v>0</v>
      </c>
      <c r="T512" s="40" t="n">
        <f aca="false">IF(M512=0,0,N512/M512)</f>
        <v>1</v>
      </c>
      <c r="U512" s="40" t="n">
        <f aca="false">IF(M512=0,0,O512/M512)</f>
        <v>0</v>
      </c>
      <c r="V512" s="41" t="n">
        <f aca="false">IF(M512=0,0,P512/M512)</f>
        <v>0</v>
      </c>
      <c r="W512" s="40" t="n">
        <f aca="false">IF(L512=0,0,Q512/L512)</f>
        <v>0</v>
      </c>
    </row>
    <row r="513" customFormat="false" ht="15" hidden="false" customHeight="false" outlineLevel="0" collapsed="false">
      <c r="A513" s="37" t="s">
        <v>1807</v>
      </c>
      <c r="B513" s="38" t="n">
        <v>46081.0005787037</v>
      </c>
      <c r="C513" s="37" t="s">
        <v>1201</v>
      </c>
      <c r="D513" s="37" t="s">
        <v>1372</v>
      </c>
      <c r="E513" s="37" t="s">
        <v>1373</v>
      </c>
      <c r="F513" s="37" t="s">
        <v>537</v>
      </c>
      <c r="G513" s="37"/>
      <c r="H513" s="37" t="s">
        <v>63</v>
      </c>
      <c r="I513" s="37"/>
      <c r="J513" s="37" t="s">
        <v>296</v>
      </c>
      <c r="K513" s="37" t="s">
        <v>1202</v>
      </c>
      <c r="L513" s="39" t="n">
        <v>2</v>
      </c>
      <c r="M513" s="39" t="n">
        <v>2</v>
      </c>
      <c r="N513" s="39" t="n">
        <v>2</v>
      </c>
      <c r="O513" s="39" t="n">
        <v>0</v>
      </c>
      <c r="P513" s="39" t="n">
        <v>0</v>
      </c>
      <c r="Q513" s="39" t="n">
        <v>0</v>
      </c>
      <c r="R513" s="39" t="n">
        <v>0</v>
      </c>
      <c r="S513" s="39" t="n">
        <v>0</v>
      </c>
      <c r="T513" s="40" t="n">
        <f aca="false">IF(M513=0,0,N513/M513)</f>
        <v>1</v>
      </c>
      <c r="U513" s="40" t="n">
        <f aca="false">IF(M513=0,0,O513/M513)</f>
        <v>0</v>
      </c>
      <c r="V513" s="41" t="n">
        <f aca="false">IF(M513=0,0,P513/M513)</f>
        <v>0</v>
      </c>
      <c r="W513" s="40" t="n">
        <f aca="false">IF(L513=0,0,Q513/L513)</f>
        <v>0</v>
      </c>
    </row>
    <row r="514" customFormat="false" ht="15" hidden="false" customHeight="false" outlineLevel="0" collapsed="false">
      <c r="A514" s="37" t="s">
        <v>1808</v>
      </c>
      <c r="B514" s="38" t="n">
        <v>46080.7359490741</v>
      </c>
      <c r="C514" s="37" t="s">
        <v>1201</v>
      </c>
      <c r="D514" s="37" t="s">
        <v>288</v>
      </c>
      <c r="E514" s="37" t="s">
        <v>288</v>
      </c>
      <c r="F514" s="37" t="s">
        <v>548</v>
      </c>
      <c r="G514" s="37"/>
      <c r="H514" s="37" t="s">
        <v>60</v>
      </c>
      <c r="I514" s="37" t="s">
        <v>291</v>
      </c>
      <c r="J514" s="37" t="s">
        <v>287</v>
      </c>
      <c r="K514" s="37" t="s">
        <v>1202</v>
      </c>
      <c r="L514" s="39" t="n">
        <v>1</v>
      </c>
      <c r="M514" s="39" t="n">
        <v>1</v>
      </c>
      <c r="N514" s="39" t="n">
        <v>1</v>
      </c>
      <c r="O514" s="39" t="n">
        <v>1</v>
      </c>
      <c r="P514" s="39" t="n">
        <v>0</v>
      </c>
      <c r="Q514" s="39" t="n">
        <v>0</v>
      </c>
      <c r="R514" s="39" t="n">
        <v>0</v>
      </c>
      <c r="S514" s="39" t="n">
        <v>0</v>
      </c>
      <c r="T514" s="40" t="n">
        <f aca="false">IF(M514=0,0,N514/M514)</f>
        <v>1</v>
      </c>
      <c r="U514" s="40" t="n">
        <f aca="false">IF(M514=0,0,O514/M514)</f>
        <v>1</v>
      </c>
      <c r="V514" s="41" t="n">
        <f aca="false">IF(M514=0,0,P514/M514)</f>
        <v>0</v>
      </c>
      <c r="W514" s="40" t="n">
        <f aca="false">IF(L514=0,0,Q514/L514)</f>
        <v>0</v>
      </c>
    </row>
    <row r="515" customFormat="false" ht="15" hidden="false" customHeight="false" outlineLevel="0" collapsed="false">
      <c r="A515" s="37" t="s">
        <v>1809</v>
      </c>
      <c r="B515" s="38" t="n">
        <v>46080.5261805556</v>
      </c>
      <c r="C515" s="37" t="s">
        <v>1201</v>
      </c>
      <c r="D515" s="37" t="s">
        <v>1453</v>
      </c>
      <c r="E515" s="37" t="s">
        <v>1360</v>
      </c>
      <c r="F515" s="37" t="s">
        <v>550</v>
      </c>
      <c r="G515" s="37"/>
      <c r="H515" s="37" t="s">
        <v>65</v>
      </c>
      <c r="I515" s="37"/>
      <c r="J515" s="37" t="s">
        <v>100</v>
      </c>
      <c r="K515" s="37" t="s">
        <v>1213</v>
      </c>
      <c r="L515" s="39" t="n">
        <v>186</v>
      </c>
      <c r="M515" s="39" t="n">
        <v>185</v>
      </c>
      <c r="N515" s="39" t="n">
        <v>86</v>
      </c>
      <c r="O515" s="39" t="n">
        <v>6</v>
      </c>
      <c r="P515" s="39" t="n">
        <v>0</v>
      </c>
      <c r="Q515" s="39" t="n">
        <v>1</v>
      </c>
      <c r="R515" s="39" t="n">
        <v>1</v>
      </c>
      <c r="S515" s="39" t="n">
        <v>0</v>
      </c>
      <c r="T515" s="40" t="n">
        <f aca="false">IF(M515=0,0,N515/M515)</f>
        <v>0.464864864864865</v>
      </c>
      <c r="U515" s="40" t="n">
        <f aca="false">IF(M515=0,0,O515/M515)</f>
        <v>0.0324324324324324</v>
      </c>
      <c r="V515" s="41" t="n">
        <f aca="false">IF(M515=0,0,P515/M515)</f>
        <v>0</v>
      </c>
      <c r="W515" s="40" t="n">
        <f aca="false">IF(L515=0,0,Q515/L515)</f>
        <v>0.00537634408602151</v>
      </c>
    </row>
    <row r="516" customFormat="false" ht="15" hidden="false" customHeight="false" outlineLevel="0" collapsed="false">
      <c r="A516" s="37" t="s">
        <v>1810</v>
      </c>
      <c r="B516" s="38" t="n">
        <v>46080.3754976852</v>
      </c>
      <c r="C516" s="37" t="s">
        <v>1201</v>
      </c>
      <c r="D516" s="37" t="s">
        <v>297</v>
      </c>
      <c r="E516" s="37" t="s">
        <v>1209</v>
      </c>
      <c r="F516" s="37" t="s">
        <v>537</v>
      </c>
      <c r="G516" s="37"/>
      <c r="H516" s="37" t="s">
        <v>61</v>
      </c>
      <c r="I516" s="37" t="s">
        <v>294</v>
      </c>
      <c r="J516" s="37" t="s">
        <v>296</v>
      </c>
      <c r="K516" s="37" t="s">
        <v>1202</v>
      </c>
      <c r="L516" s="39" t="n">
        <v>627</v>
      </c>
      <c r="M516" s="39" t="n">
        <v>625</v>
      </c>
      <c r="N516" s="39" t="n">
        <v>471</v>
      </c>
      <c r="O516" s="39" t="n">
        <v>52</v>
      </c>
      <c r="P516" s="39" t="n">
        <v>0</v>
      </c>
      <c r="Q516" s="39" t="n">
        <v>2</v>
      </c>
      <c r="R516" s="39" t="n">
        <v>1</v>
      </c>
      <c r="S516" s="39" t="n">
        <v>0</v>
      </c>
      <c r="T516" s="40" t="n">
        <f aca="false">IF(M516=0,0,N516/M516)</f>
        <v>0.7536</v>
      </c>
      <c r="U516" s="40" t="n">
        <f aca="false">IF(M516=0,0,O516/M516)</f>
        <v>0.0832</v>
      </c>
      <c r="V516" s="41" t="n">
        <f aca="false">IF(M516=0,0,P516/M516)</f>
        <v>0</v>
      </c>
      <c r="W516" s="40" t="n">
        <f aca="false">IF(L516=0,0,Q516/L516)</f>
        <v>0.00318979266347687</v>
      </c>
    </row>
    <row r="517" customFormat="false" ht="15" hidden="false" customHeight="false" outlineLevel="0" collapsed="false">
      <c r="A517" s="37" t="s">
        <v>1811</v>
      </c>
      <c r="B517" s="38" t="n">
        <v>46080.0867013889</v>
      </c>
      <c r="C517" s="37" t="s">
        <v>1201</v>
      </c>
      <c r="D517" s="37" t="s">
        <v>171</v>
      </c>
      <c r="E517" s="37" t="s">
        <v>172</v>
      </c>
      <c r="F517" s="37" t="s">
        <v>555</v>
      </c>
      <c r="G517" s="37"/>
      <c r="H517" s="37" t="s">
        <v>61</v>
      </c>
      <c r="I517" s="37" t="s">
        <v>169</v>
      </c>
      <c r="J517" s="37" t="s">
        <v>170</v>
      </c>
      <c r="K517" s="37" t="s">
        <v>1202</v>
      </c>
      <c r="L517" s="39" t="n">
        <v>368</v>
      </c>
      <c r="M517" s="39" t="n">
        <v>367</v>
      </c>
      <c r="N517" s="39" t="n">
        <v>124</v>
      </c>
      <c r="O517" s="39" t="n">
        <v>10</v>
      </c>
      <c r="P517" s="39" t="n">
        <v>5</v>
      </c>
      <c r="Q517" s="39" t="n">
        <v>1</v>
      </c>
      <c r="R517" s="39" t="n">
        <v>1</v>
      </c>
      <c r="S517" s="39" t="n">
        <v>0</v>
      </c>
      <c r="T517" s="40" t="n">
        <f aca="false">IF(M517=0,0,N517/M517)</f>
        <v>0.337874659400545</v>
      </c>
      <c r="U517" s="40" t="n">
        <f aca="false">IF(M517=0,0,O517/M517)</f>
        <v>0.0272479564032698</v>
      </c>
      <c r="V517" s="41" t="n">
        <f aca="false">IF(M517=0,0,P517/M517)</f>
        <v>0.0136239782016349</v>
      </c>
      <c r="W517" s="40" t="n">
        <f aca="false">IF(L517=0,0,Q517/L517)</f>
        <v>0.00271739130434783</v>
      </c>
    </row>
    <row r="518" customFormat="false" ht="15" hidden="false" customHeight="false" outlineLevel="0" collapsed="false">
      <c r="A518" s="37" t="s">
        <v>1812</v>
      </c>
      <c r="B518" s="38" t="n">
        <v>46080.0525578704</v>
      </c>
      <c r="C518" s="37" t="s">
        <v>1201</v>
      </c>
      <c r="D518" s="37" t="s">
        <v>110</v>
      </c>
      <c r="E518" s="37" t="s">
        <v>252</v>
      </c>
      <c r="F518" s="37" t="s">
        <v>555</v>
      </c>
      <c r="G518" s="37" t="s">
        <v>1215</v>
      </c>
      <c r="H518" s="37" t="s">
        <v>61</v>
      </c>
      <c r="I518" s="37" t="s">
        <v>107</v>
      </c>
      <c r="J518" s="37" t="s">
        <v>109</v>
      </c>
      <c r="K518" s="37" t="s">
        <v>1202</v>
      </c>
      <c r="L518" s="39" t="n">
        <v>1926</v>
      </c>
      <c r="M518" s="39" t="n">
        <v>1915</v>
      </c>
      <c r="N518" s="39" t="n">
        <v>640</v>
      </c>
      <c r="O518" s="39" t="n">
        <v>27</v>
      </c>
      <c r="P518" s="39" t="n">
        <v>14</v>
      </c>
      <c r="Q518" s="39" t="n">
        <v>11</v>
      </c>
      <c r="R518" s="39" t="n">
        <v>8</v>
      </c>
      <c r="S518" s="39" t="n">
        <v>0</v>
      </c>
      <c r="T518" s="40" t="n">
        <f aca="false">IF(M518=0,0,N518/M518)</f>
        <v>0.33420365535248</v>
      </c>
      <c r="U518" s="40" t="n">
        <f aca="false">IF(M518=0,0,O518/M518)</f>
        <v>0.0140992167101828</v>
      </c>
      <c r="V518" s="41" t="n">
        <f aca="false">IF(M518=0,0,P518/M518)</f>
        <v>0.00731070496083551</v>
      </c>
      <c r="W518" s="40" t="n">
        <f aca="false">IF(L518=0,0,Q518/L518)</f>
        <v>0.00571131879543095</v>
      </c>
    </row>
    <row r="519" customFormat="false" ht="15" hidden="false" customHeight="false" outlineLevel="0" collapsed="false">
      <c r="A519" s="37" t="s">
        <v>1813</v>
      </c>
      <c r="B519" s="38" t="n">
        <v>46080.010625</v>
      </c>
      <c r="C519" s="37" t="s">
        <v>1201</v>
      </c>
      <c r="D519" s="37" t="s">
        <v>1372</v>
      </c>
      <c r="E519" s="37" t="s">
        <v>1373</v>
      </c>
      <c r="F519" s="37" t="s">
        <v>537</v>
      </c>
      <c r="G519" s="37"/>
      <c r="H519" s="37" t="s">
        <v>63</v>
      </c>
      <c r="I519" s="37"/>
      <c r="J519" s="37" t="s">
        <v>296</v>
      </c>
      <c r="K519" s="37" t="s">
        <v>1202</v>
      </c>
      <c r="L519" s="39" t="n">
        <v>2</v>
      </c>
      <c r="M519" s="39" t="n">
        <v>2</v>
      </c>
      <c r="N519" s="39" t="n">
        <v>2</v>
      </c>
      <c r="O519" s="39" t="n">
        <v>0</v>
      </c>
      <c r="P519" s="39" t="n">
        <v>0</v>
      </c>
      <c r="Q519" s="39" t="n">
        <v>0</v>
      </c>
      <c r="R519" s="39" t="n">
        <v>0</v>
      </c>
      <c r="S519" s="39" t="n">
        <v>0</v>
      </c>
      <c r="T519" s="40" t="n">
        <f aca="false">IF(M519=0,0,N519/M519)</f>
        <v>1</v>
      </c>
      <c r="U519" s="40" t="n">
        <f aca="false">IF(M519=0,0,O519/M519)</f>
        <v>0</v>
      </c>
      <c r="V519" s="41" t="n">
        <f aca="false">IF(M519=0,0,P519/M519)</f>
        <v>0</v>
      </c>
      <c r="W519" s="40" t="n">
        <f aca="false">IF(L519=0,0,Q519/L519)</f>
        <v>0</v>
      </c>
    </row>
    <row r="520" customFormat="false" ht="15" hidden="false" customHeight="false" outlineLevel="0" collapsed="false">
      <c r="A520" s="37" t="s">
        <v>1814</v>
      </c>
      <c r="B520" s="38" t="n">
        <v>46079.6250810185</v>
      </c>
      <c r="C520" s="37" t="s">
        <v>1201</v>
      </c>
      <c r="D520" s="37" t="s">
        <v>1211</v>
      </c>
      <c r="E520" s="37" t="s">
        <v>1212</v>
      </c>
      <c r="F520" s="37" t="s">
        <v>544</v>
      </c>
      <c r="G520" s="37"/>
      <c r="H520" s="37" t="s">
        <v>60</v>
      </c>
      <c r="I520" s="37"/>
      <c r="J520" s="37" t="s">
        <v>100</v>
      </c>
      <c r="K520" s="37" t="s">
        <v>1213</v>
      </c>
      <c r="L520" s="39" t="n">
        <v>127</v>
      </c>
      <c r="M520" s="39" t="n">
        <v>127</v>
      </c>
      <c r="N520" s="39" t="n">
        <v>89</v>
      </c>
      <c r="O520" s="39" t="n">
        <v>15</v>
      </c>
      <c r="P520" s="39" t="n">
        <v>0</v>
      </c>
      <c r="Q520" s="39" t="n">
        <v>0</v>
      </c>
      <c r="R520" s="39" t="n">
        <v>0</v>
      </c>
      <c r="S520" s="39" t="n">
        <v>0</v>
      </c>
      <c r="T520" s="40" t="n">
        <f aca="false">IF(M520=0,0,N520/M520)</f>
        <v>0.700787401574803</v>
      </c>
      <c r="U520" s="40" t="n">
        <f aca="false">IF(M520=0,0,O520/M520)</f>
        <v>0.118110236220472</v>
      </c>
      <c r="V520" s="41" t="n">
        <f aca="false">IF(M520=0,0,P520/M520)</f>
        <v>0</v>
      </c>
      <c r="W520" s="40" t="n">
        <f aca="false">IF(L520=0,0,Q520/L520)</f>
        <v>0</v>
      </c>
    </row>
    <row r="521" customFormat="false" ht="15" hidden="false" customHeight="false" outlineLevel="0" collapsed="false">
      <c r="A521" s="37" t="s">
        <v>1815</v>
      </c>
      <c r="B521" s="38" t="n">
        <v>46078.9994791667</v>
      </c>
      <c r="C521" s="37" t="s">
        <v>1201</v>
      </c>
      <c r="D521" s="37" t="s">
        <v>1816</v>
      </c>
      <c r="E521" s="37" t="s">
        <v>1591</v>
      </c>
      <c r="F521" s="37" t="s">
        <v>127</v>
      </c>
      <c r="G521" s="37" t="s">
        <v>1817</v>
      </c>
      <c r="H521" s="37"/>
      <c r="I521" s="37"/>
      <c r="J521" s="37" t="s">
        <v>126</v>
      </c>
      <c r="K521" s="37" t="s">
        <v>1213</v>
      </c>
      <c r="L521" s="39" t="n">
        <v>353</v>
      </c>
      <c r="M521" s="39" t="n">
        <v>353</v>
      </c>
      <c r="N521" s="39" t="n">
        <v>168</v>
      </c>
      <c r="O521" s="39" t="n">
        <v>22</v>
      </c>
      <c r="P521" s="39" t="n">
        <v>6</v>
      </c>
      <c r="Q521" s="39" t="n">
        <v>0</v>
      </c>
      <c r="R521" s="39" t="n">
        <v>0</v>
      </c>
      <c r="S521" s="39" t="n">
        <v>0</v>
      </c>
      <c r="T521" s="40" t="n">
        <f aca="false">IF(M521=0,0,N521/M521)</f>
        <v>0.475920679886686</v>
      </c>
      <c r="U521" s="40" t="n">
        <f aca="false">IF(M521=0,0,O521/M521)</f>
        <v>0.0623229461756374</v>
      </c>
      <c r="V521" s="41" t="n">
        <f aca="false">IF(M521=0,0,P521/M521)</f>
        <v>0.0169971671388102</v>
      </c>
      <c r="W521" s="40" t="n">
        <f aca="false">IF(L521=0,0,Q521/L521)</f>
        <v>0</v>
      </c>
    </row>
    <row r="522" customFormat="false" ht="15" hidden="false" customHeight="false" outlineLevel="0" collapsed="false">
      <c r="A522" s="37" t="s">
        <v>1818</v>
      </c>
      <c r="B522" s="38" t="n">
        <v>46078.7064814815</v>
      </c>
      <c r="C522" s="37" t="s">
        <v>1241</v>
      </c>
      <c r="D522" s="37" t="s">
        <v>1242</v>
      </c>
      <c r="E522" s="37" t="s">
        <v>1250</v>
      </c>
      <c r="F522" s="37" t="s">
        <v>555</v>
      </c>
      <c r="G522" s="37"/>
      <c r="H522" s="37"/>
      <c r="I522" s="37"/>
      <c r="J522" s="37" t="s">
        <v>354</v>
      </c>
      <c r="K522" s="37" t="s">
        <v>1202</v>
      </c>
      <c r="L522" s="39" t="n">
        <v>19</v>
      </c>
      <c r="M522" s="39" t="n">
        <v>18</v>
      </c>
      <c r="N522" s="39" t="n">
        <v>8</v>
      </c>
      <c r="O522" s="39" t="n">
        <v>2</v>
      </c>
      <c r="P522" s="39" t="n">
        <v>0</v>
      </c>
      <c r="Q522" s="39" t="n">
        <v>1</v>
      </c>
      <c r="R522" s="39" t="n">
        <v>1</v>
      </c>
      <c r="S522" s="39" t="n">
        <v>0</v>
      </c>
      <c r="T522" s="40" t="n">
        <f aca="false">IF(M522=0,0,N522/M522)</f>
        <v>0.444444444444444</v>
      </c>
      <c r="U522" s="40" t="n">
        <f aca="false">IF(M522=0,0,O522/M522)</f>
        <v>0.111111111111111</v>
      </c>
      <c r="V522" s="41" t="n">
        <f aca="false">IF(M522=0,0,P522/M522)</f>
        <v>0</v>
      </c>
      <c r="W522" s="40" t="n">
        <f aca="false">IF(L522=0,0,Q522/L522)</f>
        <v>0.0526315789473684</v>
      </c>
    </row>
    <row r="523" customFormat="false" ht="15" hidden="false" customHeight="false" outlineLevel="0" collapsed="false">
      <c r="A523" s="37" t="s">
        <v>1819</v>
      </c>
      <c r="B523" s="38" t="n">
        <v>46078.3775</v>
      </c>
      <c r="C523" s="37" t="s">
        <v>1201</v>
      </c>
      <c r="D523" s="37" t="s">
        <v>230</v>
      </c>
      <c r="E523" s="37" t="s">
        <v>231</v>
      </c>
      <c r="F523" s="37" t="s">
        <v>555</v>
      </c>
      <c r="G523" s="37"/>
      <c r="H523" s="37"/>
      <c r="I523" s="37"/>
      <c r="J523" s="37" t="s">
        <v>229</v>
      </c>
      <c r="K523" s="37" t="s">
        <v>1202</v>
      </c>
      <c r="L523" s="39" t="n">
        <v>507</v>
      </c>
      <c r="M523" s="39" t="n">
        <v>507</v>
      </c>
      <c r="N523" s="39" t="n">
        <v>164</v>
      </c>
      <c r="O523" s="39" t="n">
        <v>19</v>
      </c>
      <c r="P523" s="39" t="n">
        <v>2</v>
      </c>
      <c r="Q523" s="39" t="n">
        <v>0</v>
      </c>
      <c r="R523" s="39" t="n">
        <v>0</v>
      </c>
      <c r="S523" s="39" t="n">
        <v>0</v>
      </c>
      <c r="T523" s="40" t="n">
        <f aca="false">IF(M523=0,0,N523/M523)</f>
        <v>0.323471400394477</v>
      </c>
      <c r="U523" s="40" t="n">
        <f aca="false">IF(M523=0,0,O523/M523)</f>
        <v>0.0374753451676529</v>
      </c>
      <c r="V523" s="41" t="n">
        <f aca="false">IF(M523=0,0,P523/M523)</f>
        <v>0.00394477317554241</v>
      </c>
      <c r="W523" s="40" t="n">
        <f aca="false">IF(L523=0,0,Q523/L523)</f>
        <v>0</v>
      </c>
    </row>
    <row r="524" customFormat="false" ht="15" hidden="false" customHeight="false" outlineLevel="0" collapsed="false">
      <c r="A524" s="37" t="s">
        <v>1820</v>
      </c>
      <c r="B524" s="38" t="n">
        <v>46078.3338541667</v>
      </c>
      <c r="C524" s="37" t="s">
        <v>1252</v>
      </c>
      <c r="D524" s="37" t="s">
        <v>1600</v>
      </c>
      <c r="E524" s="37" t="s">
        <v>288</v>
      </c>
      <c r="F524" s="37" t="s">
        <v>548</v>
      </c>
      <c r="G524" s="37"/>
      <c r="H524" s="37"/>
      <c r="I524" s="37"/>
      <c r="J524" s="37" t="s">
        <v>287</v>
      </c>
      <c r="K524" s="37" t="s">
        <v>1202</v>
      </c>
      <c r="L524" s="39" t="n">
        <v>302</v>
      </c>
      <c r="M524" s="39" t="n">
        <v>297</v>
      </c>
      <c r="N524" s="39" t="n">
        <v>42</v>
      </c>
      <c r="O524" s="39" t="n">
        <v>4</v>
      </c>
      <c r="P524" s="39" t="n">
        <v>1</v>
      </c>
      <c r="Q524" s="39" t="n">
        <v>5</v>
      </c>
      <c r="R524" s="39" t="n">
        <v>2</v>
      </c>
      <c r="S524" s="39" t="n">
        <v>0</v>
      </c>
      <c r="T524" s="40" t="n">
        <f aca="false">IF(M524=0,0,N524/M524)</f>
        <v>0.141414141414141</v>
      </c>
      <c r="U524" s="40" t="n">
        <f aca="false">IF(M524=0,0,O524/M524)</f>
        <v>0.0134680134680135</v>
      </c>
      <c r="V524" s="41" t="n">
        <f aca="false">IF(M524=0,0,P524/M524)</f>
        <v>0.00336700336700337</v>
      </c>
      <c r="W524" s="40" t="n">
        <f aca="false">IF(L524=0,0,Q524/L524)</f>
        <v>0.0165562913907285</v>
      </c>
    </row>
    <row r="525" customFormat="false" ht="15" hidden="false" customHeight="false" outlineLevel="0" collapsed="false">
      <c r="A525" s="37" t="s">
        <v>1821</v>
      </c>
      <c r="B525" s="38" t="n">
        <v>46078.3235648148</v>
      </c>
      <c r="C525" s="37" t="s">
        <v>1201</v>
      </c>
      <c r="D525" s="37" t="s">
        <v>1286</v>
      </c>
      <c r="E525" s="37" t="s">
        <v>166</v>
      </c>
      <c r="F525" s="37" t="s">
        <v>555</v>
      </c>
      <c r="G525" s="37" t="s">
        <v>1730</v>
      </c>
      <c r="H525" s="37"/>
      <c r="I525" s="37"/>
      <c r="J525" s="37" t="s">
        <v>164</v>
      </c>
      <c r="K525" s="37" t="s">
        <v>1202</v>
      </c>
      <c r="L525" s="39" t="n">
        <v>979</v>
      </c>
      <c r="M525" s="39" t="n">
        <v>978</v>
      </c>
      <c r="N525" s="39" t="n">
        <v>342</v>
      </c>
      <c r="O525" s="39" t="n">
        <v>41</v>
      </c>
      <c r="P525" s="39" t="n">
        <v>7</v>
      </c>
      <c r="Q525" s="39" t="n">
        <v>1</v>
      </c>
      <c r="R525" s="39" t="n">
        <v>1</v>
      </c>
      <c r="S525" s="39" t="n">
        <v>0</v>
      </c>
      <c r="T525" s="40" t="n">
        <f aca="false">IF(M525=0,0,N525/M525)</f>
        <v>0.349693251533742</v>
      </c>
      <c r="U525" s="40" t="n">
        <f aca="false">IF(M525=0,0,O525/M525)</f>
        <v>0.0419222903885481</v>
      </c>
      <c r="V525" s="41" t="n">
        <f aca="false">IF(M525=0,0,P525/M525)</f>
        <v>0.00715746421267894</v>
      </c>
      <c r="W525" s="40" t="n">
        <f aca="false">IF(L525=0,0,Q525/L525)</f>
        <v>0.00102145045965271</v>
      </c>
    </row>
    <row r="526" customFormat="false" ht="15" hidden="false" customHeight="false" outlineLevel="0" collapsed="false">
      <c r="A526" s="37" t="s">
        <v>1822</v>
      </c>
      <c r="B526" s="38" t="n">
        <v>46078.2924189815</v>
      </c>
      <c r="C526" s="37" t="s">
        <v>1201</v>
      </c>
      <c r="D526" s="37" t="s">
        <v>185</v>
      </c>
      <c r="E526" s="37" t="s">
        <v>186</v>
      </c>
      <c r="F526" s="37" t="s">
        <v>544</v>
      </c>
      <c r="G526" s="37"/>
      <c r="H526" s="37"/>
      <c r="I526" s="37"/>
      <c r="J526" s="37" t="s">
        <v>184</v>
      </c>
      <c r="K526" s="37" t="s">
        <v>1202</v>
      </c>
      <c r="L526" s="39" t="n">
        <v>536</v>
      </c>
      <c r="M526" s="39" t="n">
        <v>517</v>
      </c>
      <c r="N526" s="39" t="n">
        <v>183</v>
      </c>
      <c r="O526" s="39" t="n">
        <v>65</v>
      </c>
      <c r="P526" s="39" t="n">
        <v>3</v>
      </c>
      <c r="Q526" s="39" t="n">
        <v>19</v>
      </c>
      <c r="R526" s="39" t="n">
        <v>16</v>
      </c>
      <c r="S526" s="39" t="n">
        <v>0</v>
      </c>
      <c r="T526" s="40" t="n">
        <f aca="false">IF(M526=0,0,N526/M526)</f>
        <v>0.353965183752418</v>
      </c>
      <c r="U526" s="40" t="n">
        <f aca="false">IF(M526=0,0,O526/M526)</f>
        <v>0.125725338491296</v>
      </c>
      <c r="V526" s="41" t="n">
        <f aca="false">IF(M526=0,0,P526/M526)</f>
        <v>0.00580270793036751</v>
      </c>
      <c r="W526" s="40" t="n">
        <f aca="false">IF(L526=0,0,Q526/L526)</f>
        <v>0.0354477611940299</v>
      </c>
    </row>
    <row r="527" customFormat="false" ht="15" hidden="false" customHeight="false" outlineLevel="0" collapsed="false">
      <c r="A527" s="37" t="s">
        <v>1823</v>
      </c>
      <c r="B527" s="38" t="n">
        <v>46078.0777199074</v>
      </c>
      <c r="C527" s="37" t="s">
        <v>1201</v>
      </c>
      <c r="D527" s="37" t="s">
        <v>1504</v>
      </c>
      <c r="E527" s="37" t="s">
        <v>1436</v>
      </c>
      <c r="F527" s="37" t="s">
        <v>555</v>
      </c>
      <c r="G527" s="37"/>
      <c r="H527" s="37"/>
      <c r="I527" s="37"/>
      <c r="J527" s="37" t="s">
        <v>144</v>
      </c>
      <c r="K527" s="37" t="s">
        <v>1202</v>
      </c>
      <c r="L527" s="39" t="n">
        <v>432</v>
      </c>
      <c r="M527" s="39" t="n">
        <v>432</v>
      </c>
      <c r="N527" s="39" t="n">
        <v>190</v>
      </c>
      <c r="O527" s="39" t="n">
        <v>37</v>
      </c>
      <c r="P527" s="39" t="n">
        <v>14</v>
      </c>
      <c r="Q527" s="39" t="n">
        <v>0</v>
      </c>
      <c r="R527" s="39" t="n">
        <v>0</v>
      </c>
      <c r="S527" s="39" t="n">
        <v>0</v>
      </c>
      <c r="T527" s="40" t="n">
        <f aca="false">IF(M527=0,0,N527/M527)</f>
        <v>0.439814814814815</v>
      </c>
      <c r="U527" s="40" t="n">
        <f aca="false">IF(M527=0,0,O527/M527)</f>
        <v>0.0856481481481482</v>
      </c>
      <c r="V527" s="41" t="n">
        <f aca="false">IF(M527=0,0,P527/M527)</f>
        <v>0.0324074074074074</v>
      </c>
      <c r="W527" s="40" t="n">
        <f aca="false">IF(L527=0,0,Q527/L527)</f>
        <v>0</v>
      </c>
    </row>
    <row r="528" customFormat="false" ht="15" hidden="false" customHeight="false" outlineLevel="0" collapsed="false">
      <c r="A528" s="37" t="s">
        <v>1824</v>
      </c>
      <c r="B528" s="38" t="n">
        <v>46077.4241435185</v>
      </c>
      <c r="C528" s="37" t="s">
        <v>1201</v>
      </c>
      <c r="D528" s="37" t="s">
        <v>116</v>
      </c>
      <c r="E528" s="37" t="s">
        <v>117</v>
      </c>
      <c r="F528" s="37" t="s">
        <v>555</v>
      </c>
      <c r="G528" s="37" t="s">
        <v>1118</v>
      </c>
      <c r="H528" s="37"/>
      <c r="I528" s="37" t="s">
        <v>114</v>
      </c>
      <c r="J528" s="37" t="s">
        <v>115</v>
      </c>
      <c r="K528" s="37" t="s">
        <v>1202</v>
      </c>
      <c r="L528" s="39" t="n">
        <v>5124</v>
      </c>
      <c r="M528" s="39" t="n">
        <v>5009</v>
      </c>
      <c r="N528" s="39" t="n">
        <v>1348</v>
      </c>
      <c r="O528" s="39" t="n">
        <v>131</v>
      </c>
      <c r="P528" s="39" t="n">
        <v>69</v>
      </c>
      <c r="Q528" s="39" t="n">
        <v>115</v>
      </c>
      <c r="R528" s="39" t="n">
        <v>92</v>
      </c>
      <c r="S528" s="39" t="n">
        <v>2</v>
      </c>
      <c r="T528" s="40" t="n">
        <f aca="false">IF(M528=0,0,N528/M528)</f>
        <v>0.269115591934518</v>
      </c>
      <c r="U528" s="40" t="n">
        <f aca="false">IF(M528=0,0,O528/M528)</f>
        <v>0.0261529247354761</v>
      </c>
      <c r="V528" s="41" t="n">
        <f aca="false">IF(M528=0,0,P528/M528)</f>
        <v>0.013775204631663</v>
      </c>
      <c r="W528" s="40" t="n">
        <f aca="false">IF(L528=0,0,Q528/L528)</f>
        <v>0.0224434035909446</v>
      </c>
    </row>
    <row r="529" customFormat="false" ht="15" hidden="false" customHeight="false" outlineLevel="0" collapsed="false">
      <c r="A529" s="37" t="s">
        <v>1825</v>
      </c>
      <c r="B529" s="38" t="n">
        <v>46077.3368518519</v>
      </c>
      <c r="C529" s="37" t="s">
        <v>1201</v>
      </c>
      <c r="D529" s="37" t="s">
        <v>1372</v>
      </c>
      <c r="E529" s="37" t="s">
        <v>1373</v>
      </c>
      <c r="F529" s="37" t="s">
        <v>537</v>
      </c>
      <c r="G529" s="37"/>
      <c r="H529" s="37"/>
      <c r="I529" s="37"/>
      <c r="J529" s="37" t="s">
        <v>296</v>
      </c>
      <c r="K529" s="37" t="s">
        <v>1202</v>
      </c>
      <c r="L529" s="39" t="n">
        <v>2</v>
      </c>
      <c r="M529" s="39" t="n">
        <v>2</v>
      </c>
      <c r="N529" s="39" t="n">
        <v>2</v>
      </c>
      <c r="O529" s="39" t="n">
        <v>0</v>
      </c>
      <c r="P529" s="39" t="n">
        <v>0</v>
      </c>
      <c r="Q529" s="39" t="n">
        <v>0</v>
      </c>
      <c r="R529" s="39" t="n">
        <v>0</v>
      </c>
      <c r="S529" s="39" t="n">
        <v>0</v>
      </c>
      <c r="T529" s="40" t="n">
        <f aca="false">IF(M529=0,0,N529/M529)</f>
        <v>1</v>
      </c>
      <c r="U529" s="40" t="n">
        <f aca="false">IF(M529=0,0,O529/M529)</f>
        <v>0</v>
      </c>
      <c r="V529" s="41" t="n">
        <f aca="false">IF(M529=0,0,P529/M529)</f>
        <v>0</v>
      </c>
      <c r="W529" s="40" t="n">
        <f aca="false">IF(L529=0,0,Q529/L529)</f>
        <v>0</v>
      </c>
    </row>
    <row r="530" customFormat="false" ht="15" hidden="false" customHeight="false" outlineLevel="0" collapsed="false">
      <c r="A530" s="37" t="s">
        <v>1826</v>
      </c>
      <c r="B530" s="38" t="n">
        <v>46077.2578819445</v>
      </c>
      <c r="C530" s="37" t="s">
        <v>1201</v>
      </c>
      <c r="D530" s="37" t="s">
        <v>267</v>
      </c>
      <c r="E530" s="37" t="s">
        <v>267</v>
      </c>
      <c r="F530" s="37" t="s">
        <v>555</v>
      </c>
      <c r="G530" s="37"/>
      <c r="H530" s="37"/>
      <c r="I530" s="37" t="s">
        <v>264</v>
      </c>
      <c r="J530" s="37" t="s">
        <v>266</v>
      </c>
      <c r="K530" s="37" t="s">
        <v>1202</v>
      </c>
      <c r="L530" s="39" t="n">
        <v>257</v>
      </c>
      <c r="M530" s="39" t="n">
        <v>256</v>
      </c>
      <c r="N530" s="39" t="n">
        <v>118</v>
      </c>
      <c r="O530" s="39" t="n">
        <v>10</v>
      </c>
      <c r="P530" s="39" t="n">
        <v>0</v>
      </c>
      <c r="Q530" s="39" t="n">
        <v>1</v>
      </c>
      <c r="R530" s="39" t="n">
        <v>0</v>
      </c>
      <c r="S530" s="39" t="n">
        <v>0</v>
      </c>
      <c r="T530" s="40" t="n">
        <f aca="false">IF(M530=0,0,N530/M530)</f>
        <v>0.4609375</v>
      </c>
      <c r="U530" s="40" t="n">
        <f aca="false">IF(M530=0,0,O530/M530)</f>
        <v>0.0390625</v>
      </c>
      <c r="V530" s="41" t="n">
        <f aca="false">IF(M530=0,0,P530/M530)</f>
        <v>0</v>
      </c>
      <c r="W530" s="40" t="n">
        <f aca="false">IF(L530=0,0,Q530/L530)</f>
        <v>0.00389105058365759</v>
      </c>
    </row>
    <row r="531" customFormat="false" ht="15" hidden="false" customHeight="false" outlineLevel="0" collapsed="false">
      <c r="A531" s="37" t="s">
        <v>1827</v>
      </c>
      <c r="B531" s="38" t="n">
        <v>46077.1793055556</v>
      </c>
      <c r="C531" s="37" t="s">
        <v>1201</v>
      </c>
      <c r="D531" s="37" t="s">
        <v>1828</v>
      </c>
      <c r="E531" s="37" t="s">
        <v>1829</v>
      </c>
      <c r="F531" s="37" t="s">
        <v>550</v>
      </c>
      <c r="G531" s="37"/>
      <c r="H531" s="37"/>
      <c r="I531" s="37"/>
      <c r="J531" s="37" t="s">
        <v>144</v>
      </c>
      <c r="K531" s="37" t="s">
        <v>1202</v>
      </c>
      <c r="L531" s="39" t="n">
        <v>214</v>
      </c>
      <c r="M531" s="39" t="n">
        <v>212</v>
      </c>
      <c r="N531" s="39" t="n">
        <v>84</v>
      </c>
      <c r="O531" s="39" t="n">
        <v>13</v>
      </c>
      <c r="P531" s="39" t="n">
        <v>4</v>
      </c>
      <c r="Q531" s="39" t="n">
        <v>2</v>
      </c>
      <c r="R531" s="39" t="n">
        <v>1</v>
      </c>
      <c r="S531" s="39" t="n">
        <v>0</v>
      </c>
      <c r="T531" s="40" t="n">
        <f aca="false">IF(M531=0,0,N531/M531)</f>
        <v>0.39622641509434</v>
      </c>
      <c r="U531" s="40" t="n">
        <f aca="false">IF(M531=0,0,O531/M531)</f>
        <v>0.0613207547169811</v>
      </c>
      <c r="V531" s="41" t="n">
        <f aca="false">IF(M531=0,0,P531/M531)</f>
        <v>0.0188679245283019</v>
      </c>
      <c r="W531" s="40" t="n">
        <f aca="false">IF(L531=0,0,Q531/L531)</f>
        <v>0.00934579439252336</v>
      </c>
    </row>
    <row r="532" customFormat="false" ht="15" hidden="false" customHeight="false" outlineLevel="0" collapsed="false">
      <c r="A532" s="37" t="s">
        <v>1830</v>
      </c>
      <c r="B532" s="38" t="n">
        <v>46077.1357986111</v>
      </c>
      <c r="C532" s="37" t="s">
        <v>1201</v>
      </c>
      <c r="D532" s="37" t="s">
        <v>251</v>
      </c>
      <c r="E532" s="37" t="s">
        <v>252</v>
      </c>
      <c r="F532" s="37" t="s">
        <v>544</v>
      </c>
      <c r="G532" s="37"/>
      <c r="H532" s="37"/>
      <c r="I532" s="37"/>
      <c r="J532" s="37" t="s">
        <v>109</v>
      </c>
      <c r="K532" s="37" t="s">
        <v>1202</v>
      </c>
      <c r="L532" s="39" t="n">
        <v>35</v>
      </c>
      <c r="M532" s="39" t="n">
        <v>35</v>
      </c>
      <c r="N532" s="39" t="n">
        <v>22</v>
      </c>
      <c r="O532" s="39" t="n">
        <v>3</v>
      </c>
      <c r="P532" s="39" t="n">
        <v>0</v>
      </c>
      <c r="Q532" s="39" t="n">
        <v>0</v>
      </c>
      <c r="R532" s="39" t="n">
        <v>0</v>
      </c>
      <c r="S532" s="39" t="n">
        <v>0</v>
      </c>
      <c r="T532" s="40" t="n">
        <f aca="false">IF(M532=0,0,N532/M532)</f>
        <v>0.628571428571429</v>
      </c>
      <c r="U532" s="40" t="n">
        <f aca="false">IF(M532=0,0,O532/M532)</f>
        <v>0.0857142857142857</v>
      </c>
      <c r="V532" s="41" t="n">
        <f aca="false">IF(M532=0,0,P532/M532)</f>
        <v>0</v>
      </c>
      <c r="W532" s="40" t="n">
        <f aca="false">IF(L532=0,0,Q532/L532)</f>
        <v>0</v>
      </c>
    </row>
    <row r="533" customFormat="false" ht="15" hidden="false" customHeight="false" outlineLevel="0" collapsed="false">
      <c r="A533" s="37" t="s">
        <v>1831</v>
      </c>
      <c r="B533" s="38" t="n">
        <v>46077.0110532407</v>
      </c>
      <c r="C533" s="37" t="s">
        <v>1201</v>
      </c>
      <c r="D533" s="37" t="s">
        <v>1372</v>
      </c>
      <c r="E533" s="37" t="s">
        <v>1373</v>
      </c>
      <c r="F533" s="37" t="s">
        <v>537</v>
      </c>
      <c r="G533" s="37"/>
      <c r="H533" s="37"/>
      <c r="I533" s="37"/>
      <c r="J533" s="37" t="s">
        <v>296</v>
      </c>
      <c r="K533" s="37" t="s">
        <v>1202</v>
      </c>
      <c r="L533" s="39" t="n">
        <v>2</v>
      </c>
      <c r="M533" s="39" t="n">
        <v>2</v>
      </c>
      <c r="N533" s="39" t="n">
        <v>2</v>
      </c>
      <c r="O533" s="39" t="n">
        <v>0</v>
      </c>
      <c r="P533" s="39" t="n">
        <v>0</v>
      </c>
      <c r="Q533" s="39" t="n">
        <v>0</v>
      </c>
      <c r="R533" s="39" t="n">
        <v>0</v>
      </c>
      <c r="S533" s="39" t="n">
        <v>0</v>
      </c>
      <c r="T533" s="40" t="n">
        <f aca="false">IF(M533=0,0,N533/M533)</f>
        <v>1</v>
      </c>
      <c r="U533" s="40" t="n">
        <f aca="false">IF(M533=0,0,O533/M533)</f>
        <v>0</v>
      </c>
      <c r="V533" s="41" t="n">
        <f aca="false">IF(M533=0,0,P533/M533)</f>
        <v>0</v>
      </c>
      <c r="W533" s="40" t="n">
        <f aca="false">IF(L533=0,0,Q533/L533)</f>
        <v>0</v>
      </c>
    </row>
    <row r="534" customFormat="false" ht="15" hidden="false" customHeight="false" outlineLevel="0" collapsed="false">
      <c r="A534" s="37" t="s">
        <v>1832</v>
      </c>
      <c r="B534" s="38" t="n">
        <v>46077.0106712963</v>
      </c>
      <c r="C534" s="37" t="s">
        <v>1201</v>
      </c>
      <c r="D534" s="37" t="s">
        <v>1372</v>
      </c>
      <c r="E534" s="37" t="s">
        <v>1373</v>
      </c>
      <c r="F534" s="37" t="s">
        <v>537</v>
      </c>
      <c r="G534" s="37"/>
      <c r="H534" s="37"/>
      <c r="I534" s="37"/>
      <c r="J534" s="37" t="s">
        <v>296</v>
      </c>
      <c r="K534" s="37" t="s">
        <v>1202</v>
      </c>
      <c r="L534" s="39" t="n">
        <v>2</v>
      </c>
      <c r="M534" s="39" t="n">
        <v>2</v>
      </c>
      <c r="N534" s="39" t="n">
        <v>2</v>
      </c>
      <c r="O534" s="39" t="n">
        <v>0</v>
      </c>
      <c r="P534" s="39" t="n">
        <v>0</v>
      </c>
      <c r="Q534" s="39" t="n">
        <v>0</v>
      </c>
      <c r="R534" s="39" t="n">
        <v>0</v>
      </c>
      <c r="S534" s="39" t="n">
        <v>0</v>
      </c>
      <c r="T534" s="40" t="n">
        <f aca="false">IF(M534=0,0,N534/M534)</f>
        <v>1</v>
      </c>
      <c r="U534" s="40" t="n">
        <f aca="false">IF(M534=0,0,O534/M534)</f>
        <v>0</v>
      </c>
      <c r="V534" s="41" t="n">
        <f aca="false">IF(M534=0,0,P534/M534)</f>
        <v>0</v>
      </c>
      <c r="W534" s="40" t="n">
        <f aca="false">IF(L534=0,0,Q534/L534)</f>
        <v>0</v>
      </c>
    </row>
    <row r="535" customFormat="false" ht="15" hidden="false" customHeight="false" outlineLevel="0" collapsed="false">
      <c r="A535" s="37" t="s">
        <v>1833</v>
      </c>
      <c r="B535" s="38" t="n">
        <v>46076.5398032407</v>
      </c>
      <c r="C535" s="37" t="s">
        <v>1201</v>
      </c>
      <c r="D535" s="37" t="s">
        <v>1339</v>
      </c>
      <c r="E535" s="37" t="s">
        <v>117</v>
      </c>
      <c r="F535" s="37" t="s">
        <v>544</v>
      </c>
      <c r="G535" s="37" t="s">
        <v>603</v>
      </c>
      <c r="H535" s="37"/>
      <c r="I535" s="37"/>
      <c r="J535" s="37" t="s">
        <v>115</v>
      </c>
      <c r="K535" s="37" t="s">
        <v>1202</v>
      </c>
      <c r="L535" s="39" t="n">
        <v>300</v>
      </c>
      <c r="M535" s="39" t="n">
        <v>296</v>
      </c>
      <c r="N535" s="39" t="n">
        <v>84</v>
      </c>
      <c r="O535" s="39" t="n">
        <v>6</v>
      </c>
      <c r="P535" s="39" t="n">
        <v>2</v>
      </c>
      <c r="Q535" s="39" t="n">
        <v>4</v>
      </c>
      <c r="R535" s="39" t="n">
        <v>2</v>
      </c>
      <c r="S535" s="39" t="n">
        <v>0</v>
      </c>
      <c r="T535" s="40" t="n">
        <f aca="false">IF(M535=0,0,N535/M535)</f>
        <v>0.283783783783784</v>
      </c>
      <c r="U535" s="40" t="n">
        <f aca="false">IF(M535=0,0,O535/M535)</f>
        <v>0.0202702702702703</v>
      </c>
      <c r="V535" s="41" t="n">
        <f aca="false">IF(M535=0,0,P535/M535)</f>
        <v>0.00675675675675676</v>
      </c>
      <c r="W535" s="40" t="n">
        <f aca="false">IF(L535=0,0,Q535/L535)</f>
        <v>0.0133333333333333</v>
      </c>
    </row>
    <row r="536" customFormat="false" ht="15" hidden="false" customHeight="false" outlineLevel="0" collapsed="false">
      <c r="A536" s="37" t="s">
        <v>1834</v>
      </c>
      <c r="B536" s="38" t="n">
        <v>46076.3650810185</v>
      </c>
      <c r="C536" s="37" t="s">
        <v>1201</v>
      </c>
      <c r="D536" s="37" t="s">
        <v>1372</v>
      </c>
      <c r="E536" s="37" t="s">
        <v>1373</v>
      </c>
      <c r="F536" s="37" t="s">
        <v>537</v>
      </c>
      <c r="G536" s="37"/>
      <c r="H536" s="37"/>
      <c r="I536" s="37"/>
      <c r="J536" s="37" t="s">
        <v>296</v>
      </c>
      <c r="K536" s="37" t="s">
        <v>1202</v>
      </c>
      <c r="L536" s="39" t="n">
        <v>2</v>
      </c>
      <c r="M536" s="39" t="n">
        <v>2</v>
      </c>
      <c r="N536" s="39" t="n">
        <v>2</v>
      </c>
      <c r="O536" s="39" t="n">
        <v>0</v>
      </c>
      <c r="P536" s="39" t="n">
        <v>0</v>
      </c>
      <c r="Q536" s="39" t="n">
        <v>0</v>
      </c>
      <c r="R536" s="39" t="n">
        <v>0</v>
      </c>
      <c r="S536" s="39" t="n">
        <v>0</v>
      </c>
      <c r="T536" s="40" t="n">
        <f aca="false">IF(M536=0,0,N536/M536)</f>
        <v>1</v>
      </c>
      <c r="U536" s="40" t="n">
        <f aca="false">IF(M536=0,0,O536/M536)</f>
        <v>0</v>
      </c>
      <c r="V536" s="41" t="n">
        <f aca="false">IF(M536=0,0,P536/M536)</f>
        <v>0</v>
      </c>
      <c r="W536" s="40" t="n">
        <f aca="false">IF(L536=0,0,Q536/L536)</f>
        <v>0</v>
      </c>
    </row>
    <row r="537" customFormat="false" ht="15" hidden="false" customHeight="false" outlineLevel="0" collapsed="false">
      <c r="A537" s="37" t="s">
        <v>1835</v>
      </c>
      <c r="B537" s="38" t="n">
        <v>46076.3547337963</v>
      </c>
      <c r="C537" s="37" t="s">
        <v>1201</v>
      </c>
      <c r="D537" s="37" t="s">
        <v>1372</v>
      </c>
      <c r="E537" s="37" t="s">
        <v>1373</v>
      </c>
      <c r="F537" s="37" t="s">
        <v>537</v>
      </c>
      <c r="G537" s="37"/>
      <c r="H537" s="37"/>
      <c r="I537" s="37"/>
      <c r="J537" s="37" t="s">
        <v>296</v>
      </c>
      <c r="K537" s="37" t="s">
        <v>1202</v>
      </c>
      <c r="L537" s="39" t="n">
        <v>2</v>
      </c>
      <c r="M537" s="39" t="n">
        <v>2</v>
      </c>
      <c r="N537" s="39" t="n">
        <v>2</v>
      </c>
      <c r="O537" s="39" t="n">
        <v>0</v>
      </c>
      <c r="P537" s="39" t="n">
        <v>0</v>
      </c>
      <c r="Q537" s="39" t="n">
        <v>0</v>
      </c>
      <c r="R537" s="39" t="n">
        <v>0</v>
      </c>
      <c r="S537" s="39" t="n">
        <v>0</v>
      </c>
      <c r="T537" s="40" t="n">
        <f aca="false">IF(M537=0,0,N537/M537)</f>
        <v>1</v>
      </c>
      <c r="U537" s="40" t="n">
        <f aca="false">IF(M537=0,0,O537/M537)</f>
        <v>0</v>
      </c>
      <c r="V537" s="41" t="n">
        <f aca="false">IF(M537=0,0,P537/M537)</f>
        <v>0</v>
      </c>
      <c r="W537" s="40" t="n">
        <f aca="false">IF(L537=0,0,Q537/L537)</f>
        <v>0</v>
      </c>
    </row>
    <row r="538" customFormat="false" ht="15" hidden="false" customHeight="false" outlineLevel="0" collapsed="false">
      <c r="A538" s="37" t="s">
        <v>1836</v>
      </c>
      <c r="B538" s="38" t="n">
        <v>46076.3440856482</v>
      </c>
      <c r="C538" s="37" t="s">
        <v>1252</v>
      </c>
      <c r="D538" s="37" t="s">
        <v>101</v>
      </c>
      <c r="E538" s="37" t="s">
        <v>1222</v>
      </c>
      <c r="F538" s="37" t="s">
        <v>548</v>
      </c>
      <c r="G538" s="37" t="s">
        <v>1223</v>
      </c>
      <c r="H538" s="37"/>
      <c r="I538" s="37" t="s">
        <v>98</v>
      </c>
      <c r="J538" s="37" t="s">
        <v>100</v>
      </c>
      <c r="K538" s="37" t="s">
        <v>1202</v>
      </c>
      <c r="L538" s="39" t="n">
        <v>5847</v>
      </c>
      <c r="M538" s="39" t="n">
        <v>5823</v>
      </c>
      <c r="N538" s="39" t="n">
        <v>1027</v>
      </c>
      <c r="O538" s="39" t="n">
        <v>153</v>
      </c>
      <c r="P538" s="39" t="n">
        <v>31</v>
      </c>
      <c r="Q538" s="39" t="n">
        <v>24</v>
      </c>
      <c r="R538" s="39" t="n">
        <v>16</v>
      </c>
      <c r="S538" s="39" t="n">
        <v>0</v>
      </c>
      <c r="T538" s="40" t="n">
        <f aca="false">IF(M538=0,0,N538/M538)</f>
        <v>0.176369568950713</v>
      </c>
      <c r="U538" s="40" t="n">
        <f aca="false">IF(M538=0,0,O538/M538)</f>
        <v>0.0262751159196291</v>
      </c>
      <c r="V538" s="41" t="n">
        <f aca="false">IF(M538=0,0,P538/M538)</f>
        <v>0.00532371629744118</v>
      </c>
      <c r="W538" s="40" t="n">
        <f aca="false">IF(L538=0,0,Q538/L538)</f>
        <v>0.00410466906105695</v>
      </c>
    </row>
    <row r="539" customFormat="false" ht="15" hidden="false" customHeight="false" outlineLevel="0" collapsed="false">
      <c r="A539" s="37" t="s">
        <v>1837</v>
      </c>
      <c r="B539" s="38" t="n">
        <v>46076.3437962963</v>
      </c>
      <c r="C539" s="37" t="s">
        <v>1252</v>
      </c>
      <c r="D539" s="37" t="s">
        <v>166</v>
      </c>
      <c r="E539" s="37" t="s">
        <v>166</v>
      </c>
      <c r="F539" s="37" t="s">
        <v>555</v>
      </c>
      <c r="G539" s="37" t="s">
        <v>1121</v>
      </c>
      <c r="H539" s="37"/>
      <c r="I539" s="37" t="s">
        <v>163</v>
      </c>
      <c r="J539" s="37" t="s">
        <v>164</v>
      </c>
      <c r="K539" s="37" t="s">
        <v>1202</v>
      </c>
      <c r="L539" s="39" t="n">
        <v>1242</v>
      </c>
      <c r="M539" s="39" t="n">
        <v>1236</v>
      </c>
      <c r="N539" s="39" t="n">
        <v>581</v>
      </c>
      <c r="O539" s="39" t="n">
        <v>34</v>
      </c>
      <c r="P539" s="39" t="n">
        <v>16</v>
      </c>
      <c r="Q539" s="39" t="n">
        <v>6</v>
      </c>
      <c r="R539" s="39" t="n">
        <v>4</v>
      </c>
      <c r="S539" s="39" t="n">
        <v>0</v>
      </c>
      <c r="T539" s="40" t="n">
        <f aca="false">IF(M539=0,0,N539/M539)</f>
        <v>0.470064724919094</v>
      </c>
      <c r="U539" s="40" t="n">
        <f aca="false">IF(M539=0,0,O539/M539)</f>
        <v>0.0275080906148867</v>
      </c>
      <c r="V539" s="41" t="n">
        <f aca="false">IF(M539=0,0,P539/M539)</f>
        <v>0.0129449838187702</v>
      </c>
      <c r="W539" s="40" t="n">
        <f aca="false">IF(L539=0,0,Q539/L539)</f>
        <v>0.00483091787439614</v>
      </c>
    </row>
    <row r="540" customFormat="false" ht="15" hidden="false" customHeight="false" outlineLevel="0" collapsed="false">
      <c r="A540" s="37" t="s">
        <v>1838</v>
      </c>
      <c r="B540" s="38" t="n">
        <v>46075.9167939815</v>
      </c>
      <c r="C540" s="37" t="s">
        <v>1201</v>
      </c>
      <c r="D540" s="37" t="s">
        <v>1372</v>
      </c>
      <c r="E540" s="37" t="s">
        <v>1373</v>
      </c>
      <c r="F540" s="37" t="s">
        <v>537</v>
      </c>
      <c r="G540" s="37"/>
      <c r="H540" s="37"/>
      <c r="I540" s="37"/>
      <c r="J540" s="37" t="s">
        <v>296</v>
      </c>
      <c r="K540" s="37" t="s">
        <v>1202</v>
      </c>
      <c r="L540" s="39" t="n">
        <v>2</v>
      </c>
      <c r="M540" s="39" t="n">
        <v>2</v>
      </c>
      <c r="N540" s="39" t="n">
        <v>2</v>
      </c>
      <c r="O540" s="39" t="n">
        <v>0</v>
      </c>
      <c r="P540" s="39" t="n">
        <v>0</v>
      </c>
      <c r="Q540" s="39" t="n">
        <v>0</v>
      </c>
      <c r="R540" s="39" t="n">
        <v>0</v>
      </c>
      <c r="S540" s="39" t="n">
        <v>0</v>
      </c>
      <c r="T540" s="40" t="n">
        <f aca="false">IF(M540=0,0,N540/M540)</f>
        <v>1</v>
      </c>
      <c r="U540" s="40" t="n">
        <f aca="false">IF(M540=0,0,O540/M540)</f>
        <v>0</v>
      </c>
      <c r="V540" s="41" t="n">
        <f aca="false">IF(M540=0,0,P540/M540)</f>
        <v>0</v>
      </c>
      <c r="W540" s="40" t="n">
        <f aca="false">IF(L540=0,0,Q540/L540)</f>
        <v>0</v>
      </c>
    </row>
    <row r="541" customFormat="false" ht="15" hidden="false" customHeight="false" outlineLevel="0" collapsed="false">
      <c r="A541" s="37" t="s">
        <v>1839</v>
      </c>
      <c r="B541" s="38" t="n">
        <v>46075.7709490741</v>
      </c>
      <c r="C541" s="37" t="s">
        <v>1201</v>
      </c>
      <c r="D541" s="37" t="s">
        <v>1372</v>
      </c>
      <c r="E541" s="37" t="s">
        <v>1373</v>
      </c>
      <c r="F541" s="37" t="s">
        <v>537</v>
      </c>
      <c r="G541" s="37"/>
      <c r="H541" s="37"/>
      <c r="I541" s="37"/>
      <c r="J541" s="37" t="s">
        <v>296</v>
      </c>
      <c r="K541" s="37" t="s">
        <v>1202</v>
      </c>
      <c r="L541" s="39" t="n">
        <v>2</v>
      </c>
      <c r="M541" s="39" t="n">
        <v>2</v>
      </c>
      <c r="N541" s="39" t="n">
        <v>1</v>
      </c>
      <c r="O541" s="39" t="n">
        <v>0</v>
      </c>
      <c r="P541" s="39" t="n">
        <v>0</v>
      </c>
      <c r="Q541" s="39" t="n">
        <v>0</v>
      </c>
      <c r="R541" s="39" t="n">
        <v>0</v>
      </c>
      <c r="S541" s="39" t="n">
        <v>0</v>
      </c>
      <c r="T541" s="40" t="n">
        <f aca="false">IF(M541=0,0,N541/M541)</f>
        <v>0.5</v>
      </c>
      <c r="U541" s="40" t="n">
        <f aca="false">IF(M541=0,0,O541/M541)</f>
        <v>0</v>
      </c>
      <c r="V541" s="41" t="n">
        <f aca="false">IF(M541=0,0,P541/M541)</f>
        <v>0</v>
      </c>
      <c r="W541" s="40" t="n">
        <f aca="false">IF(L541=0,0,Q541/L541)</f>
        <v>0</v>
      </c>
    </row>
    <row r="542" customFormat="false" ht="15" hidden="false" customHeight="false" outlineLevel="0" collapsed="false">
      <c r="A542" s="37" t="s">
        <v>1840</v>
      </c>
      <c r="B542" s="38" t="n">
        <v>46073.7929282407</v>
      </c>
      <c r="C542" s="37" t="s">
        <v>1201</v>
      </c>
      <c r="D542" s="37" t="s">
        <v>1816</v>
      </c>
      <c r="E542" s="37" t="s">
        <v>1259</v>
      </c>
      <c r="F542" s="37" t="s">
        <v>127</v>
      </c>
      <c r="G542" s="37" t="s">
        <v>1817</v>
      </c>
      <c r="H542" s="37"/>
      <c r="I542" s="37"/>
      <c r="J542" s="37" t="s">
        <v>126</v>
      </c>
      <c r="K542" s="37" t="s">
        <v>1213</v>
      </c>
      <c r="L542" s="39" t="n">
        <v>141</v>
      </c>
      <c r="M542" s="39" t="n">
        <v>141</v>
      </c>
      <c r="N542" s="39" t="n">
        <v>71</v>
      </c>
      <c r="O542" s="39" t="n">
        <v>14</v>
      </c>
      <c r="P542" s="39" t="n">
        <v>0</v>
      </c>
      <c r="Q542" s="39" t="n">
        <v>0</v>
      </c>
      <c r="R542" s="39" t="n">
        <v>0</v>
      </c>
      <c r="S542" s="39" t="n">
        <v>0</v>
      </c>
      <c r="T542" s="40" t="n">
        <f aca="false">IF(M542=0,0,N542/M542)</f>
        <v>0.50354609929078</v>
      </c>
      <c r="U542" s="40" t="n">
        <f aca="false">IF(M542=0,0,O542/M542)</f>
        <v>0.099290780141844</v>
      </c>
      <c r="V542" s="41" t="n">
        <f aca="false">IF(M542=0,0,P542/M542)</f>
        <v>0</v>
      </c>
      <c r="W542" s="40" t="n">
        <f aca="false">IF(L542=0,0,Q542/L542)</f>
        <v>0</v>
      </c>
    </row>
    <row r="543" customFormat="false" ht="15" hidden="false" customHeight="false" outlineLevel="0" collapsed="false">
      <c r="A543" s="37" t="s">
        <v>1841</v>
      </c>
      <c r="B543" s="38" t="n">
        <v>46073.7451388889</v>
      </c>
      <c r="C543" s="37" t="s">
        <v>1201</v>
      </c>
      <c r="D543" s="37" t="s">
        <v>1339</v>
      </c>
      <c r="E543" s="37" t="s">
        <v>1728</v>
      </c>
      <c r="F543" s="37" t="s">
        <v>544</v>
      </c>
      <c r="G543" s="37" t="s">
        <v>603</v>
      </c>
      <c r="H543" s="37"/>
      <c r="I543" s="37"/>
      <c r="J543" s="37" t="s">
        <v>115</v>
      </c>
      <c r="K543" s="37" t="s">
        <v>1202</v>
      </c>
      <c r="L543" s="39" t="n">
        <v>88</v>
      </c>
      <c r="M543" s="39" t="n">
        <v>88</v>
      </c>
      <c r="N543" s="39" t="n">
        <v>6</v>
      </c>
      <c r="O543" s="39" t="n">
        <v>1</v>
      </c>
      <c r="P543" s="39" t="n">
        <v>2</v>
      </c>
      <c r="Q543" s="39" t="n">
        <v>0</v>
      </c>
      <c r="R543" s="39" t="n">
        <v>0</v>
      </c>
      <c r="S543" s="39" t="n">
        <v>0</v>
      </c>
      <c r="T543" s="40" t="n">
        <f aca="false">IF(M543=0,0,N543/M543)</f>
        <v>0.0681818181818182</v>
      </c>
      <c r="U543" s="40" t="n">
        <f aca="false">IF(M543=0,0,O543/M543)</f>
        <v>0.0113636363636364</v>
      </c>
      <c r="V543" s="41" t="n">
        <f aca="false">IF(M543=0,0,P543/M543)</f>
        <v>0.0227272727272727</v>
      </c>
      <c r="W543" s="40" t="n">
        <f aca="false">IF(L543=0,0,Q543/L543)</f>
        <v>0</v>
      </c>
    </row>
    <row r="544" customFormat="false" ht="15" hidden="false" customHeight="false" outlineLevel="0" collapsed="false">
      <c r="A544" s="37" t="s">
        <v>1842</v>
      </c>
      <c r="B544" s="38" t="n">
        <v>46073.2441782407</v>
      </c>
      <c r="C544" s="37" t="s">
        <v>1201</v>
      </c>
      <c r="D544" s="37" t="s">
        <v>1436</v>
      </c>
      <c r="E544" s="37" t="s">
        <v>1436</v>
      </c>
      <c r="F544" s="37" t="s">
        <v>629</v>
      </c>
      <c r="G544" s="37"/>
      <c r="H544" s="37"/>
      <c r="I544" s="37"/>
      <c r="J544" s="37" t="s">
        <v>144</v>
      </c>
      <c r="K544" s="37" t="s">
        <v>1202</v>
      </c>
      <c r="L544" s="39" t="n">
        <v>366</v>
      </c>
      <c r="M544" s="39" t="n">
        <v>364</v>
      </c>
      <c r="N544" s="39" t="n">
        <v>121</v>
      </c>
      <c r="O544" s="39" t="n">
        <v>18</v>
      </c>
      <c r="P544" s="39" t="n">
        <v>7</v>
      </c>
      <c r="Q544" s="39" t="n">
        <v>2</v>
      </c>
      <c r="R544" s="39" t="n">
        <v>1</v>
      </c>
      <c r="S544" s="39" t="n">
        <v>0</v>
      </c>
      <c r="T544" s="40" t="n">
        <f aca="false">IF(M544=0,0,N544/M544)</f>
        <v>0.332417582417582</v>
      </c>
      <c r="U544" s="40" t="n">
        <f aca="false">IF(M544=0,0,O544/M544)</f>
        <v>0.0494505494505495</v>
      </c>
      <c r="V544" s="41" t="n">
        <f aca="false">IF(M544=0,0,P544/M544)</f>
        <v>0.0192307692307692</v>
      </c>
      <c r="W544" s="40" t="n">
        <f aca="false">IF(L544=0,0,Q544/L544)</f>
        <v>0.00546448087431694</v>
      </c>
    </row>
    <row r="545" customFormat="false" ht="15" hidden="false" customHeight="false" outlineLevel="0" collapsed="false">
      <c r="A545" s="37" t="s">
        <v>1843</v>
      </c>
      <c r="B545" s="38" t="n">
        <v>46073.027962963</v>
      </c>
      <c r="C545" s="37" t="s">
        <v>1201</v>
      </c>
      <c r="D545" s="37" t="s">
        <v>1816</v>
      </c>
      <c r="E545" s="37" t="s">
        <v>178</v>
      </c>
      <c r="F545" s="37" t="s">
        <v>127</v>
      </c>
      <c r="G545" s="37" t="s">
        <v>1817</v>
      </c>
      <c r="H545" s="37"/>
      <c r="I545" s="37"/>
      <c r="J545" s="37" t="s">
        <v>126</v>
      </c>
      <c r="K545" s="37" t="s">
        <v>1213</v>
      </c>
      <c r="L545" s="39" t="n">
        <v>308</v>
      </c>
      <c r="M545" s="39" t="n">
        <v>308</v>
      </c>
      <c r="N545" s="39" t="n">
        <v>142</v>
      </c>
      <c r="O545" s="39" t="n">
        <v>25</v>
      </c>
      <c r="P545" s="39" t="n">
        <v>2</v>
      </c>
      <c r="Q545" s="39" t="n">
        <v>0</v>
      </c>
      <c r="R545" s="39" t="n">
        <v>0</v>
      </c>
      <c r="S545" s="39" t="n">
        <v>0</v>
      </c>
      <c r="T545" s="40" t="n">
        <f aca="false">IF(M545=0,0,N545/M545)</f>
        <v>0.461038961038961</v>
      </c>
      <c r="U545" s="40" t="n">
        <f aca="false">IF(M545=0,0,O545/M545)</f>
        <v>0.0811688311688312</v>
      </c>
      <c r="V545" s="41" t="n">
        <f aca="false">IF(M545=0,0,P545/M545)</f>
        <v>0.00649350649350649</v>
      </c>
      <c r="W545" s="40" t="n">
        <f aca="false">IF(L545=0,0,Q545/L545)</f>
        <v>0</v>
      </c>
    </row>
    <row r="546" customFormat="false" ht="15" hidden="false" customHeight="false" outlineLevel="0" collapsed="false">
      <c r="A546" s="37" t="s">
        <v>1844</v>
      </c>
      <c r="B546" s="38" t="n">
        <v>46072.3752893519</v>
      </c>
      <c r="C546" s="37" t="s">
        <v>1201</v>
      </c>
      <c r="D546" s="37" t="s">
        <v>1372</v>
      </c>
      <c r="E546" s="37" t="s">
        <v>1373</v>
      </c>
      <c r="F546" s="37" t="s">
        <v>537</v>
      </c>
      <c r="G546" s="37"/>
      <c r="H546" s="37"/>
      <c r="I546" s="37"/>
      <c r="J546" s="37" t="s">
        <v>296</v>
      </c>
      <c r="K546" s="37" t="s">
        <v>1202</v>
      </c>
      <c r="L546" s="39" t="n">
        <v>2</v>
      </c>
      <c r="M546" s="39" t="n">
        <v>2</v>
      </c>
      <c r="N546" s="39" t="n">
        <v>2</v>
      </c>
      <c r="O546" s="39" t="n">
        <v>0</v>
      </c>
      <c r="P546" s="39" t="n">
        <v>0</v>
      </c>
      <c r="Q546" s="39" t="n">
        <v>0</v>
      </c>
      <c r="R546" s="39" t="n">
        <v>0</v>
      </c>
      <c r="S546" s="39" t="n">
        <v>0</v>
      </c>
      <c r="T546" s="40" t="n">
        <f aca="false">IF(M546=0,0,N546/M546)</f>
        <v>1</v>
      </c>
      <c r="U546" s="40" t="n">
        <f aca="false">IF(M546=0,0,O546/M546)</f>
        <v>0</v>
      </c>
      <c r="V546" s="41" t="n">
        <f aca="false">IF(M546=0,0,P546/M546)</f>
        <v>0</v>
      </c>
      <c r="W546" s="40" t="n">
        <f aca="false">IF(L546=0,0,Q546/L546)</f>
        <v>0</v>
      </c>
    </row>
    <row r="547" customFormat="false" ht="15" hidden="false" customHeight="false" outlineLevel="0" collapsed="false">
      <c r="A547" s="37" t="s">
        <v>1845</v>
      </c>
      <c r="B547" s="38" t="n">
        <v>46072.0006481482</v>
      </c>
      <c r="C547" s="37" t="s">
        <v>1201</v>
      </c>
      <c r="D547" s="37" t="s">
        <v>1372</v>
      </c>
      <c r="E547" s="37" t="s">
        <v>1373</v>
      </c>
      <c r="F547" s="37" t="s">
        <v>537</v>
      </c>
      <c r="G547" s="37"/>
      <c r="H547" s="37"/>
      <c r="I547" s="37"/>
      <c r="J547" s="37" t="s">
        <v>296</v>
      </c>
      <c r="K547" s="37" t="s">
        <v>1202</v>
      </c>
      <c r="L547" s="39" t="n">
        <v>2</v>
      </c>
      <c r="M547" s="39" t="n">
        <v>2</v>
      </c>
      <c r="N547" s="39" t="n">
        <v>2</v>
      </c>
      <c r="O547" s="39" t="n">
        <v>0</v>
      </c>
      <c r="P547" s="39" t="n">
        <v>0</v>
      </c>
      <c r="Q547" s="39" t="n">
        <v>0</v>
      </c>
      <c r="R547" s="39" t="n">
        <v>0</v>
      </c>
      <c r="S547" s="39" t="n">
        <v>0</v>
      </c>
      <c r="T547" s="40" t="n">
        <f aca="false">IF(M547=0,0,N547/M547)</f>
        <v>1</v>
      </c>
      <c r="U547" s="40" t="n">
        <f aca="false">IF(M547=0,0,O547/M547)</f>
        <v>0</v>
      </c>
      <c r="V547" s="41" t="n">
        <f aca="false">IF(M547=0,0,P547/M547)</f>
        <v>0</v>
      </c>
      <c r="W547" s="40" t="n">
        <f aca="false">IF(L547=0,0,Q547/L547)</f>
        <v>0</v>
      </c>
    </row>
    <row r="548" customFormat="false" ht="15" hidden="false" customHeight="false" outlineLevel="0" collapsed="false">
      <c r="A548" s="37" t="s">
        <v>1846</v>
      </c>
      <c r="B548" s="38" t="n">
        <v>46071.7267476852</v>
      </c>
      <c r="C548" s="37" t="s">
        <v>1241</v>
      </c>
      <c r="D548" s="37" t="s">
        <v>1335</v>
      </c>
      <c r="E548" s="37" t="s">
        <v>1124</v>
      </c>
      <c r="F548" s="37" t="s">
        <v>152</v>
      </c>
      <c r="G548" s="37"/>
      <c r="H548" s="37"/>
      <c r="I548" s="37"/>
      <c r="J548" s="37" t="s">
        <v>151</v>
      </c>
      <c r="K548" s="37" t="s">
        <v>1202</v>
      </c>
      <c r="L548" s="39" t="n">
        <v>78</v>
      </c>
      <c r="M548" s="39" t="n">
        <v>78</v>
      </c>
      <c r="N548" s="39" t="n">
        <v>39</v>
      </c>
      <c r="O548" s="39" t="n">
        <v>0</v>
      </c>
      <c r="P548" s="39" t="n">
        <v>0</v>
      </c>
      <c r="Q548" s="39" t="n">
        <v>0</v>
      </c>
      <c r="R548" s="39" t="n">
        <v>0</v>
      </c>
      <c r="S548" s="39" t="n">
        <v>0</v>
      </c>
      <c r="T548" s="40" t="n">
        <f aca="false">IF(M548=0,0,N548/M548)</f>
        <v>0.5</v>
      </c>
      <c r="U548" s="40" t="n">
        <f aca="false">IF(M548=0,0,O548/M548)</f>
        <v>0</v>
      </c>
      <c r="V548" s="41" t="n">
        <f aca="false">IF(M548=0,0,P548/M548)</f>
        <v>0</v>
      </c>
      <c r="W548" s="40" t="n">
        <f aca="false">IF(L548=0,0,Q548/L548)</f>
        <v>0</v>
      </c>
    </row>
    <row r="549" customFormat="false" ht="15" hidden="false" customHeight="false" outlineLevel="0" collapsed="false">
      <c r="A549" s="37" t="s">
        <v>1847</v>
      </c>
      <c r="B549" s="38" t="n">
        <v>46071.7246527778</v>
      </c>
      <c r="C549" s="37" t="s">
        <v>1241</v>
      </c>
      <c r="D549" s="37" t="s">
        <v>152</v>
      </c>
      <c r="E549" s="37" t="s">
        <v>1124</v>
      </c>
      <c r="F549" s="37" t="s">
        <v>152</v>
      </c>
      <c r="G549" s="37"/>
      <c r="H549" s="37"/>
      <c r="I549" s="37"/>
      <c r="J549" s="37" t="s">
        <v>151</v>
      </c>
      <c r="K549" s="37" t="s">
        <v>1202</v>
      </c>
      <c r="L549" s="39" t="n">
        <v>23</v>
      </c>
      <c r="M549" s="39" t="n">
        <v>23</v>
      </c>
      <c r="N549" s="39" t="n">
        <v>12</v>
      </c>
      <c r="O549" s="39" t="n">
        <v>1</v>
      </c>
      <c r="P549" s="39" t="n">
        <v>0</v>
      </c>
      <c r="Q549" s="39" t="n">
        <v>0</v>
      </c>
      <c r="R549" s="39" t="n">
        <v>0</v>
      </c>
      <c r="S549" s="39" t="n">
        <v>0</v>
      </c>
      <c r="T549" s="40" t="n">
        <f aca="false">IF(M549=0,0,N549/M549)</f>
        <v>0.521739130434783</v>
      </c>
      <c r="U549" s="40" t="n">
        <f aca="false">IF(M549=0,0,O549/M549)</f>
        <v>0.0434782608695652</v>
      </c>
      <c r="V549" s="41" t="n">
        <f aca="false">IF(M549=0,0,P549/M549)</f>
        <v>0</v>
      </c>
      <c r="W549" s="40" t="n">
        <f aca="false">IF(L549=0,0,Q549/L549)</f>
        <v>0</v>
      </c>
    </row>
    <row r="550" customFormat="false" ht="15" hidden="false" customHeight="false" outlineLevel="0" collapsed="false">
      <c r="A550" s="37" t="s">
        <v>1848</v>
      </c>
      <c r="B550" s="38" t="n">
        <v>46071.6771875</v>
      </c>
      <c r="C550" s="37" t="s">
        <v>1201</v>
      </c>
      <c r="D550" s="37" t="s">
        <v>1372</v>
      </c>
      <c r="E550" s="37" t="s">
        <v>1373</v>
      </c>
      <c r="F550" s="37" t="s">
        <v>537</v>
      </c>
      <c r="G550" s="37"/>
      <c r="H550" s="37"/>
      <c r="I550" s="37"/>
      <c r="J550" s="37" t="s">
        <v>296</v>
      </c>
      <c r="K550" s="37" t="s">
        <v>1202</v>
      </c>
      <c r="L550" s="39" t="n">
        <v>2</v>
      </c>
      <c r="M550" s="39" t="n">
        <v>2</v>
      </c>
      <c r="N550" s="39" t="n">
        <v>2</v>
      </c>
      <c r="O550" s="39" t="n">
        <v>0</v>
      </c>
      <c r="P550" s="39" t="n">
        <v>0</v>
      </c>
      <c r="Q550" s="39" t="n">
        <v>0</v>
      </c>
      <c r="R550" s="39" t="n">
        <v>0</v>
      </c>
      <c r="S550" s="39" t="n">
        <v>0</v>
      </c>
      <c r="T550" s="40" t="n">
        <f aca="false">IF(M550=0,0,N550/M550)</f>
        <v>1</v>
      </c>
      <c r="U550" s="40" t="n">
        <f aca="false">IF(M550=0,0,O550/M550)</f>
        <v>0</v>
      </c>
      <c r="V550" s="41" t="n">
        <f aca="false">IF(M550=0,0,P550/M550)</f>
        <v>0</v>
      </c>
      <c r="W550" s="40" t="n">
        <f aca="false">IF(L550=0,0,Q550/L550)</f>
        <v>0</v>
      </c>
    </row>
    <row r="551" customFormat="false" ht="15" hidden="false" customHeight="false" outlineLevel="0" collapsed="false">
      <c r="A551" s="37" t="s">
        <v>1849</v>
      </c>
      <c r="B551" s="38" t="n">
        <v>46071.6609490741</v>
      </c>
      <c r="C551" s="37" t="s">
        <v>1201</v>
      </c>
      <c r="D551" s="37" t="s">
        <v>1339</v>
      </c>
      <c r="E551" s="37" t="s">
        <v>1728</v>
      </c>
      <c r="F551" s="37" t="s">
        <v>544</v>
      </c>
      <c r="G551" s="37" t="s">
        <v>603</v>
      </c>
      <c r="H551" s="37"/>
      <c r="I551" s="37"/>
      <c r="J551" s="37" t="s">
        <v>115</v>
      </c>
      <c r="K551" s="37" t="s">
        <v>1202</v>
      </c>
      <c r="L551" s="39" t="n">
        <v>100</v>
      </c>
      <c r="M551" s="39" t="n">
        <v>89</v>
      </c>
      <c r="N551" s="39" t="n">
        <v>8</v>
      </c>
      <c r="O551" s="39" t="n">
        <v>2</v>
      </c>
      <c r="P551" s="39" t="n">
        <v>2</v>
      </c>
      <c r="Q551" s="39" t="n">
        <v>11</v>
      </c>
      <c r="R551" s="39" t="n">
        <v>11</v>
      </c>
      <c r="S551" s="39" t="n">
        <v>0</v>
      </c>
      <c r="T551" s="40" t="n">
        <f aca="false">IF(M551=0,0,N551/M551)</f>
        <v>0.0898876404494382</v>
      </c>
      <c r="U551" s="40" t="n">
        <f aca="false">IF(M551=0,0,O551/M551)</f>
        <v>0.0224719101123596</v>
      </c>
      <c r="V551" s="41" t="n">
        <f aca="false">IF(M551=0,0,P551/M551)</f>
        <v>0.0224719101123596</v>
      </c>
      <c r="W551" s="40" t="n">
        <f aca="false">IF(L551=0,0,Q551/L551)</f>
        <v>0.11</v>
      </c>
    </row>
    <row r="552" customFormat="false" ht="15" hidden="false" customHeight="false" outlineLevel="0" collapsed="false">
      <c r="A552" s="37" t="s">
        <v>1850</v>
      </c>
      <c r="B552" s="38" t="n">
        <v>46071.5292939815</v>
      </c>
      <c r="C552" s="37" t="s">
        <v>1201</v>
      </c>
      <c r="D552" s="37" t="s">
        <v>198</v>
      </c>
      <c r="E552" s="37" t="s">
        <v>288</v>
      </c>
      <c r="F552" s="37" t="s">
        <v>548</v>
      </c>
      <c r="G552" s="37"/>
      <c r="H552" s="37"/>
      <c r="I552" s="37"/>
      <c r="J552" s="37" t="s">
        <v>191</v>
      </c>
      <c r="K552" s="37" t="s">
        <v>1213</v>
      </c>
      <c r="L552" s="39" t="n">
        <v>30</v>
      </c>
      <c r="M552" s="39" t="n">
        <v>28</v>
      </c>
      <c r="N552" s="39" t="n">
        <v>22</v>
      </c>
      <c r="O552" s="39" t="n">
        <v>12</v>
      </c>
      <c r="P552" s="39" t="n">
        <v>0</v>
      </c>
      <c r="Q552" s="39" t="n">
        <v>2</v>
      </c>
      <c r="R552" s="39" t="n">
        <v>2</v>
      </c>
      <c r="S552" s="39" t="n">
        <v>0</v>
      </c>
      <c r="T552" s="40" t="n">
        <f aca="false">IF(M552=0,0,N552/M552)</f>
        <v>0.785714285714286</v>
      </c>
      <c r="U552" s="40" t="n">
        <f aca="false">IF(M552=0,0,O552/M552)</f>
        <v>0.428571428571429</v>
      </c>
      <c r="V552" s="41" t="n">
        <f aca="false">IF(M552=0,0,P552/M552)</f>
        <v>0</v>
      </c>
      <c r="W552" s="40" t="n">
        <f aca="false">IF(L552=0,0,Q552/L552)</f>
        <v>0.0666666666666667</v>
      </c>
    </row>
    <row r="553" customFormat="false" ht="15" hidden="false" customHeight="false" outlineLevel="0" collapsed="false">
      <c r="A553" s="37" t="s">
        <v>1851</v>
      </c>
      <c r="B553" s="38" t="n">
        <v>46071.4364930556</v>
      </c>
      <c r="C553" s="37" t="s">
        <v>1201</v>
      </c>
      <c r="D553" s="37" t="s">
        <v>1211</v>
      </c>
      <c r="E553" s="37" t="s">
        <v>1212</v>
      </c>
      <c r="F553" s="37" t="s">
        <v>544</v>
      </c>
      <c r="G553" s="37"/>
      <c r="H553" s="37"/>
      <c r="I553" s="37"/>
      <c r="J553" s="37" t="s">
        <v>100</v>
      </c>
      <c r="K553" s="37" t="s">
        <v>1213</v>
      </c>
      <c r="L553" s="39" t="n">
        <v>128</v>
      </c>
      <c r="M553" s="39" t="n">
        <v>128</v>
      </c>
      <c r="N553" s="39" t="n">
        <v>81</v>
      </c>
      <c r="O553" s="39" t="n">
        <v>2</v>
      </c>
      <c r="P553" s="39" t="n">
        <v>0</v>
      </c>
      <c r="Q553" s="39" t="n">
        <v>0</v>
      </c>
      <c r="R553" s="39" t="n">
        <v>0</v>
      </c>
      <c r="S553" s="39" t="n">
        <v>0</v>
      </c>
      <c r="T553" s="40" t="n">
        <f aca="false">IF(M553=0,0,N553/M553)</f>
        <v>0.6328125</v>
      </c>
      <c r="U553" s="40" t="n">
        <f aca="false">IF(M553=0,0,O553/M553)</f>
        <v>0.015625</v>
      </c>
      <c r="V553" s="41" t="n">
        <f aca="false">IF(M553=0,0,P553/M553)</f>
        <v>0</v>
      </c>
      <c r="W553" s="40" t="n">
        <f aca="false">IF(L553=0,0,Q553/L553)</f>
        <v>0</v>
      </c>
    </row>
    <row r="554" customFormat="false" ht="15" hidden="false" customHeight="false" outlineLevel="0" collapsed="false">
      <c r="A554" s="37" t="s">
        <v>1852</v>
      </c>
      <c r="B554" s="38" t="n">
        <v>46071.3964814815</v>
      </c>
      <c r="C554" s="37" t="s">
        <v>1252</v>
      </c>
      <c r="D554" s="37" t="s">
        <v>1816</v>
      </c>
      <c r="E554" s="37" t="s">
        <v>1709</v>
      </c>
      <c r="F554" s="37" t="s">
        <v>555</v>
      </c>
      <c r="G554" s="37" t="s">
        <v>1817</v>
      </c>
      <c r="H554" s="37"/>
      <c r="I554" s="37"/>
      <c r="J554" s="37" t="s">
        <v>126</v>
      </c>
      <c r="K554" s="37" t="s">
        <v>1213</v>
      </c>
      <c r="L554" s="39" t="n">
        <v>6012</v>
      </c>
      <c r="M554" s="39" t="n">
        <v>5893</v>
      </c>
      <c r="N554" s="39" t="n">
        <v>2276</v>
      </c>
      <c r="O554" s="39" t="n">
        <v>236</v>
      </c>
      <c r="P554" s="39" t="n">
        <v>64</v>
      </c>
      <c r="Q554" s="39" t="n">
        <v>119</v>
      </c>
      <c r="R554" s="39" t="n">
        <v>79</v>
      </c>
      <c r="S554" s="39" t="n">
        <v>0</v>
      </c>
      <c r="T554" s="40" t="n">
        <f aca="false">IF(M554=0,0,N554/M554)</f>
        <v>0.386220940098422</v>
      </c>
      <c r="U554" s="40" t="n">
        <f aca="false">IF(M554=0,0,O554/M554)</f>
        <v>0.0400475139996606</v>
      </c>
      <c r="V554" s="41" t="n">
        <f aca="false">IF(M554=0,0,P554/M554)</f>
        <v>0.010860342779569</v>
      </c>
      <c r="W554" s="40" t="n">
        <f aca="false">IF(L554=0,0,Q554/L554)</f>
        <v>0.01979374584165</v>
      </c>
    </row>
    <row r="555" customFormat="false" ht="15" hidden="false" customHeight="false" outlineLevel="0" collapsed="false">
      <c r="A555" s="37" t="s">
        <v>1853</v>
      </c>
      <c r="B555" s="38" t="n">
        <v>46071.2664930556</v>
      </c>
      <c r="C555" s="37" t="s">
        <v>1201</v>
      </c>
      <c r="D555" s="37" t="s">
        <v>1211</v>
      </c>
      <c r="E555" s="37" t="s">
        <v>1212</v>
      </c>
      <c r="F555" s="37" t="s">
        <v>544</v>
      </c>
      <c r="G555" s="37"/>
      <c r="H555" s="37"/>
      <c r="I555" s="37"/>
      <c r="J555" s="37" t="s">
        <v>100</v>
      </c>
      <c r="K555" s="37" t="s">
        <v>1213</v>
      </c>
      <c r="L555" s="39" t="n">
        <v>129</v>
      </c>
      <c r="M555" s="39" t="n">
        <v>129</v>
      </c>
      <c r="N555" s="39" t="n">
        <v>74</v>
      </c>
      <c r="O555" s="39" t="n">
        <v>0</v>
      </c>
      <c r="P555" s="39" t="n">
        <v>0</v>
      </c>
      <c r="Q555" s="39" t="n">
        <v>0</v>
      </c>
      <c r="R555" s="39" t="n">
        <v>0</v>
      </c>
      <c r="S555" s="39" t="n">
        <v>0</v>
      </c>
      <c r="T555" s="40" t="n">
        <f aca="false">IF(M555=0,0,N555/M555)</f>
        <v>0.573643410852713</v>
      </c>
      <c r="U555" s="40" t="n">
        <f aca="false">IF(M555=0,0,O555/M555)</f>
        <v>0</v>
      </c>
      <c r="V555" s="41" t="n">
        <f aca="false">IF(M555=0,0,P555/M555)</f>
        <v>0</v>
      </c>
      <c r="W555" s="40" t="n">
        <f aca="false">IF(L555=0,0,Q555/L555)</f>
        <v>0</v>
      </c>
    </row>
    <row r="556" customFormat="false" ht="15" hidden="false" customHeight="false" outlineLevel="0" collapsed="false">
      <c r="A556" s="37" t="s">
        <v>1854</v>
      </c>
      <c r="B556" s="38" t="n">
        <v>46071.2609490741</v>
      </c>
      <c r="C556" s="37" t="s">
        <v>1201</v>
      </c>
      <c r="D556" s="37" t="s">
        <v>1211</v>
      </c>
      <c r="E556" s="37" t="s">
        <v>1212</v>
      </c>
      <c r="F556" s="37" t="s">
        <v>544</v>
      </c>
      <c r="G556" s="37"/>
      <c r="H556" s="37"/>
      <c r="I556" s="37"/>
      <c r="J556" s="37" t="s">
        <v>100</v>
      </c>
      <c r="K556" s="37" t="s">
        <v>1213</v>
      </c>
      <c r="L556" s="39" t="n">
        <v>131</v>
      </c>
      <c r="M556" s="39" t="n">
        <v>131</v>
      </c>
      <c r="N556" s="39" t="n">
        <v>78</v>
      </c>
      <c r="O556" s="39" t="n">
        <v>0</v>
      </c>
      <c r="P556" s="39" t="n">
        <v>0</v>
      </c>
      <c r="Q556" s="39" t="n">
        <v>0</v>
      </c>
      <c r="R556" s="39" t="n">
        <v>0</v>
      </c>
      <c r="S556" s="39" t="n">
        <v>0</v>
      </c>
      <c r="T556" s="40" t="n">
        <f aca="false">IF(M556=0,0,N556/M556)</f>
        <v>0.595419847328244</v>
      </c>
      <c r="U556" s="40" t="n">
        <f aca="false">IF(M556=0,0,O556/M556)</f>
        <v>0</v>
      </c>
      <c r="V556" s="41" t="n">
        <f aca="false">IF(M556=0,0,P556/M556)</f>
        <v>0</v>
      </c>
      <c r="W556" s="40" t="n">
        <f aca="false">IF(L556=0,0,Q556/L556)</f>
        <v>0</v>
      </c>
    </row>
    <row r="557" customFormat="false" ht="15" hidden="false" customHeight="false" outlineLevel="0" collapsed="false">
      <c r="A557" s="37" t="s">
        <v>1855</v>
      </c>
      <c r="B557" s="38" t="n">
        <v>46070.9899421296</v>
      </c>
      <c r="C557" s="37" t="s">
        <v>1201</v>
      </c>
      <c r="D557" s="37" t="s">
        <v>1372</v>
      </c>
      <c r="E557" s="37" t="s">
        <v>1373</v>
      </c>
      <c r="F557" s="37" t="s">
        <v>537</v>
      </c>
      <c r="G557" s="37"/>
      <c r="H557" s="37"/>
      <c r="I557" s="37"/>
      <c r="J557" s="37" t="s">
        <v>296</v>
      </c>
      <c r="K557" s="37" t="s">
        <v>1202</v>
      </c>
      <c r="L557" s="39" t="n">
        <v>2</v>
      </c>
      <c r="M557" s="39" t="n">
        <v>2</v>
      </c>
      <c r="N557" s="39" t="n">
        <v>2</v>
      </c>
      <c r="O557" s="39" t="n">
        <v>0</v>
      </c>
      <c r="P557" s="39" t="n">
        <v>0</v>
      </c>
      <c r="Q557" s="39" t="n">
        <v>0</v>
      </c>
      <c r="R557" s="39" t="n">
        <v>0</v>
      </c>
      <c r="S557" s="39" t="n">
        <v>0</v>
      </c>
      <c r="T557" s="40" t="n">
        <f aca="false">IF(M557=0,0,N557/M557)</f>
        <v>1</v>
      </c>
      <c r="U557" s="40" t="n">
        <f aca="false">IF(M557=0,0,O557/M557)</f>
        <v>0</v>
      </c>
      <c r="V557" s="41" t="n">
        <f aca="false">IF(M557=0,0,P557/M557)</f>
        <v>0</v>
      </c>
      <c r="W557" s="40" t="n">
        <f aca="false">IF(L557=0,0,Q557/L557)</f>
        <v>0</v>
      </c>
    </row>
    <row r="558" customFormat="false" ht="15" hidden="false" customHeight="false" outlineLevel="0" collapsed="false">
      <c r="A558" s="37" t="s">
        <v>1856</v>
      </c>
      <c r="B558" s="38" t="n">
        <v>46070.8752893519</v>
      </c>
      <c r="C558" s="37" t="s">
        <v>1246</v>
      </c>
      <c r="D558" s="37" t="s">
        <v>152</v>
      </c>
      <c r="E558" s="37" t="s">
        <v>1344</v>
      </c>
      <c r="F558" s="37" t="s">
        <v>152</v>
      </c>
      <c r="G558" s="37"/>
      <c r="H558" s="37"/>
      <c r="I558" s="37" t="s">
        <v>150</v>
      </c>
      <c r="J558" s="37" t="s">
        <v>151</v>
      </c>
      <c r="K558" s="37" t="s">
        <v>1202</v>
      </c>
      <c r="L558" s="39" t="n">
        <v>4368</v>
      </c>
      <c r="M558" s="39" t="n">
        <v>4355</v>
      </c>
      <c r="N558" s="39" t="n">
        <v>476</v>
      </c>
      <c r="O558" s="39" t="n">
        <v>109</v>
      </c>
      <c r="P558" s="39" t="n">
        <v>7</v>
      </c>
      <c r="Q558" s="39" t="n">
        <v>13</v>
      </c>
      <c r="R558" s="39" t="n">
        <v>11</v>
      </c>
      <c r="S558" s="39" t="n">
        <v>0</v>
      </c>
      <c r="T558" s="40" t="n">
        <f aca="false">IF(M558=0,0,N558/M558)</f>
        <v>0.109299655568312</v>
      </c>
      <c r="U558" s="40" t="n">
        <f aca="false">IF(M558=0,0,O558/M558)</f>
        <v>0.0250287026406429</v>
      </c>
      <c r="V558" s="41" t="n">
        <f aca="false">IF(M558=0,0,P558/M558)</f>
        <v>0.00160734787600459</v>
      </c>
      <c r="W558" s="40" t="n">
        <f aca="false">IF(L558=0,0,Q558/L558)</f>
        <v>0.00297619047619048</v>
      </c>
    </row>
    <row r="559" customFormat="false" ht="15" hidden="false" customHeight="false" outlineLevel="0" collapsed="false">
      <c r="A559" s="37" t="s">
        <v>1857</v>
      </c>
      <c r="B559" s="38" t="n">
        <v>46070.1279050926</v>
      </c>
      <c r="C559" s="37" t="s">
        <v>1241</v>
      </c>
      <c r="D559" s="37" t="s">
        <v>1335</v>
      </c>
      <c r="E559" s="37" t="s">
        <v>1204</v>
      </c>
      <c r="F559" s="37" t="s">
        <v>152</v>
      </c>
      <c r="G559" s="37"/>
      <c r="H559" s="37"/>
      <c r="I559" s="37"/>
      <c r="J559" s="37" t="s">
        <v>151</v>
      </c>
      <c r="K559" s="37" t="s">
        <v>1202</v>
      </c>
      <c r="L559" s="39" t="n">
        <v>0</v>
      </c>
      <c r="M559" s="39" t="n">
        <v>0</v>
      </c>
      <c r="N559" s="39" t="n">
        <v>0</v>
      </c>
      <c r="O559" s="39" t="n">
        <v>0</v>
      </c>
      <c r="P559" s="39" t="n">
        <v>0</v>
      </c>
      <c r="Q559" s="39" t="n">
        <v>0</v>
      </c>
      <c r="R559" s="39" t="n">
        <v>0</v>
      </c>
      <c r="S559" s="39" t="n">
        <v>0</v>
      </c>
      <c r="T559" s="40" t="n">
        <f aca="false">IF(M559=0,0,N559/M559)</f>
        <v>0</v>
      </c>
      <c r="U559" s="40" t="n">
        <f aca="false">IF(M559=0,0,O559/M559)</f>
        <v>0</v>
      </c>
      <c r="V559" s="41" t="n">
        <f aca="false">IF(M559=0,0,P559/M559)</f>
        <v>0</v>
      </c>
      <c r="W559" s="40" t="n">
        <f aca="false">IF(L559=0,0,Q559/L559)</f>
        <v>0</v>
      </c>
    </row>
    <row r="560" customFormat="false" ht="15" hidden="false" customHeight="false" outlineLevel="0" collapsed="false">
      <c r="A560" s="37" t="s">
        <v>1858</v>
      </c>
      <c r="B560" s="38" t="n">
        <v>46070.1262615741</v>
      </c>
      <c r="C560" s="37" t="s">
        <v>1241</v>
      </c>
      <c r="D560" s="37" t="s">
        <v>152</v>
      </c>
      <c r="E560" s="37" t="s">
        <v>1204</v>
      </c>
      <c r="F560" s="37" t="s">
        <v>152</v>
      </c>
      <c r="G560" s="37"/>
      <c r="H560" s="37"/>
      <c r="I560" s="37"/>
      <c r="J560" s="37" t="s">
        <v>151</v>
      </c>
      <c r="K560" s="37" t="s">
        <v>1202</v>
      </c>
      <c r="L560" s="39" t="n">
        <v>0</v>
      </c>
      <c r="M560" s="39" t="n">
        <v>0</v>
      </c>
      <c r="N560" s="39" t="n">
        <v>0</v>
      </c>
      <c r="O560" s="39" t="n">
        <v>0</v>
      </c>
      <c r="P560" s="39" t="n">
        <v>0</v>
      </c>
      <c r="Q560" s="39" t="n">
        <v>0</v>
      </c>
      <c r="R560" s="39" t="n">
        <v>0</v>
      </c>
      <c r="S560" s="39" t="n">
        <v>0</v>
      </c>
      <c r="T560" s="40" t="n">
        <f aca="false">IF(M560=0,0,N560/M560)</f>
        <v>0</v>
      </c>
      <c r="U560" s="40" t="n">
        <f aca="false">IF(M560=0,0,O560/M560)</f>
        <v>0</v>
      </c>
      <c r="V560" s="41" t="n">
        <f aca="false">IF(M560=0,0,P560/M560)</f>
        <v>0</v>
      </c>
      <c r="W560" s="40" t="n">
        <f aca="false">IF(L560=0,0,Q560/L560)</f>
        <v>0</v>
      </c>
    </row>
    <row r="561" customFormat="false" ht="15" hidden="false" customHeight="false" outlineLevel="0" collapsed="false">
      <c r="A561" s="37" t="s">
        <v>1859</v>
      </c>
      <c r="B561" s="38" t="n">
        <v>46070.062662037</v>
      </c>
      <c r="C561" s="37" t="s">
        <v>1201</v>
      </c>
      <c r="D561" s="37" t="s">
        <v>251</v>
      </c>
      <c r="E561" s="37" t="s">
        <v>252</v>
      </c>
      <c r="F561" s="37" t="s">
        <v>544</v>
      </c>
      <c r="G561" s="37"/>
      <c r="H561" s="37"/>
      <c r="I561" s="37"/>
      <c r="J561" s="37" t="s">
        <v>109</v>
      </c>
      <c r="K561" s="37" t="s">
        <v>1202</v>
      </c>
      <c r="L561" s="39" t="n">
        <v>36</v>
      </c>
      <c r="M561" s="39" t="n">
        <v>35</v>
      </c>
      <c r="N561" s="39" t="n">
        <v>19</v>
      </c>
      <c r="O561" s="39" t="n">
        <v>4</v>
      </c>
      <c r="P561" s="39" t="n">
        <v>0</v>
      </c>
      <c r="Q561" s="39" t="n">
        <v>1</v>
      </c>
      <c r="R561" s="39" t="n">
        <v>1</v>
      </c>
      <c r="S561" s="39" t="n">
        <v>0</v>
      </c>
      <c r="T561" s="40" t="n">
        <f aca="false">IF(M561=0,0,N561/M561)</f>
        <v>0.542857142857143</v>
      </c>
      <c r="U561" s="40" t="n">
        <f aca="false">IF(M561=0,0,O561/M561)</f>
        <v>0.114285714285714</v>
      </c>
      <c r="V561" s="41" t="n">
        <f aca="false">IF(M561=0,0,P561/M561)</f>
        <v>0</v>
      </c>
      <c r="W561" s="40" t="n">
        <f aca="false">IF(L561=0,0,Q561/L561)</f>
        <v>0.0277777777777778</v>
      </c>
    </row>
    <row r="562" customFormat="false" ht="15" hidden="false" customHeight="false" outlineLevel="0" collapsed="false">
      <c r="A562" s="37" t="s">
        <v>1860</v>
      </c>
      <c r="B562" s="38" t="n">
        <v>46069.3541782407</v>
      </c>
      <c r="C562" s="37" t="s">
        <v>1201</v>
      </c>
      <c r="D562" s="37" t="s">
        <v>1372</v>
      </c>
      <c r="E562" s="37" t="s">
        <v>1373</v>
      </c>
      <c r="F562" s="37" t="s">
        <v>537</v>
      </c>
      <c r="G562" s="37"/>
      <c r="H562" s="37"/>
      <c r="I562" s="37"/>
      <c r="J562" s="37" t="s">
        <v>296</v>
      </c>
      <c r="K562" s="37" t="s">
        <v>1202</v>
      </c>
      <c r="L562" s="39" t="n">
        <v>2</v>
      </c>
      <c r="M562" s="39" t="n">
        <v>2</v>
      </c>
      <c r="N562" s="39" t="n">
        <v>2</v>
      </c>
      <c r="O562" s="39" t="n">
        <v>0</v>
      </c>
      <c r="P562" s="39" t="n">
        <v>0</v>
      </c>
      <c r="Q562" s="39" t="n">
        <v>0</v>
      </c>
      <c r="R562" s="39" t="n">
        <v>0</v>
      </c>
      <c r="S562" s="39" t="n">
        <v>0</v>
      </c>
      <c r="T562" s="40" t="n">
        <f aca="false">IF(M562=0,0,N562/M562)</f>
        <v>1</v>
      </c>
      <c r="U562" s="40" t="n">
        <f aca="false">IF(M562=0,0,O562/M562)</f>
        <v>0</v>
      </c>
      <c r="V562" s="41" t="n">
        <f aca="false">IF(M562=0,0,P562/M562)</f>
        <v>0</v>
      </c>
      <c r="W562" s="40" t="n">
        <f aca="false">IF(L562=0,0,Q562/L562)</f>
        <v>0</v>
      </c>
    </row>
    <row r="563" customFormat="false" ht="15" hidden="false" customHeight="false" outlineLevel="0" collapsed="false">
      <c r="A563" s="37" t="s">
        <v>1861</v>
      </c>
      <c r="B563" s="38" t="n">
        <v>46069.167349537</v>
      </c>
      <c r="C563" s="37" t="s">
        <v>1201</v>
      </c>
      <c r="D563" s="37" t="s">
        <v>1862</v>
      </c>
      <c r="E563" s="37" t="s">
        <v>1219</v>
      </c>
      <c r="F563" s="37" t="s">
        <v>555</v>
      </c>
      <c r="G563" s="37"/>
      <c r="H563" s="37"/>
      <c r="I563" s="37"/>
      <c r="J563" s="37" t="s">
        <v>375</v>
      </c>
      <c r="K563" s="37" t="s">
        <v>1202</v>
      </c>
      <c r="L563" s="39" t="n">
        <v>105</v>
      </c>
      <c r="M563" s="39" t="n">
        <v>105</v>
      </c>
      <c r="N563" s="39" t="n">
        <v>65</v>
      </c>
      <c r="O563" s="39" t="n">
        <v>17</v>
      </c>
      <c r="P563" s="39" t="n">
        <v>1</v>
      </c>
      <c r="Q563" s="39" t="n">
        <v>0</v>
      </c>
      <c r="R563" s="39" t="n">
        <v>0</v>
      </c>
      <c r="S563" s="39" t="n">
        <v>0</v>
      </c>
      <c r="T563" s="40" t="n">
        <f aca="false">IF(M563=0,0,N563/M563)</f>
        <v>0.619047619047619</v>
      </c>
      <c r="U563" s="40" t="n">
        <f aca="false">IF(M563=0,0,O563/M563)</f>
        <v>0.161904761904762</v>
      </c>
      <c r="V563" s="41" t="n">
        <f aca="false">IF(M563=0,0,P563/M563)</f>
        <v>0.00952380952380953</v>
      </c>
      <c r="W563" s="40" t="n">
        <f aca="false">IF(L563=0,0,Q563/L563)</f>
        <v>0</v>
      </c>
    </row>
    <row r="564" customFormat="false" ht="15" hidden="false" customHeight="false" outlineLevel="0" collapsed="false">
      <c r="A564" s="37" t="s">
        <v>1863</v>
      </c>
      <c r="B564" s="38" t="n">
        <v>46069.1162384259</v>
      </c>
      <c r="C564" s="37" t="s">
        <v>1201</v>
      </c>
      <c r="D564" s="37" t="s">
        <v>122</v>
      </c>
      <c r="E564" s="37" t="s">
        <v>1255</v>
      </c>
      <c r="F564" s="37" t="s">
        <v>555</v>
      </c>
      <c r="G564" s="37" t="s">
        <v>1256</v>
      </c>
      <c r="H564" s="37"/>
      <c r="I564" s="37" t="s">
        <v>120</v>
      </c>
      <c r="J564" s="37" t="s">
        <v>121</v>
      </c>
      <c r="K564" s="37" t="s">
        <v>1202</v>
      </c>
      <c r="L564" s="39" t="n">
        <v>1424</v>
      </c>
      <c r="M564" s="39" t="n">
        <v>1416</v>
      </c>
      <c r="N564" s="39" t="n">
        <v>297</v>
      </c>
      <c r="O564" s="39" t="n">
        <v>19</v>
      </c>
      <c r="P564" s="39" t="n">
        <v>7</v>
      </c>
      <c r="Q564" s="39" t="n">
        <v>8</v>
      </c>
      <c r="R564" s="39" t="n">
        <v>6</v>
      </c>
      <c r="S564" s="39" t="n">
        <v>0</v>
      </c>
      <c r="T564" s="40" t="n">
        <f aca="false">IF(M564=0,0,N564/M564)</f>
        <v>0.209745762711864</v>
      </c>
      <c r="U564" s="40" t="n">
        <f aca="false">IF(M564=0,0,O564/M564)</f>
        <v>0.0134180790960452</v>
      </c>
      <c r="V564" s="41" t="n">
        <f aca="false">IF(M564=0,0,P564/M564)</f>
        <v>0.00494350282485876</v>
      </c>
      <c r="W564" s="40" t="n">
        <f aca="false">IF(L564=0,0,Q564/L564)</f>
        <v>0.00561797752808989</v>
      </c>
    </row>
    <row r="565" customFormat="false" ht="15" hidden="false" customHeight="false" outlineLevel="0" collapsed="false">
      <c r="A565" s="37" t="s">
        <v>1864</v>
      </c>
      <c r="B565" s="38" t="n">
        <v>46068.9793981482</v>
      </c>
      <c r="C565" s="37" t="s">
        <v>1201</v>
      </c>
      <c r="D565" s="37" t="s">
        <v>1372</v>
      </c>
      <c r="E565" s="37" t="s">
        <v>1373</v>
      </c>
      <c r="F565" s="37" t="s">
        <v>537</v>
      </c>
      <c r="G565" s="37"/>
      <c r="H565" s="37"/>
      <c r="I565" s="37"/>
      <c r="J565" s="37" t="s">
        <v>296</v>
      </c>
      <c r="K565" s="37" t="s">
        <v>1202</v>
      </c>
      <c r="L565" s="39" t="n">
        <v>2</v>
      </c>
      <c r="M565" s="39" t="n">
        <v>2</v>
      </c>
      <c r="N565" s="39" t="n">
        <v>1</v>
      </c>
      <c r="O565" s="39" t="n">
        <v>0</v>
      </c>
      <c r="P565" s="39" t="n">
        <v>0</v>
      </c>
      <c r="Q565" s="39" t="n">
        <v>0</v>
      </c>
      <c r="R565" s="39" t="n">
        <v>0</v>
      </c>
      <c r="S565" s="39" t="n">
        <v>0</v>
      </c>
      <c r="T565" s="40" t="n">
        <f aca="false">IF(M565=0,0,N565/M565)</f>
        <v>0.5</v>
      </c>
      <c r="U565" s="40" t="n">
        <f aca="false">IF(M565=0,0,O565/M565)</f>
        <v>0</v>
      </c>
      <c r="V565" s="41" t="n">
        <f aca="false">IF(M565=0,0,P565/M565)</f>
        <v>0</v>
      </c>
      <c r="W565" s="40" t="n">
        <f aca="false">IF(L565=0,0,Q565/L565)</f>
        <v>0</v>
      </c>
    </row>
    <row r="566" customFormat="false" ht="15" hidden="false" customHeight="false" outlineLevel="0" collapsed="false">
      <c r="A566" s="37" t="s">
        <v>1865</v>
      </c>
      <c r="B566" s="38" t="n">
        <v>46068.2782638889</v>
      </c>
      <c r="C566" s="37" t="s">
        <v>1201</v>
      </c>
      <c r="D566" s="37" t="s">
        <v>1372</v>
      </c>
      <c r="E566" s="37" t="s">
        <v>1373</v>
      </c>
      <c r="F566" s="37" t="s">
        <v>537</v>
      </c>
      <c r="G566" s="37"/>
      <c r="H566" s="37"/>
      <c r="I566" s="37"/>
      <c r="J566" s="37" t="s">
        <v>296</v>
      </c>
      <c r="K566" s="37" t="s">
        <v>1202</v>
      </c>
      <c r="L566" s="39" t="n">
        <v>2</v>
      </c>
      <c r="M566" s="39" t="n">
        <v>2</v>
      </c>
      <c r="N566" s="39" t="n">
        <v>2</v>
      </c>
      <c r="O566" s="39" t="n">
        <v>0</v>
      </c>
      <c r="P566" s="39" t="n">
        <v>0</v>
      </c>
      <c r="Q566" s="39" t="n">
        <v>0</v>
      </c>
      <c r="R566" s="39" t="n">
        <v>0</v>
      </c>
      <c r="S566" s="39" t="n">
        <v>0</v>
      </c>
      <c r="T566" s="40" t="n">
        <f aca="false">IF(M566=0,0,N566/M566)</f>
        <v>1</v>
      </c>
      <c r="U566" s="40" t="n">
        <f aca="false">IF(M566=0,0,O566/M566)</f>
        <v>0</v>
      </c>
      <c r="V566" s="41" t="n">
        <f aca="false">IF(M566=0,0,P566/M566)</f>
        <v>0</v>
      </c>
      <c r="W566" s="40" t="n">
        <f aca="false">IF(L566=0,0,Q566/L566)</f>
        <v>0</v>
      </c>
    </row>
    <row r="567" customFormat="false" ht="15" hidden="false" customHeight="false" outlineLevel="0" collapsed="false">
      <c r="A567" s="37" t="s">
        <v>1866</v>
      </c>
      <c r="B567" s="38" t="n">
        <v>46067.3962847222</v>
      </c>
      <c r="C567" s="37" t="s">
        <v>1201</v>
      </c>
      <c r="D567" s="37" t="s">
        <v>1372</v>
      </c>
      <c r="E567" s="37" t="s">
        <v>1373</v>
      </c>
      <c r="F567" s="37" t="s">
        <v>537</v>
      </c>
      <c r="G567" s="37"/>
      <c r="H567" s="37"/>
      <c r="I567" s="37"/>
      <c r="J567" s="37" t="s">
        <v>296</v>
      </c>
      <c r="K567" s="37" t="s">
        <v>1202</v>
      </c>
      <c r="L567" s="39" t="n">
        <v>2</v>
      </c>
      <c r="M567" s="39" t="n">
        <v>2</v>
      </c>
      <c r="N567" s="39" t="n">
        <v>1</v>
      </c>
      <c r="O567" s="39" t="n">
        <v>0</v>
      </c>
      <c r="P567" s="39" t="n">
        <v>0</v>
      </c>
      <c r="Q567" s="39" t="n">
        <v>0</v>
      </c>
      <c r="R567" s="39" t="n">
        <v>0</v>
      </c>
      <c r="S567" s="39" t="n">
        <v>0</v>
      </c>
      <c r="T567" s="40" t="n">
        <f aca="false">IF(M567=0,0,N567/M567)</f>
        <v>0.5</v>
      </c>
      <c r="U567" s="40" t="n">
        <f aca="false">IF(M567=0,0,O567/M567)</f>
        <v>0</v>
      </c>
      <c r="V567" s="41" t="n">
        <f aca="false">IF(M567=0,0,P567/M567)</f>
        <v>0</v>
      </c>
      <c r="W567" s="40" t="n">
        <f aca="false">IF(L567=0,0,Q567/L567)</f>
        <v>0</v>
      </c>
    </row>
    <row r="568" customFormat="false" ht="15" hidden="false" customHeight="false" outlineLevel="0" collapsed="false">
      <c r="A568" s="37" t="s">
        <v>1867</v>
      </c>
      <c r="B568" s="38" t="n">
        <v>46067.3959953704</v>
      </c>
      <c r="C568" s="37" t="s">
        <v>1201</v>
      </c>
      <c r="D568" s="37" t="s">
        <v>1372</v>
      </c>
      <c r="E568" s="37" t="s">
        <v>1373</v>
      </c>
      <c r="F568" s="37" t="s">
        <v>537</v>
      </c>
      <c r="G568" s="37"/>
      <c r="H568" s="37"/>
      <c r="I568" s="37"/>
      <c r="J568" s="37" t="s">
        <v>296</v>
      </c>
      <c r="K568" s="37" t="s">
        <v>1202</v>
      </c>
      <c r="L568" s="39" t="n">
        <v>2</v>
      </c>
      <c r="M568" s="39" t="n">
        <v>2</v>
      </c>
      <c r="N568" s="39" t="n">
        <v>2</v>
      </c>
      <c r="O568" s="39" t="n">
        <v>0</v>
      </c>
      <c r="P568" s="39" t="n">
        <v>0</v>
      </c>
      <c r="Q568" s="39" t="n">
        <v>0</v>
      </c>
      <c r="R568" s="39" t="n">
        <v>0</v>
      </c>
      <c r="S568" s="39" t="n">
        <v>0</v>
      </c>
      <c r="T568" s="40" t="n">
        <f aca="false">IF(M568=0,0,N568/M568)</f>
        <v>1</v>
      </c>
      <c r="U568" s="40" t="n">
        <f aca="false">IF(M568=0,0,O568/M568)</f>
        <v>0</v>
      </c>
      <c r="V568" s="41" t="n">
        <f aca="false">IF(M568=0,0,P568/M568)</f>
        <v>0</v>
      </c>
      <c r="W568" s="40" t="n">
        <f aca="false">IF(L568=0,0,Q568/L568)</f>
        <v>0</v>
      </c>
    </row>
    <row r="569" customFormat="false" ht="15" hidden="false" customHeight="false" outlineLevel="0" collapsed="false">
      <c r="A569" s="37" t="s">
        <v>1868</v>
      </c>
      <c r="B569" s="38" t="n">
        <v>46067.1147800926</v>
      </c>
      <c r="C569" s="37" t="s">
        <v>1201</v>
      </c>
      <c r="D569" s="37" t="s">
        <v>1700</v>
      </c>
      <c r="E569" s="37" t="s">
        <v>1436</v>
      </c>
      <c r="F569" s="37" t="s">
        <v>544</v>
      </c>
      <c r="G569" s="37"/>
      <c r="H569" s="37"/>
      <c r="I569" s="37"/>
      <c r="J569" s="37" t="s">
        <v>430</v>
      </c>
      <c r="K569" s="37" t="s">
        <v>8</v>
      </c>
      <c r="L569" s="39" t="n">
        <v>27</v>
      </c>
      <c r="M569" s="39" t="n">
        <v>27</v>
      </c>
      <c r="N569" s="39" t="n">
        <v>6</v>
      </c>
      <c r="O569" s="39" t="n">
        <v>1</v>
      </c>
      <c r="P569" s="39" t="n">
        <v>0</v>
      </c>
      <c r="Q569" s="39" t="n">
        <v>0</v>
      </c>
      <c r="R569" s="39" t="n">
        <v>0</v>
      </c>
      <c r="S569" s="39" t="n">
        <v>0</v>
      </c>
      <c r="T569" s="40" t="n">
        <f aca="false">IF(M569=0,0,N569/M569)</f>
        <v>0.222222222222222</v>
      </c>
      <c r="U569" s="40" t="n">
        <f aca="false">IF(M569=0,0,O569/M569)</f>
        <v>0.037037037037037</v>
      </c>
      <c r="V569" s="41" t="n">
        <f aca="false">IF(M569=0,0,P569/M569)</f>
        <v>0</v>
      </c>
      <c r="W569" s="40" t="n">
        <f aca="false">IF(L569=0,0,Q569/L569)</f>
        <v>0</v>
      </c>
    </row>
    <row r="570" customFormat="false" ht="15" hidden="false" customHeight="false" outlineLevel="0" collapsed="false">
      <c r="A570" s="37" t="s">
        <v>1869</v>
      </c>
      <c r="B570" s="38" t="n">
        <v>46066.386087963</v>
      </c>
      <c r="C570" s="37" t="s">
        <v>1201</v>
      </c>
      <c r="D570" s="37" t="s">
        <v>1372</v>
      </c>
      <c r="E570" s="37" t="s">
        <v>1373</v>
      </c>
      <c r="F570" s="37" t="s">
        <v>537</v>
      </c>
      <c r="G570" s="37"/>
      <c r="H570" s="37"/>
      <c r="I570" s="37"/>
      <c r="J570" s="37" t="s">
        <v>296</v>
      </c>
      <c r="K570" s="37" t="s">
        <v>1202</v>
      </c>
      <c r="L570" s="39" t="n">
        <v>2</v>
      </c>
      <c r="M570" s="39" t="n">
        <v>2</v>
      </c>
      <c r="N570" s="39" t="n">
        <v>2</v>
      </c>
      <c r="O570" s="39" t="n">
        <v>0</v>
      </c>
      <c r="P570" s="39" t="n">
        <v>0</v>
      </c>
      <c r="Q570" s="39" t="n">
        <v>0</v>
      </c>
      <c r="R570" s="39" t="n">
        <v>0</v>
      </c>
      <c r="S570" s="39" t="n">
        <v>0</v>
      </c>
      <c r="T570" s="40" t="n">
        <f aca="false">IF(M570=0,0,N570/M570)</f>
        <v>1</v>
      </c>
      <c r="U570" s="40" t="n">
        <f aca="false">IF(M570=0,0,O570/M570)</f>
        <v>0</v>
      </c>
      <c r="V570" s="41" t="n">
        <f aca="false">IF(M570=0,0,P570/M570)</f>
        <v>0</v>
      </c>
      <c r="W570" s="40" t="n">
        <f aca="false">IF(L570=0,0,Q570/L570)</f>
        <v>0</v>
      </c>
    </row>
    <row r="571" customFormat="false" ht="15" hidden="false" customHeight="false" outlineLevel="0" collapsed="false">
      <c r="A571" s="37" t="s">
        <v>1870</v>
      </c>
      <c r="B571" s="38" t="n">
        <v>46066.3753587963</v>
      </c>
      <c r="C571" s="37" t="s">
        <v>1201</v>
      </c>
      <c r="D571" s="37" t="s">
        <v>1372</v>
      </c>
      <c r="E571" s="37" t="s">
        <v>1373</v>
      </c>
      <c r="F571" s="37" t="s">
        <v>537</v>
      </c>
      <c r="G571" s="37"/>
      <c r="H571" s="37"/>
      <c r="I571" s="37"/>
      <c r="J571" s="37" t="s">
        <v>296</v>
      </c>
      <c r="K571" s="37" t="s">
        <v>1202</v>
      </c>
      <c r="L571" s="39" t="n">
        <v>1</v>
      </c>
      <c r="M571" s="39" t="n">
        <v>1</v>
      </c>
      <c r="N571" s="39" t="n">
        <v>1</v>
      </c>
      <c r="O571" s="39" t="n">
        <v>0</v>
      </c>
      <c r="P571" s="39" t="n">
        <v>0</v>
      </c>
      <c r="Q571" s="39" t="n">
        <v>0</v>
      </c>
      <c r="R571" s="39" t="n">
        <v>0</v>
      </c>
      <c r="S571" s="39" t="n">
        <v>0</v>
      </c>
      <c r="T571" s="40" t="n">
        <f aca="false">IF(M571=0,0,N571/M571)</f>
        <v>1</v>
      </c>
      <c r="U571" s="40" t="n">
        <f aca="false">IF(M571=0,0,O571/M571)</f>
        <v>0</v>
      </c>
      <c r="V571" s="41" t="n">
        <f aca="false">IF(M571=0,0,P571/M571)</f>
        <v>0</v>
      </c>
      <c r="W571" s="40" t="n">
        <f aca="false">IF(L571=0,0,Q571/L571)</f>
        <v>0</v>
      </c>
    </row>
    <row r="572" customFormat="false" ht="15" hidden="false" customHeight="false" outlineLevel="0" collapsed="false">
      <c r="A572" s="37" t="s">
        <v>1871</v>
      </c>
      <c r="B572" s="38" t="n">
        <v>46066.3733796296</v>
      </c>
      <c r="C572" s="37" t="s">
        <v>1201</v>
      </c>
      <c r="D572" s="37" t="s">
        <v>1211</v>
      </c>
      <c r="E572" s="37" t="s">
        <v>1212</v>
      </c>
      <c r="F572" s="37" t="s">
        <v>544</v>
      </c>
      <c r="G572" s="37"/>
      <c r="H572" s="37"/>
      <c r="I572" s="37"/>
      <c r="J572" s="37" t="s">
        <v>100</v>
      </c>
      <c r="K572" s="37" t="s">
        <v>1202</v>
      </c>
      <c r="L572" s="39" t="n">
        <v>131</v>
      </c>
      <c r="M572" s="39" t="n">
        <v>131</v>
      </c>
      <c r="N572" s="39" t="n">
        <v>70</v>
      </c>
      <c r="O572" s="39" t="n">
        <v>2</v>
      </c>
      <c r="P572" s="39" t="n">
        <v>0</v>
      </c>
      <c r="Q572" s="39" t="n">
        <v>0</v>
      </c>
      <c r="R572" s="39" t="n">
        <v>0</v>
      </c>
      <c r="S572" s="39" t="n">
        <v>0</v>
      </c>
      <c r="T572" s="40" t="n">
        <f aca="false">IF(M572=0,0,N572/M572)</f>
        <v>0.534351145038168</v>
      </c>
      <c r="U572" s="40" t="n">
        <f aca="false">IF(M572=0,0,O572/M572)</f>
        <v>0.0152671755725191</v>
      </c>
      <c r="V572" s="41" t="n">
        <f aca="false">IF(M572=0,0,P572/M572)</f>
        <v>0</v>
      </c>
      <c r="W572" s="40" t="n">
        <f aca="false">IF(L572=0,0,Q572/L572)</f>
        <v>0</v>
      </c>
    </row>
    <row r="573" customFormat="false" ht="15" hidden="false" customHeight="false" outlineLevel="0" collapsed="false">
      <c r="A573" s="37" t="s">
        <v>1872</v>
      </c>
      <c r="B573" s="38" t="n">
        <v>46066.0181134259</v>
      </c>
      <c r="C573" s="37" t="s">
        <v>1201</v>
      </c>
      <c r="D573" s="37" t="s">
        <v>1436</v>
      </c>
      <c r="E573" s="37" t="s">
        <v>1436</v>
      </c>
      <c r="F573" s="37" t="s">
        <v>544</v>
      </c>
      <c r="G573" s="37"/>
      <c r="H573" s="37"/>
      <c r="I573" s="37"/>
      <c r="J573" s="37" t="s">
        <v>144</v>
      </c>
      <c r="K573" s="37" t="s">
        <v>1213</v>
      </c>
      <c r="L573" s="39" t="n">
        <v>312</v>
      </c>
      <c r="M573" s="39" t="n">
        <v>311</v>
      </c>
      <c r="N573" s="39" t="n">
        <v>119</v>
      </c>
      <c r="O573" s="39" t="n">
        <v>16</v>
      </c>
      <c r="P573" s="39" t="n">
        <v>7</v>
      </c>
      <c r="Q573" s="39" t="n">
        <v>1</v>
      </c>
      <c r="R573" s="39" t="n">
        <v>0</v>
      </c>
      <c r="S573" s="39" t="n">
        <v>0</v>
      </c>
      <c r="T573" s="40" t="n">
        <f aca="false">IF(M573=0,0,N573/M573)</f>
        <v>0.382636655948553</v>
      </c>
      <c r="U573" s="40" t="n">
        <f aca="false">IF(M573=0,0,O573/M573)</f>
        <v>0.0514469453376206</v>
      </c>
      <c r="V573" s="41" t="n">
        <f aca="false">IF(M573=0,0,P573/M573)</f>
        <v>0.022508038585209</v>
      </c>
      <c r="W573" s="40" t="n">
        <f aca="false">IF(L573=0,0,Q573/L573)</f>
        <v>0.00320512820512821</v>
      </c>
    </row>
    <row r="574" customFormat="false" ht="15" hidden="false" customHeight="false" outlineLevel="0" collapsed="false">
      <c r="A574" s="37" t="s">
        <v>1873</v>
      </c>
      <c r="B574" s="38" t="n">
        <v>46066.0107523148</v>
      </c>
      <c r="C574" s="37" t="s">
        <v>1201</v>
      </c>
      <c r="D574" s="37" t="s">
        <v>1372</v>
      </c>
      <c r="E574" s="37" t="s">
        <v>1373</v>
      </c>
      <c r="F574" s="37" t="s">
        <v>537</v>
      </c>
      <c r="G574" s="37"/>
      <c r="H574" s="37"/>
      <c r="I574" s="37"/>
      <c r="J574" s="37" t="s">
        <v>296</v>
      </c>
      <c r="K574" s="37" t="s">
        <v>1202</v>
      </c>
      <c r="L574" s="39" t="n">
        <v>2</v>
      </c>
      <c r="M574" s="39" t="n">
        <v>2</v>
      </c>
      <c r="N574" s="39" t="n">
        <v>2</v>
      </c>
      <c r="O574" s="39" t="n">
        <v>0</v>
      </c>
      <c r="P574" s="39" t="n">
        <v>0</v>
      </c>
      <c r="Q574" s="39" t="n">
        <v>0</v>
      </c>
      <c r="R574" s="39" t="n">
        <v>0</v>
      </c>
      <c r="S574" s="39" t="n">
        <v>0</v>
      </c>
      <c r="T574" s="40" t="n">
        <f aca="false">IF(M574=0,0,N574/M574)</f>
        <v>1</v>
      </c>
      <c r="U574" s="40" t="n">
        <f aca="false">IF(M574=0,0,O574/M574)</f>
        <v>0</v>
      </c>
      <c r="V574" s="41" t="n">
        <f aca="false">IF(M574=0,0,P574/M574)</f>
        <v>0</v>
      </c>
      <c r="W574" s="40" t="n">
        <f aca="false">IF(L574=0,0,Q574/L574)</f>
        <v>0</v>
      </c>
    </row>
    <row r="575" customFormat="false" ht="15" hidden="false" customHeight="false" outlineLevel="0" collapsed="false">
      <c r="A575" s="37" t="s">
        <v>1874</v>
      </c>
      <c r="B575" s="38" t="n">
        <v>46066.001724537</v>
      </c>
      <c r="C575" s="37" t="s">
        <v>1201</v>
      </c>
      <c r="D575" s="37" t="s">
        <v>1436</v>
      </c>
      <c r="E575" s="37" t="s">
        <v>1436</v>
      </c>
      <c r="F575" s="37" t="s">
        <v>544</v>
      </c>
      <c r="G575" s="37"/>
      <c r="H575" s="37"/>
      <c r="I575" s="37"/>
      <c r="J575" s="37" t="s">
        <v>144</v>
      </c>
      <c r="K575" s="37" t="s">
        <v>1213</v>
      </c>
      <c r="L575" s="39" t="n">
        <v>41</v>
      </c>
      <c r="M575" s="39" t="n">
        <v>41</v>
      </c>
      <c r="N575" s="39" t="n">
        <v>19</v>
      </c>
      <c r="O575" s="39" t="n">
        <v>3</v>
      </c>
      <c r="P575" s="39" t="n">
        <v>0</v>
      </c>
      <c r="Q575" s="39" t="n">
        <v>0</v>
      </c>
      <c r="R575" s="39" t="n">
        <v>0</v>
      </c>
      <c r="S575" s="39" t="n">
        <v>0</v>
      </c>
      <c r="T575" s="40" t="n">
        <f aca="false">IF(M575=0,0,N575/M575)</f>
        <v>0.463414634146342</v>
      </c>
      <c r="U575" s="40" t="n">
        <f aca="false">IF(M575=0,0,O575/M575)</f>
        <v>0.0731707317073171</v>
      </c>
      <c r="V575" s="41" t="n">
        <f aca="false">IF(M575=0,0,P575/M575)</f>
        <v>0</v>
      </c>
      <c r="W575" s="40" t="n">
        <f aca="false">IF(L575=0,0,Q575/L575)</f>
        <v>0</v>
      </c>
    </row>
    <row r="576" customFormat="false" ht="15" hidden="false" customHeight="false" outlineLevel="0" collapsed="false">
      <c r="A576" s="37" t="s">
        <v>1875</v>
      </c>
      <c r="B576" s="38" t="n">
        <v>46065.5865393519</v>
      </c>
      <c r="C576" s="37" t="s">
        <v>1201</v>
      </c>
      <c r="D576" s="37" t="s">
        <v>1392</v>
      </c>
      <c r="E576" s="37" t="s">
        <v>166</v>
      </c>
      <c r="F576" s="37" t="s">
        <v>555</v>
      </c>
      <c r="G576" s="37" t="s">
        <v>1734</v>
      </c>
      <c r="H576" s="37"/>
      <c r="I576" s="37" t="s">
        <v>260</v>
      </c>
      <c r="J576" s="37" t="s">
        <v>164</v>
      </c>
      <c r="K576" s="37" t="s">
        <v>1202</v>
      </c>
      <c r="L576" s="39" t="n">
        <v>20</v>
      </c>
      <c r="M576" s="39" t="n">
        <v>20</v>
      </c>
      <c r="N576" s="39" t="n">
        <v>11</v>
      </c>
      <c r="O576" s="39" t="n">
        <v>1</v>
      </c>
      <c r="P576" s="39" t="n">
        <v>0</v>
      </c>
      <c r="Q576" s="39" t="n">
        <v>0</v>
      </c>
      <c r="R576" s="39" t="n">
        <v>0</v>
      </c>
      <c r="S576" s="39" t="n">
        <v>0</v>
      </c>
      <c r="T576" s="40" t="n">
        <f aca="false">IF(M576=0,0,N576/M576)</f>
        <v>0.55</v>
      </c>
      <c r="U576" s="40" t="n">
        <f aca="false">IF(M576=0,0,O576/M576)</f>
        <v>0.05</v>
      </c>
      <c r="V576" s="41" t="n">
        <f aca="false">IF(M576=0,0,P576/M576)</f>
        <v>0</v>
      </c>
      <c r="W576" s="40" t="n">
        <f aca="false">IF(L576=0,0,Q576/L576)</f>
        <v>0</v>
      </c>
    </row>
    <row r="577" customFormat="false" ht="15" hidden="false" customHeight="false" outlineLevel="0" collapsed="false">
      <c r="A577" s="37" t="s">
        <v>1876</v>
      </c>
      <c r="B577" s="38" t="n">
        <v>46065.563599537</v>
      </c>
      <c r="C577" s="37" t="s">
        <v>1201</v>
      </c>
      <c r="D577" s="37" t="s">
        <v>1211</v>
      </c>
      <c r="E577" s="37" t="s">
        <v>1212</v>
      </c>
      <c r="F577" s="37" t="s">
        <v>544</v>
      </c>
      <c r="G577" s="37"/>
      <c r="H577" s="37"/>
      <c r="I577" s="37"/>
      <c r="J577" s="37" t="s">
        <v>100</v>
      </c>
      <c r="K577" s="37" t="s">
        <v>1213</v>
      </c>
      <c r="L577" s="39" t="n">
        <v>132</v>
      </c>
      <c r="M577" s="39" t="n">
        <v>132</v>
      </c>
      <c r="N577" s="39" t="n">
        <v>80</v>
      </c>
      <c r="O577" s="39" t="n">
        <v>0</v>
      </c>
      <c r="P577" s="39" t="n">
        <v>0</v>
      </c>
      <c r="Q577" s="39" t="n">
        <v>0</v>
      </c>
      <c r="R577" s="39" t="n">
        <v>0</v>
      </c>
      <c r="S577" s="39" t="n">
        <v>0</v>
      </c>
      <c r="T577" s="40" t="n">
        <f aca="false">IF(M577=0,0,N577/M577)</f>
        <v>0.606060606060606</v>
      </c>
      <c r="U577" s="40" t="n">
        <f aca="false">IF(M577=0,0,O577/M577)</f>
        <v>0</v>
      </c>
      <c r="V577" s="41" t="n">
        <f aca="false">IF(M577=0,0,P577/M577)</f>
        <v>0</v>
      </c>
      <c r="W577" s="40" t="n">
        <f aca="false">IF(L577=0,0,Q577/L577)</f>
        <v>0</v>
      </c>
    </row>
    <row r="578" customFormat="false" ht="15" hidden="false" customHeight="false" outlineLevel="0" collapsed="false">
      <c r="A578" s="37" t="s">
        <v>1877</v>
      </c>
      <c r="B578" s="38" t="n">
        <v>46065.542037037</v>
      </c>
      <c r="C578" s="37" t="s">
        <v>1201</v>
      </c>
      <c r="D578" s="37" t="s">
        <v>1523</v>
      </c>
      <c r="E578" s="37" t="s">
        <v>166</v>
      </c>
      <c r="F578" s="37" t="s">
        <v>555</v>
      </c>
      <c r="G578" s="37" t="s">
        <v>1878</v>
      </c>
      <c r="H578" s="37"/>
      <c r="I578" s="37"/>
      <c r="J578" s="37" t="s">
        <v>164</v>
      </c>
      <c r="K578" s="37" t="s">
        <v>1202</v>
      </c>
      <c r="L578" s="39" t="n">
        <v>141</v>
      </c>
      <c r="M578" s="39" t="n">
        <v>137</v>
      </c>
      <c r="N578" s="39" t="n">
        <v>74</v>
      </c>
      <c r="O578" s="39" t="n">
        <v>28</v>
      </c>
      <c r="P578" s="39" t="n">
        <v>0</v>
      </c>
      <c r="Q578" s="39" t="n">
        <v>4</v>
      </c>
      <c r="R578" s="39" t="n">
        <v>4</v>
      </c>
      <c r="S578" s="39" t="n">
        <v>0</v>
      </c>
      <c r="T578" s="40" t="n">
        <f aca="false">IF(M578=0,0,N578/M578)</f>
        <v>0.54014598540146</v>
      </c>
      <c r="U578" s="40" t="n">
        <f aca="false">IF(M578=0,0,O578/M578)</f>
        <v>0.204379562043796</v>
      </c>
      <c r="V578" s="41" t="n">
        <f aca="false">IF(M578=0,0,P578/M578)</f>
        <v>0</v>
      </c>
      <c r="W578" s="40" t="n">
        <f aca="false">IF(L578=0,0,Q578/L578)</f>
        <v>0.0283687943262411</v>
      </c>
    </row>
    <row r="579" customFormat="false" ht="15" hidden="false" customHeight="false" outlineLevel="0" collapsed="false">
      <c r="A579" s="37" t="s">
        <v>1879</v>
      </c>
      <c r="B579" s="38" t="n">
        <v>46065.417025463</v>
      </c>
      <c r="C579" s="37" t="s">
        <v>1252</v>
      </c>
      <c r="D579" s="37" t="s">
        <v>635</v>
      </c>
      <c r="E579" s="37" t="s">
        <v>166</v>
      </c>
      <c r="F579" s="37" t="s">
        <v>555</v>
      </c>
      <c r="G579" s="37" t="s">
        <v>1880</v>
      </c>
      <c r="H579" s="37"/>
      <c r="I579" s="37" t="s">
        <v>255</v>
      </c>
      <c r="J579" s="37" t="s">
        <v>164</v>
      </c>
      <c r="K579" s="37" t="s">
        <v>1202</v>
      </c>
      <c r="L579" s="39" t="n">
        <v>25</v>
      </c>
      <c r="M579" s="39" t="n">
        <v>25</v>
      </c>
      <c r="N579" s="39" t="n">
        <v>13</v>
      </c>
      <c r="O579" s="39" t="n">
        <v>1</v>
      </c>
      <c r="P579" s="39" t="n">
        <v>0</v>
      </c>
      <c r="Q579" s="39" t="n">
        <v>0</v>
      </c>
      <c r="R579" s="39" t="n">
        <v>0</v>
      </c>
      <c r="S579" s="39" t="n">
        <v>0</v>
      </c>
      <c r="T579" s="40" t="n">
        <f aca="false">IF(M579=0,0,N579/M579)</f>
        <v>0.52</v>
      </c>
      <c r="U579" s="40" t="n">
        <f aca="false">IF(M579=0,0,O579/M579)</f>
        <v>0.04</v>
      </c>
      <c r="V579" s="41" t="n">
        <f aca="false">IF(M579=0,0,P579/M579)</f>
        <v>0</v>
      </c>
      <c r="W579" s="40" t="n">
        <f aca="false">IF(L579=0,0,Q579/L579)</f>
        <v>0</v>
      </c>
    </row>
    <row r="580" customFormat="false" ht="15" hidden="false" customHeight="false" outlineLevel="0" collapsed="false">
      <c r="A580" s="37" t="s">
        <v>1881</v>
      </c>
      <c r="B580" s="38" t="n">
        <v>46065.0435300926</v>
      </c>
      <c r="C580" s="37" t="s">
        <v>1201</v>
      </c>
      <c r="D580" s="37" t="s">
        <v>1816</v>
      </c>
      <c r="E580" s="37" t="s">
        <v>1259</v>
      </c>
      <c r="F580" s="37" t="s">
        <v>127</v>
      </c>
      <c r="G580" s="37" t="s">
        <v>1817</v>
      </c>
      <c r="H580" s="37"/>
      <c r="I580" s="37"/>
      <c r="J580" s="37" t="s">
        <v>126</v>
      </c>
      <c r="K580" s="37" t="s">
        <v>1213</v>
      </c>
      <c r="L580" s="39" t="n">
        <v>42</v>
      </c>
      <c r="M580" s="39" t="n">
        <v>42</v>
      </c>
      <c r="N580" s="39" t="n">
        <v>25</v>
      </c>
      <c r="O580" s="39" t="n">
        <v>8</v>
      </c>
      <c r="P580" s="39" t="n">
        <v>0</v>
      </c>
      <c r="Q580" s="39" t="n">
        <v>0</v>
      </c>
      <c r="R580" s="39" t="n">
        <v>0</v>
      </c>
      <c r="S580" s="39" t="n">
        <v>0</v>
      </c>
      <c r="T580" s="40" t="n">
        <f aca="false">IF(M580=0,0,N580/M580)</f>
        <v>0.595238095238095</v>
      </c>
      <c r="U580" s="40" t="n">
        <f aca="false">IF(M580=0,0,O580/M580)</f>
        <v>0.19047619047619</v>
      </c>
      <c r="V580" s="41" t="n">
        <f aca="false">IF(M580=0,0,P580/M580)</f>
        <v>0</v>
      </c>
      <c r="W580" s="40" t="n">
        <f aca="false">IF(L580=0,0,Q580/L580)</f>
        <v>0</v>
      </c>
    </row>
    <row r="581" customFormat="false" ht="15" hidden="false" customHeight="false" outlineLevel="0" collapsed="false">
      <c r="A581" s="37" t="s">
        <v>1882</v>
      </c>
      <c r="B581" s="38" t="n">
        <v>46064.7755787037</v>
      </c>
      <c r="C581" s="37" t="s">
        <v>1201</v>
      </c>
      <c r="D581" s="37" t="s">
        <v>127</v>
      </c>
      <c r="E581" s="37" t="s">
        <v>128</v>
      </c>
      <c r="F581" s="37" t="s">
        <v>127</v>
      </c>
      <c r="G581" s="37"/>
      <c r="H581" s="37"/>
      <c r="I581" s="37" t="s">
        <v>125</v>
      </c>
      <c r="J581" s="37" t="s">
        <v>126</v>
      </c>
      <c r="K581" s="37" t="s">
        <v>1202</v>
      </c>
      <c r="L581" s="39" t="n">
        <v>3235</v>
      </c>
      <c r="M581" s="39" t="n">
        <v>3218</v>
      </c>
      <c r="N581" s="39" t="n">
        <v>1123</v>
      </c>
      <c r="O581" s="39" t="n">
        <v>59</v>
      </c>
      <c r="P581" s="39" t="n">
        <v>8</v>
      </c>
      <c r="Q581" s="39" t="n">
        <v>17</v>
      </c>
      <c r="R581" s="39" t="n">
        <v>13</v>
      </c>
      <c r="S581" s="39" t="n">
        <v>0</v>
      </c>
      <c r="T581" s="40" t="n">
        <f aca="false">IF(M581=0,0,N581/M581)</f>
        <v>0.348974518334369</v>
      </c>
      <c r="U581" s="40" t="n">
        <f aca="false">IF(M581=0,0,O581/M581)</f>
        <v>0.0183343691733996</v>
      </c>
      <c r="V581" s="41" t="n">
        <f aca="false">IF(M581=0,0,P581/M581)</f>
        <v>0.00248601615910503</v>
      </c>
      <c r="W581" s="40" t="n">
        <f aca="false">IF(L581=0,0,Q581/L581)</f>
        <v>0.00525502318392581</v>
      </c>
    </row>
    <row r="582" customFormat="false" ht="15" hidden="false" customHeight="false" outlineLevel="0" collapsed="false">
      <c r="A582" s="37" t="s">
        <v>1883</v>
      </c>
      <c r="B582" s="38" t="n">
        <v>46064.7608912037</v>
      </c>
      <c r="C582" s="37" t="s">
        <v>1252</v>
      </c>
      <c r="D582" s="37" t="s">
        <v>1816</v>
      </c>
      <c r="E582" s="37" t="s">
        <v>178</v>
      </c>
      <c r="F582" s="37" t="s">
        <v>555</v>
      </c>
      <c r="G582" s="37" t="s">
        <v>1817</v>
      </c>
      <c r="H582" s="37"/>
      <c r="I582" s="37"/>
      <c r="J582" s="37" t="s">
        <v>126</v>
      </c>
      <c r="K582" s="37" t="s">
        <v>1213</v>
      </c>
      <c r="L582" s="39" t="n">
        <v>1398</v>
      </c>
      <c r="M582" s="39" t="n">
        <v>1374</v>
      </c>
      <c r="N582" s="39" t="n">
        <v>531</v>
      </c>
      <c r="O582" s="39" t="n">
        <v>115</v>
      </c>
      <c r="P582" s="39" t="n">
        <v>22</v>
      </c>
      <c r="Q582" s="39" t="n">
        <v>24</v>
      </c>
      <c r="R582" s="39" t="n">
        <v>18</v>
      </c>
      <c r="S582" s="39" t="n">
        <v>0</v>
      </c>
      <c r="T582" s="40" t="n">
        <f aca="false">IF(M582=0,0,N582/M582)</f>
        <v>0.38646288209607</v>
      </c>
      <c r="U582" s="40" t="n">
        <f aca="false">IF(M582=0,0,O582/M582)</f>
        <v>0.0836972343522562</v>
      </c>
      <c r="V582" s="41" t="n">
        <f aca="false">IF(M582=0,0,P582/M582)</f>
        <v>0.0160116448326055</v>
      </c>
      <c r="W582" s="40" t="n">
        <f aca="false">IF(L582=0,0,Q582/L582)</f>
        <v>0.0171673819742489</v>
      </c>
    </row>
    <row r="583" customFormat="false" ht="15" hidden="false" customHeight="false" outlineLevel="0" collapsed="false">
      <c r="A583" s="37" t="s">
        <v>1884</v>
      </c>
      <c r="B583" s="38" t="n">
        <v>46064.3696180556</v>
      </c>
      <c r="C583" s="37" t="s">
        <v>1201</v>
      </c>
      <c r="D583" s="37" t="s">
        <v>230</v>
      </c>
      <c r="E583" s="37" t="s">
        <v>231</v>
      </c>
      <c r="F583" s="37" t="s">
        <v>555</v>
      </c>
      <c r="G583" s="37"/>
      <c r="H583" s="37"/>
      <c r="I583" s="37"/>
      <c r="J583" s="37" t="s">
        <v>229</v>
      </c>
      <c r="K583" s="37" t="s">
        <v>1202</v>
      </c>
      <c r="L583" s="39" t="n">
        <v>509</v>
      </c>
      <c r="M583" s="39" t="n">
        <v>507</v>
      </c>
      <c r="N583" s="39" t="n">
        <v>184</v>
      </c>
      <c r="O583" s="39" t="n">
        <v>52</v>
      </c>
      <c r="P583" s="39" t="n">
        <v>1</v>
      </c>
      <c r="Q583" s="39" t="n">
        <v>2</v>
      </c>
      <c r="R583" s="39" t="n">
        <v>2</v>
      </c>
      <c r="S583" s="39" t="n">
        <v>0</v>
      </c>
      <c r="T583" s="40" t="n">
        <f aca="false">IF(M583=0,0,N583/M583)</f>
        <v>0.362919132149901</v>
      </c>
      <c r="U583" s="40" t="n">
        <f aca="false">IF(M583=0,0,O583/M583)</f>
        <v>0.102564102564103</v>
      </c>
      <c r="V583" s="41" t="n">
        <f aca="false">IF(M583=0,0,P583/M583)</f>
        <v>0.0019723865877712</v>
      </c>
      <c r="W583" s="40" t="n">
        <f aca="false">IF(L583=0,0,Q583/L583)</f>
        <v>0.00392927308447937</v>
      </c>
    </row>
    <row r="584" customFormat="false" ht="15" hidden="false" customHeight="false" outlineLevel="0" collapsed="false">
      <c r="A584" s="37" t="s">
        <v>1885</v>
      </c>
      <c r="B584" s="38" t="n">
        <v>46064.0686689815</v>
      </c>
      <c r="C584" s="37" t="s">
        <v>1201</v>
      </c>
      <c r="D584" s="37" t="s">
        <v>1546</v>
      </c>
      <c r="E584" s="37" t="s">
        <v>1546</v>
      </c>
      <c r="F584" s="37" t="s">
        <v>544</v>
      </c>
      <c r="G584" s="37"/>
      <c r="H584" s="37"/>
      <c r="I584" s="37"/>
      <c r="J584" s="37" t="s">
        <v>430</v>
      </c>
      <c r="K584" s="37" t="s">
        <v>8</v>
      </c>
      <c r="L584" s="39" t="n">
        <v>666</v>
      </c>
      <c r="M584" s="39" t="n">
        <v>651</v>
      </c>
      <c r="N584" s="39" t="n">
        <v>240</v>
      </c>
      <c r="O584" s="39" t="n">
        <v>14</v>
      </c>
      <c r="P584" s="39" t="n">
        <v>15</v>
      </c>
      <c r="Q584" s="39" t="n">
        <v>15</v>
      </c>
      <c r="R584" s="39" t="n">
        <v>14</v>
      </c>
      <c r="S584" s="39" t="n">
        <v>0</v>
      </c>
      <c r="T584" s="40" t="n">
        <f aca="false">IF(M584=0,0,N584/M584)</f>
        <v>0.368663594470046</v>
      </c>
      <c r="U584" s="40" t="n">
        <f aca="false">IF(M584=0,0,O584/M584)</f>
        <v>0.021505376344086</v>
      </c>
      <c r="V584" s="41" t="n">
        <f aca="false">IF(M584=0,0,P584/M584)</f>
        <v>0.0230414746543779</v>
      </c>
      <c r="W584" s="40" t="n">
        <f aca="false">IF(L584=0,0,Q584/L584)</f>
        <v>0.0225225225225225</v>
      </c>
    </row>
    <row r="585" customFormat="false" ht="15" hidden="false" customHeight="false" outlineLevel="0" collapsed="false">
      <c r="A585" s="37" t="s">
        <v>1886</v>
      </c>
      <c r="B585" s="38" t="n">
        <v>46064.0550462963</v>
      </c>
      <c r="C585" s="37" t="s">
        <v>1201</v>
      </c>
      <c r="D585" s="37" t="s">
        <v>1709</v>
      </c>
      <c r="E585" s="37" t="s">
        <v>1709</v>
      </c>
      <c r="F585" s="37" t="s">
        <v>127</v>
      </c>
      <c r="G585" s="37" t="s">
        <v>1887</v>
      </c>
      <c r="H585" s="37"/>
      <c r="I585" s="37"/>
      <c r="J585" s="37" t="s">
        <v>126</v>
      </c>
      <c r="K585" s="37" t="s">
        <v>1202</v>
      </c>
      <c r="L585" s="39" t="n">
        <v>9</v>
      </c>
      <c r="M585" s="39" t="n">
        <v>9</v>
      </c>
      <c r="N585" s="39" t="n">
        <v>4</v>
      </c>
      <c r="O585" s="39" t="n">
        <v>0</v>
      </c>
      <c r="P585" s="39" t="n">
        <v>0</v>
      </c>
      <c r="Q585" s="39" t="n">
        <v>0</v>
      </c>
      <c r="R585" s="39" t="n">
        <v>0</v>
      </c>
      <c r="S585" s="39" t="n">
        <v>0</v>
      </c>
      <c r="T585" s="40" t="n">
        <f aca="false">IF(M585=0,0,N585/M585)</f>
        <v>0.444444444444444</v>
      </c>
      <c r="U585" s="40" t="n">
        <f aca="false">IF(M585=0,0,O585/M585)</f>
        <v>0</v>
      </c>
      <c r="V585" s="41" t="n">
        <f aca="false">IF(M585=0,0,P585/M585)</f>
        <v>0</v>
      </c>
      <c r="W585" s="40" t="n">
        <f aca="false">IF(L585=0,0,Q585/L585)</f>
        <v>0</v>
      </c>
    </row>
    <row r="586" customFormat="false" ht="15" hidden="false" customHeight="false" outlineLevel="0" collapsed="false">
      <c r="A586" s="37" t="s">
        <v>1888</v>
      </c>
      <c r="B586" s="38" t="n">
        <v>46064.0523726852</v>
      </c>
      <c r="C586" s="37" t="s">
        <v>1201</v>
      </c>
      <c r="D586" s="37" t="s">
        <v>1259</v>
      </c>
      <c r="E586" s="37" t="s">
        <v>1709</v>
      </c>
      <c r="F586" s="37" t="s">
        <v>127</v>
      </c>
      <c r="G586" s="37" t="s">
        <v>1887</v>
      </c>
      <c r="H586" s="37"/>
      <c r="I586" s="37"/>
      <c r="J586" s="37" t="s">
        <v>126</v>
      </c>
      <c r="K586" s="37" t="s">
        <v>1202</v>
      </c>
      <c r="L586" s="39" t="n">
        <v>2</v>
      </c>
      <c r="M586" s="39" t="n">
        <v>2</v>
      </c>
      <c r="N586" s="39" t="n">
        <v>1</v>
      </c>
      <c r="O586" s="39" t="n">
        <v>0</v>
      </c>
      <c r="P586" s="39" t="n">
        <v>0</v>
      </c>
      <c r="Q586" s="39" t="n">
        <v>0</v>
      </c>
      <c r="R586" s="39" t="n">
        <v>0</v>
      </c>
      <c r="S586" s="39" t="n">
        <v>0</v>
      </c>
      <c r="T586" s="40" t="n">
        <f aca="false">IF(M586=0,0,N586/M586)</f>
        <v>0.5</v>
      </c>
      <c r="U586" s="40" t="n">
        <f aca="false">IF(M586=0,0,O586/M586)</f>
        <v>0</v>
      </c>
      <c r="V586" s="41" t="n">
        <f aca="false">IF(M586=0,0,P586/M586)</f>
        <v>0</v>
      </c>
      <c r="W586" s="40" t="n">
        <f aca="false">IF(L586=0,0,Q586/L586)</f>
        <v>0</v>
      </c>
    </row>
    <row r="587" customFormat="false" ht="15" hidden="false" customHeight="false" outlineLevel="0" collapsed="false">
      <c r="A587" s="37" t="s">
        <v>1889</v>
      </c>
      <c r="B587" s="38" t="n">
        <v>46064.0516435185</v>
      </c>
      <c r="C587" s="37" t="s">
        <v>1201</v>
      </c>
      <c r="D587" s="37" t="s">
        <v>1259</v>
      </c>
      <c r="E587" s="37" t="s">
        <v>1709</v>
      </c>
      <c r="F587" s="37" t="s">
        <v>127</v>
      </c>
      <c r="G587" s="37" t="s">
        <v>1887</v>
      </c>
      <c r="H587" s="37"/>
      <c r="I587" s="37"/>
      <c r="J587" s="37" t="s">
        <v>126</v>
      </c>
      <c r="K587" s="37" t="s">
        <v>1202</v>
      </c>
      <c r="L587" s="39" t="n">
        <v>2</v>
      </c>
      <c r="M587" s="39" t="n">
        <v>2</v>
      </c>
      <c r="N587" s="39" t="n">
        <v>2</v>
      </c>
      <c r="O587" s="39" t="n">
        <v>0</v>
      </c>
      <c r="P587" s="39" t="n">
        <v>0</v>
      </c>
      <c r="Q587" s="39" t="n">
        <v>0</v>
      </c>
      <c r="R587" s="39" t="n">
        <v>0</v>
      </c>
      <c r="S587" s="39" t="n">
        <v>0</v>
      </c>
      <c r="T587" s="40" t="n">
        <f aca="false">IF(M587=0,0,N587/M587)</f>
        <v>1</v>
      </c>
      <c r="U587" s="40" t="n">
        <f aca="false">IF(M587=0,0,O587/M587)</f>
        <v>0</v>
      </c>
      <c r="V587" s="41" t="n">
        <f aca="false">IF(M587=0,0,P587/M587)</f>
        <v>0</v>
      </c>
      <c r="W587" s="40" t="n">
        <f aca="false">IF(L587=0,0,Q587/L587)</f>
        <v>0</v>
      </c>
    </row>
    <row r="588" customFormat="false" ht="15" hidden="false" customHeight="false" outlineLevel="0" collapsed="false">
      <c r="A588" s="37" t="s">
        <v>1890</v>
      </c>
      <c r="B588" s="38" t="n">
        <v>46064.0500810185</v>
      </c>
      <c r="C588" s="37" t="s">
        <v>1201</v>
      </c>
      <c r="D588" s="37" t="s">
        <v>1259</v>
      </c>
      <c r="E588" s="37" t="s">
        <v>1709</v>
      </c>
      <c r="F588" s="37" t="s">
        <v>127</v>
      </c>
      <c r="G588" s="37" t="s">
        <v>1887</v>
      </c>
      <c r="H588" s="37"/>
      <c r="I588" s="37"/>
      <c r="J588" s="37" t="s">
        <v>126</v>
      </c>
      <c r="K588" s="37" t="s">
        <v>1202</v>
      </c>
      <c r="L588" s="39" t="n">
        <v>1</v>
      </c>
      <c r="M588" s="39" t="n">
        <v>1</v>
      </c>
      <c r="N588" s="39" t="n">
        <v>0</v>
      </c>
      <c r="O588" s="39" t="n">
        <v>0</v>
      </c>
      <c r="P588" s="39" t="n">
        <v>0</v>
      </c>
      <c r="Q588" s="39" t="n">
        <v>0</v>
      </c>
      <c r="R588" s="39" t="n">
        <v>0</v>
      </c>
      <c r="S588" s="39" t="n">
        <v>0</v>
      </c>
      <c r="T588" s="40" t="n">
        <f aca="false">IF(M588=0,0,N588/M588)</f>
        <v>0</v>
      </c>
      <c r="U588" s="40" t="n">
        <f aca="false">IF(M588=0,0,O588/M588)</f>
        <v>0</v>
      </c>
      <c r="V588" s="41" t="n">
        <f aca="false">IF(M588=0,0,P588/M588)</f>
        <v>0</v>
      </c>
      <c r="W588" s="40" t="n">
        <f aca="false">IF(L588=0,0,Q588/L588)</f>
        <v>0</v>
      </c>
    </row>
    <row r="589" customFormat="false" ht="15" hidden="false" customHeight="false" outlineLevel="0" collapsed="false">
      <c r="A589" s="37" t="s">
        <v>1891</v>
      </c>
      <c r="B589" s="38" t="n">
        <v>46064.0488541667</v>
      </c>
      <c r="C589" s="37" t="s">
        <v>1201</v>
      </c>
      <c r="D589" s="37" t="s">
        <v>1259</v>
      </c>
      <c r="E589" s="37" t="s">
        <v>1709</v>
      </c>
      <c r="F589" s="37" t="s">
        <v>127</v>
      </c>
      <c r="G589" s="37" t="s">
        <v>1887</v>
      </c>
      <c r="H589" s="37"/>
      <c r="I589" s="37"/>
      <c r="J589" s="37" t="s">
        <v>126</v>
      </c>
      <c r="K589" s="37" t="s">
        <v>1202</v>
      </c>
      <c r="L589" s="39" t="n">
        <v>1</v>
      </c>
      <c r="M589" s="39" t="n">
        <v>1</v>
      </c>
      <c r="N589" s="39" t="n">
        <v>0</v>
      </c>
      <c r="O589" s="39" t="n">
        <v>0</v>
      </c>
      <c r="P589" s="39" t="n">
        <v>0</v>
      </c>
      <c r="Q589" s="39" t="n">
        <v>0</v>
      </c>
      <c r="R589" s="39" t="n">
        <v>0</v>
      </c>
      <c r="S589" s="39" t="n">
        <v>0</v>
      </c>
      <c r="T589" s="40" t="n">
        <f aca="false">IF(M589=0,0,N589/M589)</f>
        <v>0</v>
      </c>
      <c r="U589" s="40" t="n">
        <f aca="false">IF(M589=0,0,O589/M589)</f>
        <v>0</v>
      </c>
      <c r="V589" s="41" t="n">
        <f aca="false">IF(M589=0,0,P589/M589)</f>
        <v>0</v>
      </c>
      <c r="W589" s="40" t="n">
        <f aca="false">IF(L589=0,0,Q589/L589)</f>
        <v>0</v>
      </c>
    </row>
    <row r="590" customFormat="false" ht="15" hidden="false" customHeight="false" outlineLevel="0" collapsed="false">
      <c r="A590" s="37" t="s">
        <v>1892</v>
      </c>
      <c r="B590" s="38" t="n">
        <v>46064.0476967593</v>
      </c>
      <c r="C590" s="37" t="s">
        <v>1201</v>
      </c>
      <c r="D590" s="37" t="s">
        <v>1259</v>
      </c>
      <c r="E590" s="37" t="s">
        <v>1709</v>
      </c>
      <c r="F590" s="37" t="s">
        <v>127</v>
      </c>
      <c r="G590" s="37" t="s">
        <v>1887</v>
      </c>
      <c r="H590" s="37"/>
      <c r="I590" s="37"/>
      <c r="J590" s="37" t="s">
        <v>126</v>
      </c>
      <c r="K590" s="37" t="s">
        <v>1202</v>
      </c>
      <c r="L590" s="39" t="n">
        <v>1</v>
      </c>
      <c r="M590" s="39" t="n">
        <v>1</v>
      </c>
      <c r="N590" s="39" t="n">
        <v>1</v>
      </c>
      <c r="O590" s="39" t="n">
        <v>0</v>
      </c>
      <c r="P590" s="39" t="n">
        <v>0</v>
      </c>
      <c r="Q590" s="39" t="n">
        <v>0</v>
      </c>
      <c r="R590" s="39" t="n">
        <v>0</v>
      </c>
      <c r="S590" s="39" t="n">
        <v>0</v>
      </c>
      <c r="T590" s="40" t="n">
        <f aca="false">IF(M590=0,0,N590/M590)</f>
        <v>1</v>
      </c>
      <c r="U590" s="40" t="n">
        <f aca="false">IF(M590=0,0,O590/M590)</f>
        <v>0</v>
      </c>
      <c r="V590" s="41" t="n">
        <f aca="false">IF(M590=0,0,P590/M590)</f>
        <v>0</v>
      </c>
      <c r="W590" s="40" t="n">
        <f aca="false">IF(L590=0,0,Q590/L590)</f>
        <v>0</v>
      </c>
    </row>
    <row r="591" customFormat="false" ht="15" hidden="false" customHeight="false" outlineLevel="0" collapsed="false">
      <c r="A591" s="37" t="s">
        <v>1893</v>
      </c>
      <c r="B591" s="38" t="n">
        <v>46064.0466898148</v>
      </c>
      <c r="C591" s="37" t="s">
        <v>1201</v>
      </c>
      <c r="D591" s="37" t="s">
        <v>1259</v>
      </c>
      <c r="E591" s="37" t="s">
        <v>1709</v>
      </c>
      <c r="F591" s="37" t="s">
        <v>127</v>
      </c>
      <c r="G591" s="37" t="s">
        <v>1887</v>
      </c>
      <c r="H591" s="37"/>
      <c r="I591" s="37"/>
      <c r="J591" s="37" t="s">
        <v>126</v>
      </c>
      <c r="K591" s="37" t="s">
        <v>1202</v>
      </c>
      <c r="L591" s="39" t="n">
        <v>1</v>
      </c>
      <c r="M591" s="39" t="n">
        <v>1</v>
      </c>
      <c r="N591" s="39" t="n">
        <v>1</v>
      </c>
      <c r="O591" s="39" t="n">
        <v>0</v>
      </c>
      <c r="P591" s="39" t="n">
        <v>0</v>
      </c>
      <c r="Q591" s="39" t="n">
        <v>0</v>
      </c>
      <c r="R591" s="39" t="n">
        <v>0</v>
      </c>
      <c r="S591" s="39" t="n">
        <v>0</v>
      </c>
      <c r="T591" s="40" t="n">
        <f aca="false">IF(M591=0,0,N591/M591)</f>
        <v>1</v>
      </c>
      <c r="U591" s="40" t="n">
        <f aca="false">IF(M591=0,0,O591/M591)</f>
        <v>0</v>
      </c>
      <c r="V591" s="41" t="n">
        <f aca="false">IF(M591=0,0,P591/M591)</f>
        <v>0</v>
      </c>
      <c r="W591" s="40" t="n">
        <f aca="false">IF(L591=0,0,Q591/L591)</f>
        <v>0</v>
      </c>
    </row>
    <row r="592" customFormat="false" ht="15" hidden="false" customHeight="false" outlineLevel="0" collapsed="false">
      <c r="A592" s="37" t="s">
        <v>1894</v>
      </c>
      <c r="B592" s="38" t="n">
        <v>46064.0459953704</v>
      </c>
      <c r="C592" s="37" t="s">
        <v>1201</v>
      </c>
      <c r="D592" s="37" t="s">
        <v>1259</v>
      </c>
      <c r="E592" s="37" t="s">
        <v>1709</v>
      </c>
      <c r="F592" s="37" t="s">
        <v>127</v>
      </c>
      <c r="G592" s="37" t="s">
        <v>1887</v>
      </c>
      <c r="H592" s="37"/>
      <c r="I592" s="37"/>
      <c r="J592" s="37" t="s">
        <v>126</v>
      </c>
      <c r="K592" s="37" t="s">
        <v>1202</v>
      </c>
      <c r="L592" s="39" t="n">
        <v>1</v>
      </c>
      <c r="M592" s="39" t="n">
        <v>1</v>
      </c>
      <c r="N592" s="39" t="n">
        <v>1</v>
      </c>
      <c r="O592" s="39" t="n">
        <v>0</v>
      </c>
      <c r="P592" s="39" t="n">
        <v>0</v>
      </c>
      <c r="Q592" s="39" t="n">
        <v>0</v>
      </c>
      <c r="R592" s="39" t="n">
        <v>0</v>
      </c>
      <c r="S592" s="39" t="n">
        <v>0</v>
      </c>
      <c r="T592" s="40" t="n">
        <f aca="false">IF(M592=0,0,N592/M592)</f>
        <v>1</v>
      </c>
      <c r="U592" s="40" t="n">
        <f aca="false">IF(M592=0,0,O592/M592)</f>
        <v>0</v>
      </c>
      <c r="V592" s="41" t="n">
        <f aca="false">IF(M592=0,0,P592/M592)</f>
        <v>0</v>
      </c>
      <c r="W592" s="40" t="n">
        <f aca="false">IF(L592=0,0,Q592/L592)</f>
        <v>0</v>
      </c>
    </row>
    <row r="593" customFormat="false" ht="15" hidden="false" customHeight="false" outlineLevel="0" collapsed="false">
      <c r="A593" s="37" t="s">
        <v>1895</v>
      </c>
      <c r="B593" s="38" t="n">
        <v>46064.0444097222</v>
      </c>
      <c r="C593" s="37" t="s">
        <v>1201</v>
      </c>
      <c r="D593" s="37" t="s">
        <v>1259</v>
      </c>
      <c r="E593" s="37" t="s">
        <v>1709</v>
      </c>
      <c r="F593" s="37" t="s">
        <v>127</v>
      </c>
      <c r="G593" s="37" t="s">
        <v>1887</v>
      </c>
      <c r="H593" s="37"/>
      <c r="I593" s="37"/>
      <c r="J593" s="37" t="s">
        <v>126</v>
      </c>
      <c r="K593" s="37" t="s">
        <v>1202</v>
      </c>
      <c r="L593" s="39" t="n">
        <v>1</v>
      </c>
      <c r="M593" s="39" t="n">
        <v>1</v>
      </c>
      <c r="N593" s="39" t="n">
        <v>1</v>
      </c>
      <c r="O593" s="39" t="n">
        <v>0</v>
      </c>
      <c r="P593" s="39" t="n">
        <v>0</v>
      </c>
      <c r="Q593" s="39" t="n">
        <v>0</v>
      </c>
      <c r="R593" s="39" t="n">
        <v>0</v>
      </c>
      <c r="S593" s="39" t="n">
        <v>0</v>
      </c>
      <c r="T593" s="40" t="n">
        <f aca="false">IF(M593=0,0,N593/M593)</f>
        <v>1</v>
      </c>
      <c r="U593" s="40" t="n">
        <f aca="false">IF(M593=0,0,O593/M593)</f>
        <v>0</v>
      </c>
      <c r="V593" s="41" t="n">
        <f aca="false">IF(M593=0,0,P593/M593)</f>
        <v>0</v>
      </c>
      <c r="W593" s="40" t="n">
        <f aca="false">IF(L593=0,0,Q593/L593)</f>
        <v>0</v>
      </c>
    </row>
    <row r="594" customFormat="false" ht="15" hidden="false" customHeight="false" outlineLevel="0" collapsed="false">
      <c r="A594" s="37" t="s">
        <v>1896</v>
      </c>
      <c r="B594" s="38" t="n">
        <v>46063.9792824074</v>
      </c>
      <c r="C594" s="37" t="s">
        <v>1201</v>
      </c>
      <c r="D594" s="37" t="s">
        <v>237</v>
      </c>
      <c r="E594" s="37" t="s">
        <v>238</v>
      </c>
      <c r="F594" s="37" t="s">
        <v>559</v>
      </c>
      <c r="G594" s="37" t="s">
        <v>1297</v>
      </c>
      <c r="H594" s="37"/>
      <c r="I594" s="37" t="s">
        <v>234</v>
      </c>
      <c r="J594" s="37" t="s">
        <v>236</v>
      </c>
      <c r="K594" s="37" t="s">
        <v>1202</v>
      </c>
      <c r="L594" s="39" t="n">
        <v>2492</v>
      </c>
      <c r="M594" s="39" t="n">
        <v>2481</v>
      </c>
      <c r="N594" s="39" t="n">
        <v>568</v>
      </c>
      <c r="O594" s="39" t="n">
        <v>126</v>
      </c>
      <c r="P594" s="39" t="n">
        <v>7</v>
      </c>
      <c r="Q594" s="39" t="n">
        <v>11</v>
      </c>
      <c r="R594" s="39" t="n">
        <v>8</v>
      </c>
      <c r="S594" s="39" t="n">
        <v>0</v>
      </c>
      <c r="T594" s="40" t="n">
        <f aca="false">IF(M594=0,0,N594/M594)</f>
        <v>0.228939943571141</v>
      </c>
      <c r="U594" s="40" t="n">
        <f aca="false">IF(M594=0,0,O594/M594)</f>
        <v>0.0507859733978235</v>
      </c>
      <c r="V594" s="41" t="n">
        <f aca="false">IF(M594=0,0,P594/M594)</f>
        <v>0.00282144296654575</v>
      </c>
      <c r="W594" s="40" t="n">
        <f aca="false">IF(L594=0,0,Q594/L594)</f>
        <v>0.00441412520064206</v>
      </c>
    </row>
    <row r="595" customFormat="false" ht="15" hidden="false" customHeight="false" outlineLevel="0" collapsed="false">
      <c r="A595" s="37" t="s">
        <v>1897</v>
      </c>
      <c r="B595" s="38" t="n">
        <v>46063.6266550926</v>
      </c>
      <c r="C595" s="37" t="s">
        <v>1201</v>
      </c>
      <c r="D595" s="37" t="s">
        <v>198</v>
      </c>
      <c r="E595" s="37" t="s">
        <v>1898</v>
      </c>
      <c r="F595" s="37" t="s">
        <v>544</v>
      </c>
      <c r="G595" s="37"/>
      <c r="H595" s="37"/>
      <c r="I595" s="37"/>
      <c r="J595" s="37" t="s">
        <v>191</v>
      </c>
      <c r="K595" s="37" t="s">
        <v>1213</v>
      </c>
      <c r="L595" s="39" t="n">
        <v>23</v>
      </c>
      <c r="M595" s="39" t="n">
        <v>23</v>
      </c>
      <c r="N595" s="39" t="n">
        <v>18</v>
      </c>
      <c r="O595" s="39" t="n">
        <v>0</v>
      </c>
      <c r="P595" s="39" t="n">
        <v>0</v>
      </c>
      <c r="Q595" s="39" t="n">
        <v>0</v>
      </c>
      <c r="R595" s="39" t="n">
        <v>0</v>
      </c>
      <c r="S595" s="39" t="n">
        <v>0</v>
      </c>
      <c r="T595" s="40" t="n">
        <f aca="false">IF(M595=0,0,N595/M595)</f>
        <v>0.782608695652174</v>
      </c>
      <c r="U595" s="40" t="n">
        <f aca="false">IF(M595=0,0,O595/M595)</f>
        <v>0</v>
      </c>
      <c r="V595" s="41" t="n">
        <f aca="false">IF(M595=0,0,P595/M595)</f>
        <v>0</v>
      </c>
      <c r="W595" s="40" t="n">
        <f aca="false">IF(L595=0,0,Q595/L595)</f>
        <v>0</v>
      </c>
    </row>
    <row r="596" customFormat="false" ht="15" hidden="false" customHeight="false" outlineLevel="0" collapsed="false">
      <c r="A596" s="37" t="s">
        <v>1899</v>
      </c>
      <c r="B596" s="38" t="n">
        <v>46063.5386574074</v>
      </c>
      <c r="C596" s="37" t="s">
        <v>1201</v>
      </c>
      <c r="D596" s="37" t="s">
        <v>1600</v>
      </c>
      <c r="E596" s="37" t="s">
        <v>288</v>
      </c>
      <c r="F596" s="37" t="s">
        <v>548</v>
      </c>
      <c r="G596" s="37"/>
      <c r="H596" s="37"/>
      <c r="I596" s="37"/>
      <c r="J596" s="37" t="s">
        <v>287</v>
      </c>
      <c r="K596" s="37" t="s">
        <v>1213</v>
      </c>
      <c r="L596" s="39" t="n">
        <v>109</v>
      </c>
      <c r="M596" s="39" t="n">
        <v>109</v>
      </c>
      <c r="N596" s="39" t="n">
        <v>59</v>
      </c>
      <c r="O596" s="39" t="n">
        <v>17</v>
      </c>
      <c r="P596" s="39" t="n">
        <v>2</v>
      </c>
      <c r="Q596" s="39" t="n">
        <v>0</v>
      </c>
      <c r="R596" s="39" t="n">
        <v>0</v>
      </c>
      <c r="S596" s="39" t="n">
        <v>0</v>
      </c>
      <c r="T596" s="40" t="n">
        <f aca="false">IF(M596=0,0,N596/M596)</f>
        <v>0.541284403669725</v>
      </c>
      <c r="U596" s="40" t="n">
        <f aca="false">IF(M596=0,0,O596/M596)</f>
        <v>0.155963302752294</v>
      </c>
      <c r="V596" s="41" t="n">
        <f aca="false">IF(M596=0,0,P596/M596)</f>
        <v>0.018348623853211</v>
      </c>
      <c r="W596" s="40" t="n">
        <f aca="false">IF(L596=0,0,Q596/L596)</f>
        <v>0</v>
      </c>
    </row>
    <row r="597" customFormat="false" ht="15" hidden="false" customHeight="false" outlineLevel="0" collapsed="false">
      <c r="A597" s="37" t="s">
        <v>1900</v>
      </c>
      <c r="B597" s="38" t="n">
        <v>46062.8471990741</v>
      </c>
      <c r="C597" s="37" t="s">
        <v>1201</v>
      </c>
      <c r="D597" s="37" t="s">
        <v>1211</v>
      </c>
      <c r="E597" s="37" t="s">
        <v>1212</v>
      </c>
      <c r="F597" s="37" t="s">
        <v>544</v>
      </c>
      <c r="G597" s="37"/>
      <c r="H597" s="37"/>
      <c r="I597" s="37"/>
      <c r="J597" s="37" t="s">
        <v>100</v>
      </c>
      <c r="K597" s="37" t="s">
        <v>1213</v>
      </c>
      <c r="L597" s="39" t="n">
        <v>127</v>
      </c>
      <c r="M597" s="39" t="n">
        <v>127</v>
      </c>
      <c r="N597" s="39" t="n">
        <v>71</v>
      </c>
      <c r="O597" s="39" t="n">
        <v>16</v>
      </c>
      <c r="P597" s="39" t="n">
        <v>0</v>
      </c>
      <c r="Q597" s="39" t="n">
        <v>0</v>
      </c>
      <c r="R597" s="39" t="n">
        <v>0</v>
      </c>
      <c r="S597" s="39" t="n">
        <v>0</v>
      </c>
      <c r="T597" s="40" t="n">
        <f aca="false">IF(M597=0,0,N597/M597)</f>
        <v>0.559055118110236</v>
      </c>
      <c r="U597" s="40" t="n">
        <f aca="false">IF(M597=0,0,O597/M597)</f>
        <v>0.125984251968504</v>
      </c>
      <c r="V597" s="41" t="n">
        <f aca="false">IF(M597=0,0,P597/M597)</f>
        <v>0</v>
      </c>
      <c r="W597" s="40" t="n">
        <f aca="false">IF(L597=0,0,Q597/L597)</f>
        <v>0</v>
      </c>
    </row>
    <row r="598" customFormat="false" ht="15" hidden="false" customHeight="false" outlineLevel="0" collapsed="false">
      <c r="A598" s="37" t="s">
        <v>1901</v>
      </c>
      <c r="B598" s="38" t="n">
        <v>46062.5150462963</v>
      </c>
      <c r="C598" s="37" t="s">
        <v>1201</v>
      </c>
      <c r="D598" s="37" t="s">
        <v>1453</v>
      </c>
      <c r="E598" s="37" t="s">
        <v>1360</v>
      </c>
      <c r="F598" s="37" t="s">
        <v>550</v>
      </c>
      <c r="G598" s="37" t="s">
        <v>1902</v>
      </c>
      <c r="H598" s="37"/>
      <c r="I598" s="37"/>
      <c r="J598" s="37" t="s">
        <v>100</v>
      </c>
      <c r="K598" s="37" t="s">
        <v>1213</v>
      </c>
      <c r="L598" s="39" t="n">
        <v>3788</v>
      </c>
      <c r="M598" s="39" t="n">
        <v>3137</v>
      </c>
      <c r="N598" s="39" t="n">
        <v>790</v>
      </c>
      <c r="O598" s="39" t="n">
        <v>28</v>
      </c>
      <c r="P598" s="39" t="n">
        <v>64</v>
      </c>
      <c r="Q598" s="39" t="n">
        <v>651</v>
      </c>
      <c r="R598" s="39" t="n">
        <v>612</v>
      </c>
      <c r="S598" s="39" t="n">
        <v>0</v>
      </c>
      <c r="T598" s="40" t="n">
        <f aca="false">IF(M598=0,0,N598/M598)</f>
        <v>0.251832961428116</v>
      </c>
      <c r="U598" s="40" t="n">
        <f aca="false">IF(M598=0,0,O598/M598)</f>
        <v>0.00892572521517373</v>
      </c>
      <c r="V598" s="41" t="n">
        <f aca="false">IF(M598=0,0,P598/M598)</f>
        <v>0.0204016576346828</v>
      </c>
      <c r="W598" s="40" t="n">
        <f aca="false">IF(L598=0,0,Q598/L598)</f>
        <v>0.171858500527983</v>
      </c>
    </row>
    <row r="599" customFormat="false" ht="15" hidden="false" customHeight="false" outlineLevel="0" collapsed="false">
      <c r="A599" s="37" t="s">
        <v>1903</v>
      </c>
      <c r="B599" s="38" t="n">
        <v>46062.2921296296</v>
      </c>
      <c r="C599" s="37" t="s">
        <v>1201</v>
      </c>
      <c r="D599" s="37" t="s">
        <v>1504</v>
      </c>
      <c r="E599" s="37" t="s">
        <v>238</v>
      </c>
      <c r="F599" s="37" t="s">
        <v>555</v>
      </c>
      <c r="G599" s="37"/>
      <c r="H599" s="37"/>
      <c r="I599" s="37" t="s">
        <v>143</v>
      </c>
      <c r="J599" s="37" t="s">
        <v>144</v>
      </c>
      <c r="K599" s="37" t="s">
        <v>1202</v>
      </c>
      <c r="L599" s="39" t="n">
        <v>2443</v>
      </c>
      <c r="M599" s="39" t="n">
        <v>2361</v>
      </c>
      <c r="N599" s="39" t="n">
        <v>590</v>
      </c>
      <c r="O599" s="39" t="n">
        <v>64</v>
      </c>
      <c r="P599" s="39" t="n">
        <v>45</v>
      </c>
      <c r="Q599" s="39" t="n">
        <v>82</v>
      </c>
      <c r="R599" s="39" t="n">
        <v>27</v>
      </c>
      <c r="S599" s="39" t="n">
        <v>0</v>
      </c>
      <c r="T599" s="40" t="n">
        <f aca="false">IF(M599=0,0,N599/M599)</f>
        <v>0.249894112664125</v>
      </c>
      <c r="U599" s="40" t="n">
        <f aca="false">IF(M599=0,0,O599/M599)</f>
        <v>0.0271071579839051</v>
      </c>
      <c r="V599" s="41" t="n">
        <f aca="false">IF(M599=0,0,P599/M599)</f>
        <v>0.0190597204574333</v>
      </c>
      <c r="W599" s="40" t="n">
        <f aca="false">IF(L599=0,0,Q599/L599)</f>
        <v>0.0335652885796152</v>
      </c>
    </row>
    <row r="600" customFormat="false" ht="15" hidden="false" customHeight="false" outlineLevel="0" collapsed="false">
      <c r="A600" s="37" t="s">
        <v>1904</v>
      </c>
      <c r="B600" s="38" t="n">
        <v>46059.5913541667</v>
      </c>
      <c r="C600" s="37" t="s">
        <v>1201</v>
      </c>
      <c r="D600" s="37" t="s">
        <v>1453</v>
      </c>
      <c r="E600" s="37" t="s">
        <v>1360</v>
      </c>
      <c r="F600" s="37" t="s">
        <v>550</v>
      </c>
      <c r="G600" s="37" t="s">
        <v>1902</v>
      </c>
      <c r="H600" s="37"/>
      <c r="I600" s="37"/>
      <c r="J600" s="37" t="s">
        <v>100</v>
      </c>
      <c r="K600" s="37" t="s">
        <v>1213</v>
      </c>
      <c r="L600" s="39" t="n">
        <v>1855</v>
      </c>
      <c r="M600" s="39" t="n">
        <v>1737</v>
      </c>
      <c r="N600" s="39" t="n">
        <v>634</v>
      </c>
      <c r="O600" s="39" t="n">
        <v>55</v>
      </c>
      <c r="P600" s="39" t="n">
        <v>29</v>
      </c>
      <c r="Q600" s="39" t="n">
        <v>118</v>
      </c>
      <c r="R600" s="39" t="n">
        <v>108</v>
      </c>
      <c r="S600" s="39" t="n">
        <v>0</v>
      </c>
      <c r="T600" s="40" t="n">
        <f aca="false">IF(M600=0,0,N600/M600)</f>
        <v>0.364997121473805</v>
      </c>
      <c r="U600" s="40" t="n">
        <f aca="false">IF(M600=0,0,O600/M600)</f>
        <v>0.0316637881404721</v>
      </c>
      <c r="V600" s="41" t="n">
        <f aca="false">IF(M600=0,0,P600/M600)</f>
        <v>0.0166954519286126</v>
      </c>
      <c r="W600" s="40" t="n">
        <f aca="false">IF(L600=0,0,Q600/L600)</f>
        <v>0.0636118598382749</v>
      </c>
    </row>
    <row r="601" customFormat="false" ht="15" hidden="false" customHeight="false" outlineLevel="0" collapsed="false">
      <c r="A601" s="37" t="s">
        <v>1905</v>
      </c>
      <c r="B601" s="38" t="n">
        <v>46058.5906944444</v>
      </c>
      <c r="C601" s="37" t="s">
        <v>1201</v>
      </c>
      <c r="D601" s="37" t="s">
        <v>1392</v>
      </c>
      <c r="E601" s="37" t="s">
        <v>166</v>
      </c>
      <c r="F601" s="37" t="s">
        <v>555</v>
      </c>
      <c r="G601" s="37" t="s">
        <v>1734</v>
      </c>
      <c r="H601" s="37"/>
      <c r="I601" s="37" t="s">
        <v>260</v>
      </c>
      <c r="J601" s="37" t="s">
        <v>164</v>
      </c>
      <c r="K601" s="37" t="s">
        <v>1202</v>
      </c>
      <c r="L601" s="39" t="n">
        <v>21</v>
      </c>
      <c r="M601" s="39" t="n">
        <v>21</v>
      </c>
      <c r="N601" s="39" t="n">
        <v>10</v>
      </c>
      <c r="O601" s="39" t="n">
        <v>1</v>
      </c>
      <c r="P601" s="39" t="n">
        <v>0</v>
      </c>
      <c r="Q601" s="39" t="n">
        <v>0</v>
      </c>
      <c r="R601" s="39" t="n">
        <v>0</v>
      </c>
      <c r="S601" s="39" t="n">
        <v>0</v>
      </c>
      <c r="T601" s="40" t="n">
        <f aca="false">IF(M601=0,0,N601/M601)</f>
        <v>0.476190476190476</v>
      </c>
      <c r="U601" s="40" t="n">
        <f aca="false">IF(M601=0,0,O601/M601)</f>
        <v>0.0476190476190476</v>
      </c>
      <c r="V601" s="41" t="n">
        <f aca="false">IF(M601=0,0,P601/M601)</f>
        <v>0</v>
      </c>
      <c r="W601" s="40" t="n">
        <f aca="false">IF(L601=0,0,Q601/L601)</f>
        <v>0</v>
      </c>
    </row>
    <row r="602" customFormat="false" ht="15" hidden="false" customHeight="false" outlineLevel="0" collapsed="false">
      <c r="A602" s="37" t="s">
        <v>1906</v>
      </c>
      <c r="B602" s="38" t="n">
        <v>46058.4178935185</v>
      </c>
      <c r="C602" s="37" t="s">
        <v>1201</v>
      </c>
      <c r="D602" s="37" t="s">
        <v>230</v>
      </c>
      <c r="E602" s="37" t="s">
        <v>231</v>
      </c>
      <c r="F602" s="37" t="s">
        <v>555</v>
      </c>
      <c r="G602" s="37"/>
      <c r="H602" s="37"/>
      <c r="I602" s="37"/>
      <c r="J602" s="37" t="s">
        <v>229</v>
      </c>
      <c r="K602" s="37" t="s">
        <v>1202</v>
      </c>
      <c r="L602" s="39" t="n">
        <v>529</v>
      </c>
      <c r="M602" s="39" t="n">
        <v>521</v>
      </c>
      <c r="N602" s="39" t="n">
        <v>159</v>
      </c>
      <c r="O602" s="39" t="n">
        <v>27</v>
      </c>
      <c r="P602" s="39" t="n">
        <v>3</v>
      </c>
      <c r="Q602" s="39" t="n">
        <v>8</v>
      </c>
      <c r="R602" s="39" t="n">
        <v>8</v>
      </c>
      <c r="S602" s="39" t="n">
        <v>0</v>
      </c>
      <c r="T602" s="40" t="n">
        <f aca="false">IF(M602=0,0,N602/M602)</f>
        <v>0.305182341650672</v>
      </c>
      <c r="U602" s="40" t="n">
        <f aca="false">IF(M602=0,0,O602/M602)</f>
        <v>0.0518234165067179</v>
      </c>
      <c r="V602" s="41" t="n">
        <f aca="false">IF(M602=0,0,P602/M602)</f>
        <v>0.00575815738963532</v>
      </c>
      <c r="W602" s="40" t="n">
        <f aca="false">IF(L602=0,0,Q602/L602)</f>
        <v>0.0151228733459357</v>
      </c>
    </row>
    <row r="603" customFormat="false" ht="15" hidden="false" customHeight="false" outlineLevel="0" collapsed="false">
      <c r="A603" s="37" t="s">
        <v>1907</v>
      </c>
      <c r="B603" s="38" t="n">
        <v>46058.1841203704</v>
      </c>
      <c r="C603" s="37" t="s">
        <v>1201</v>
      </c>
      <c r="D603" s="37" t="s">
        <v>251</v>
      </c>
      <c r="E603" s="37" t="s">
        <v>251</v>
      </c>
      <c r="F603" s="37" t="s">
        <v>544</v>
      </c>
      <c r="G603" s="37"/>
      <c r="H603" s="37"/>
      <c r="I603" s="37"/>
      <c r="J603" s="37" t="s">
        <v>109</v>
      </c>
      <c r="K603" s="37" t="s">
        <v>1202</v>
      </c>
      <c r="L603" s="39" t="n">
        <v>31</v>
      </c>
      <c r="M603" s="39" t="n">
        <v>31</v>
      </c>
      <c r="N603" s="39" t="n">
        <v>19</v>
      </c>
      <c r="O603" s="39" t="n">
        <v>10</v>
      </c>
      <c r="P603" s="39" t="n">
        <v>1</v>
      </c>
      <c r="Q603" s="39" t="n">
        <v>0</v>
      </c>
      <c r="R603" s="39" t="n">
        <v>0</v>
      </c>
      <c r="S603" s="39" t="n">
        <v>0</v>
      </c>
      <c r="T603" s="40" t="n">
        <f aca="false">IF(M603=0,0,N603/M603)</f>
        <v>0.612903225806452</v>
      </c>
      <c r="U603" s="40" t="n">
        <f aca="false">IF(M603=0,0,O603/M603)</f>
        <v>0.32258064516129</v>
      </c>
      <c r="V603" s="41" t="n">
        <f aca="false">IF(M603=0,0,P603/M603)</f>
        <v>0.032258064516129</v>
      </c>
      <c r="W603" s="40" t="n">
        <f aca="false">IF(L603=0,0,Q603/L603)</f>
        <v>0</v>
      </c>
    </row>
    <row r="604" customFormat="false" ht="15" hidden="false" customHeight="false" outlineLevel="0" collapsed="false">
      <c r="A604" s="37" t="s">
        <v>1908</v>
      </c>
      <c r="B604" s="38" t="n">
        <v>46058.1042824074</v>
      </c>
      <c r="C604" s="37" t="s">
        <v>1201</v>
      </c>
      <c r="D604" s="37" t="s">
        <v>251</v>
      </c>
      <c r="E604" s="37" t="s">
        <v>252</v>
      </c>
      <c r="F604" s="37" t="s">
        <v>544</v>
      </c>
      <c r="G604" s="37"/>
      <c r="H604" s="37"/>
      <c r="I604" s="37"/>
      <c r="J604" s="37" t="s">
        <v>109</v>
      </c>
      <c r="K604" s="37" t="s">
        <v>1202</v>
      </c>
      <c r="L604" s="39" t="n">
        <v>31</v>
      </c>
      <c r="M604" s="39" t="n">
        <v>31</v>
      </c>
      <c r="N604" s="39" t="n">
        <v>24</v>
      </c>
      <c r="O604" s="39" t="n">
        <v>11</v>
      </c>
      <c r="P604" s="39" t="n">
        <v>0</v>
      </c>
      <c r="Q604" s="39" t="n">
        <v>0</v>
      </c>
      <c r="R604" s="39" t="n">
        <v>0</v>
      </c>
      <c r="S604" s="39" t="n">
        <v>0</v>
      </c>
      <c r="T604" s="40" t="n">
        <f aca="false">IF(M604=0,0,N604/M604)</f>
        <v>0.774193548387097</v>
      </c>
      <c r="U604" s="40" t="n">
        <f aca="false">IF(M604=0,0,O604/M604)</f>
        <v>0.354838709677419</v>
      </c>
      <c r="V604" s="41" t="n">
        <f aca="false">IF(M604=0,0,P604/M604)</f>
        <v>0</v>
      </c>
      <c r="W604" s="40" t="n">
        <f aca="false">IF(L604=0,0,Q604/L604)</f>
        <v>0</v>
      </c>
    </row>
    <row r="605" customFormat="false" ht="15" hidden="false" customHeight="false" outlineLevel="0" collapsed="false">
      <c r="A605" s="37" t="s">
        <v>1909</v>
      </c>
      <c r="B605" s="38" t="n">
        <v>46058.0856712963</v>
      </c>
      <c r="C605" s="37" t="s">
        <v>1201</v>
      </c>
      <c r="D605" s="37" t="s">
        <v>1372</v>
      </c>
      <c r="E605" s="37" t="s">
        <v>1373</v>
      </c>
      <c r="F605" s="37" t="s">
        <v>537</v>
      </c>
      <c r="G605" s="37"/>
      <c r="H605" s="37"/>
      <c r="I605" s="37"/>
      <c r="J605" s="37" t="s">
        <v>296</v>
      </c>
      <c r="K605" s="37" t="s">
        <v>1202</v>
      </c>
      <c r="L605" s="39" t="n">
        <v>2</v>
      </c>
      <c r="M605" s="39" t="n">
        <v>2</v>
      </c>
      <c r="N605" s="39" t="n">
        <v>2</v>
      </c>
      <c r="O605" s="39" t="n">
        <v>0</v>
      </c>
      <c r="P605" s="39" t="n">
        <v>0</v>
      </c>
      <c r="Q605" s="39" t="n">
        <v>0</v>
      </c>
      <c r="R605" s="39" t="n">
        <v>0</v>
      </c>
      <c r="S605" s="39" t="n">
        <v>0</v>
      </c>
      <c r="T605" s="40" t="n">
        <f aca="false">IF(M605=0,0,N605/M605)</f>
        <v>1</v>
      </c>
      <c r="U605" s="40" t="n">
        <f aca="false">IF(M605=0,0,O605/M605)</f>
        <v>0</v>
      </c>
      <c r="V605" s="41" t="n">
        <f aca="false">IF(M605=0,0,P605/M605)</f>
        <v>0</v>
      </c>
      <c r="W605" s="40" t="n">
        <f aca="false">IF(L605=0,0,Q605/L605)</f>
        <v>0</v>
      </c>
    </row>
    <row r="606" customFormat="false" ht="15" hidden="false" customHeight="false" outlineLevel="0" collapsed="false">
      <c r="A606" s="37" t="s">
        <v>1910</v>
      </c>
      <c r="B606" s="38" t="n">
        <v>46058.0001273148</v>
      </c>
      <c r="C606" s="37" t="s">
        <v>1201</v>
      </c>
      <c r="D606" s="37" t="s">
        <v>1372</v>
      </c>
      <c r="E606" s="37" t="s">
        <v>1373</v>
      </c>
      <c r="F606" s="37" t="s">
        <v>537</v>
      </c>
      <c r="G606" s="37"/>
      <c r="H606" s="37"/>
      <c r="I606" s="37"/>
      <c r="J606" s="37" t="s">
        <v>296</v>
      </c>
      <c r="K606" s="37" t="s">
        <v>1202</v>
      </c>
      <c r="L606" s="39" t="n">
        <v>2</v>
      </c>
      <c r="M606" s="39" t="n">
        <v>2</v>
      </c>
      <c r="N606" s="39" t="n">
        <v>2</v>
      </c>
      <c r="O606" s="39" t="n">
        <v>0</v>
      </c>
      <c r="P606" s="39" t="n">
        <v>0</v>
      </c>
      <c r="Q606" s="39" t="n">
        <v>0</v>
      </c>
      <c r="R606" s="39" t="n">
        <v>0</v>
      </c>
      <c r="S606" s="39" t="n">
        <v>0</v>
      </c>
      <c r="T606" s="40" t="n">
        <f aca="false">IF(M606=0,0,N606/M606)</f>
        <v>1</v>
      </c>
      <c r="U606" s="40" t="n">
        <f aca="false">IF(M606=0,0,O606/M606)</f>
        <v>0</v>
      </c>
      <c r="V606" s="41" t="n">
        <f aca="false">IF(M606=0,0,P606/M606)</f>
        <v>0</v>
      </c>
      <c r="W606" s="40" t="n">
        <f aca="false">IF(L606=0,0,Q606/L606)</f>
        <v>0</v>
      </c>
    </row>
    <row r="607" customFormat="false" ht="15" hidden="false" customHeight="false" outlineLevel="0" collapsed="false">
      <c r="A607" s="37" t="s">
        <v>1911</v>
      </c>
      <c r="B607" s="38" t="n">
        <v>46057.4810763889</v>
      </c>
      <c r="C607" s="37" t="s">
        <v>1201</v>
      </c>
      <c r="D607" s="37" t="s">
        <v>1912</v>
      </c>
      <c r="E607" s="37" t="s">
        <v>1912</v>
      </c>
      <c r="F607" s="37" t="s">
        <v>590</v>
      </c>
      <c r="G607" s="37"/>
      <c r="H607" s="37"/>
      <c r="I607" s="37"/>
      <c r="J607" s="37" t="s">
        <v>394</v>
      </c>
      <c r="K607" s="37" t="s">
        <v>1202</v>
      </c>
      <c r="L607" s="39" t="n">
        <v>121</v>
      </c>
      <c r="M607" s="39" t="n">
        <v>119</v>
      </c>
      <c r="N607" s="39" t="n">
        <v>65</v>
      </c>
      <c r="O607" s="39" t="n">
        <v>2</v>
      </c>
      <c r="P607" s="39" t="n">
        <v>0</v>
      </c>
      <c r="Q607" s="39" t="n">
        <v>2</v>
      </c>
      <c r="R607" s="39" t="n">
        <v>2</v>
      </c>
      <c r="S607" s="39" t="n">
        <v>0</v>
      </c>
      <c r="T607" s="40" t="n">
        <f aca="false">IF(M607=0,0,N607/M607)</f>
        <v>0.546218487394958</v>
      </c>
      <c r="U607" s="40" t="n">
        <f aca="false">IF(M607=0,0,O607/M607)</f>
        <v>0.0168067226890756</v>
      </c>
      <c r="V607" s="41" t="n">
        <f aca="false">IF(M607=0,0,P607/M607)</f>
        <v>0</v>
      </c>
      <c r="W607" s="40" t="n">
        <f aca="false">IF(L607=0,0,Q607/L607)</f>
        <v>0.0165289256198347</v>
      </c>
    </row>
    <row r="608" customFormat="false" ht="15" hidden="false" customHeight="false" outlineLevel="0" collapsed="false">
      <c r="A608" s="37" t="s">
        <v>1913</v>
      </c>
      <c r="B608" s="38" t="n">
        <v>46057.4171064815</v>
      </c>
      <c r="C608" s="37" t="s">
        <v>1252</v>
      </c>
      <c r="D608" s="37" t="s">
        <v>1523</v>
      </c>
      <c r="E608" s="37" t="s">
        <v>166</v>
      </c>
      <c r="F608" s="37" t="s">
        <v>555</v>
      </c>
      <c r="G608" s="37" t="s">
        <v>1878</v>
      </c>
      <c r="H608" s="37"/>
      <c r="I608" s="37"/>
      <c r="J608" s="37" t="s">
        <v>164</v>
      </c>
      <c r="K608" s="37" t="s">
        <v>1202</v>
      </c>
      <c r="L608" s="39" t="n">
        <v>331</v>
      </c>
      <c r="M608" s="39" t="n">
        <v>331</v>
      </c>
      <c r="N608" s="39" t="n">
        <v>125</v>
      </c>
      <c r="O608" s="39" t="n">
        <v>23</v>
      </c>
      <c r="P608" s="39" t="n">
        <v>1</v>
      </c>
      <c r="Q608" s="39" t="n">
        <v>0</v>
      </c>
      <c r="R608" s="39" t="n">
        <v>0</v>
      </c>
      <c r="S608" s="39" t="n">
        <v>0</v>
      </c>
      <c r="T608" s="40" t="n">
        <f aca="false">IF(M608=0,0,N608/M608)</f>
        <v>0.377643504531722</v>
      </c>
      <c r="U608" s="40" t="n">
        <f aca="false">IF(M608=0,0,O608/M608)</f>
        <v>0.0694864048338369</v>
      </c>
      <c r="V608" s="41" t="n">
        <f aca="false">IF(M608=0,0,P608/M608)</f>
        <v>0.00302114803625378</v>
      </c>
      <c r="W608" s="40" t="n">
        <f aca="false">IF(L608=0,0,Q608/L608)</f>
        <v>0</v>
      </c>
    </row>
    <row r="609" customFormat="false" ht="15" hidden="false" customHeight="false" outlineLevel="0" collapsed="false">
      <c r="A609" s="37" t="s">
        <v>1914</v>
      </c>
      <c r="B609" s="38" t="n">
        <v>46057.3886805556</v>
      </c>
      <c r="C609" s="37" t="s">
        <v>1201</v>
      </c>
      <c r="D609" s="37" t="s">
        <v>1523</v>
      </c>
      <c r="E609" s="37" t="s">
        <v>1915</v>
      </c>
      <c r="F609" s="37" t="s">
        <v>555</v>
      </c>
      <c r="G609" s="37"/>
      <c r="H609" s="37"/>
      <c r="I609" s="37"/>
      <c r="J609" s="37" t="s">
        <v>164</v>
      </c>
      <c r="K609" s="37" t="s">
        <v>1202</v>
      </c>
      <c r="L609" s="39" t="n">
        <v>85</v>
      </c>
      <c r="M609" s="39" t="n">
        <v>85</v>
      </c>
      <c r="N609" s="39" t="n">
        <v>28</v>
      </c>
      <c r="O609" s="39" t="n">
        <v>10</v>
      </c>
      <c r="P609" s="39" t="n">
        <v>0</v>
      </c>
      <c r="Q609" s="39" t="n">
        <v>0</v>
      </c>
      <c r="R609" s="39" t="n">
        <v>0</v>
      </c>
      <c r="S609" s="39" t="n">
        <v>0</v>
      </c>
      <c r="T609" s="40" t="n">
        <f aca="false">IF(M609=0,0,N609/M609)</f>
        <v>0.329411764705882</v>
      </c>
      <c r="U609" s="40" t="n">
        <f aca="false">IF(M609=0,0,O609/M609)</f>
        <v>0.117647058823529</v>
      </c>
      <c r="V609" s="41" t="n">
        <f aca="false">IF(M609=0,0,P609/M609)</f>
        <v>0</v>
      </c>
      <c r="W609" s="40" t="n">
        <f aca="false">IF(L609=0,0,Q609/L609)</f>
        <v>0</v>
      </c>
    </row>
    <row r="610" customFormat="false" ht="15" hidden="false" customHeight="false" outlineLevel="0" collapsed="false">
      <c r="A610" s="37" t="s">
        <v>1916</v>
      </c>
      <c r="B610" s="38" t="n">
        <v>46056.875462963</v>
      </c>
      <c r="C610" s="37" t="s">
        <v>1201</v>
      </c>
      <c r="D610" s="37" t="s">
        <v>152</v>
      </c>
      <c r="E610" s="37" t="s">
        <v>1344</v>
      </c>
      <c r="F610" s="37" t="s">
        <v>152</v>
      </c>
      <c r="G610" s="37"/>
      <c r="H610" s="37"/>
      <c r="I610" s="37" t="s">
        <v>150</v>
      </c>
      <c r="J610" s="37" t="s">
        <v>151</v>
      </c>
      <c r="K610" s="37" t="s">
        <v>1202</v>
      </c>
      <c r="L610" s="39" t="n">
        <v>4373</v>
      </c>
      <c r="M610" s="39" t="n">
        <v>4365</v>
      </c>
      <c r="N610" s="39" t="n">
        <v>1092</v>
      </c>
      <c r="O610" s="39" t="n">
        <v>154</v>
      </c>
      <c r="P610" s="39" t="n">
        <v>9</v>
      </c>
      <c r="Q610" s="39" t="n">
        <v>8</v>
      </c>
      <c r="R610" s="39" t="n">
        <v>7</v>
      </c>
      <c r="S610" s="39" t="n">
        <v>0</v>
      </c>
      <c r="T610" s="40" t="n">
        <f aca="false">IF(M610=0,0,N610/M610)</f>
        <v>0.250171821305842</v>
      </c>
      <c r="U610" s="40" t="n">
        <f aca="false">IF(M610=0,0,O610/M610)</f>
        <v>0.0352806414662085</v>
      </c>
      <c r="V610" s="41" t="n">
        <f aca="false">IF(M610=0,0,P610/M610)</f>
        <v>0.00206185567010309</v>
      </c>
      <c r="W610" s="40" t="n">
        <f aca="false">IF(L610=0,0,Q610/L610)</f>
        <v>0.00182940772924766</v>
      </c>
    </row>
    <row r="611" customFormat="false" ht="15" hidden="false" customHeight="false" outlineLevel="0" collapsed="false">
      <c r="A611" s="37" t="s">
        <v>1917</v>
      </c>
      <c r="B611" s="38" t="n">
        <v>46056.0589236111</v>
      </c>
      <c r="C611" s="37" t="s">
        <v>1201</v>
      </c>
      <c r="D611" s="37" t="s">
        <v>1816</v>
      </c>
      <c r="E611" s="37" t="s">
        <v>1259</v>
      </c>
      <c r="F611" s="37" t="s">
        <v>127</v>
      </c>
      <c r="G611" s="37" t="s">
        <v>1887</v>
      </c>
      <c r="H611" s="37"/>
      <c r="I611" s="37"/>
      <c r="J611" s="37" t="s">
        <v>126</v>
      </c>
      <c r="K611" s="37" t="s">
        <v>1202</v>
      </c>
      <c r="L611" s="39" t="n">
        <v>79</v>
      </c>
      <c r="M611" s="39" t="n">
        <v>79</v>
      </c>
      <c r="N611" s="39" t="n">
        <v>28</v>
      </c>
      <c r="O611" s="39" t="n">
        <v>1</v>
      </c>
      <c r="P611" s="39" t="n">
        <v>0</v>
      </c>
      <c r="Q611" s="39" t="n">
        <v>0</v>
      </c>
      <c r="R611" s="39" t="n">
        <v>0</v>
      </c>
      <c r="S611" s="39" t="n">
        <v>0</v>
      </c>
      <c r="T611" s="40" t="n">
        <f aca="false">IF(M611=0,0,N611/M611)</f>
        <v>0.354430379746835</v>
      </c>
      <c r="U611" s="40" t="n">
        <f aca="false">IF(M611=0,0,O611/M611)</f>
        <v>0.0126582278481013</v>
      </c>
      <c r="V611" s="41" t="n">
        <f aca="false">IF(M611=0,0,P611/M611)</f>
        <v>0</v>
      </c>
      <c r="W611" s="40" t="n">
        <f aca="false">IF(L611=0,0,Q611/L611)</f>
        <v>0</v>
      </c>
    </row>
    <row r="612" customFormat="false" ht="15" hidden="false" customHeight="false" outlineLevel="0" collapsed="false">
      <c r="A612" s="37" t="s">
        <v>1918</v>
      </c>
      <c r="B612" s="38" t="n">
        <v>46056.0354513889</v>
      </c>
      <c r="C612" s="37" t="s">
        <v>1201</v>
      </c>
      <c r="D612" s="37" t="s">
        <v>1816</v>
      </c>
      <c r="E612" s="37" t="s">
        <v>1259</v>
      </c>
      <c r="F612" s="37" t="s">
        <v>127</v>
      </c>
      <c r="G612" s="37" t="s">
        <v>1887</v>
      </c>
      <c r="H612" s="37"/>
      <c r="I612" s="37"/>
      <c r="J612" s="37" t="s">
        <v>126</v>
      </c>
      <c r="K612" s="37" t="s">
        <v>1202</v>
      </c>
      <c r="L612" s="39" t="n">
        <v>36</v>
      </c>
      <c r="M612" s="39" t="n">
        <v>36</v>
      </c>
      <c r="N612" s="39" t="n">
        <v>27</v>
      </c>
      <c r="O612" s="39" t="n">
        <v>7</v>
      </c>
      <c r="P612" s="39" t="n">
        <v>0</v>
      </c>
      <c r="Q612" s="39" t="n">
        <v>0</v>
      </c>
      <c r="R612" s="39" t="n">
        <v>0</v>
      </c>
      <c r="S612" s="39" t="n">
        <v>0</v>
      </c>
      <c r="T612" s="40" t="n">
        <f aca="false">IF(M612=0,0,N612/M612)</f>
        <v>0.75</v>
      </c>
      <c r="U612" s="40" t="n">
        <f aca="false">IF(M612=0,0,O612/M612)</f>
        <v>0.194444444444444</v>
      </c>
      <c r="V612" s="41" t="n">
        <f aca="false">IF(M612=0,0,P612/M612)</f>
        <v>0</v>
      </c>
      <c r="W612" s="40" t="n">
        <f aca="false">IF(L612=0,0,Q612/L612)</f>
        <v>0</v>
      </c>
    </row>
    <row r="613" customFormat="false" ht="15" hidden="false" customHeight="false" outlineLevel="0" collapsed="false">
      <c r="A613" s="37" t="s">
        <v>1919</v>
      </c>
      <c r="B613" s="38" t="n">
        <v>46055.8657060185</v>
      </c>
      <c r="C613" s="37" t="s">
        <v>1201</v>
      </c>
      <c r="D613" s="37" t="s">
        <v>1211</v>
      </c>
      <c r="E613" s="37" t="s">
        <v>1212</v>
      </c>
      <c r="F613" s="37" t="s">
        <v>544</v>
      </c>
      <c r="G613" s="37"/>
      <c r="H613" s="37"/>
      <c r="I613" s="37"/>
      <c r="J613" s="37" t="s">
        <v>100</v>
      </c>
      <c r="K613" s="37" t="s">
        <v>1213</v>
      </c>
      <c r="L613" s="39" t="n">
        <v>128</v>
      </c>
      <c r="M613" s="39" t="n">
        <v>128</v>
      </c>
      <c r="N613" s="39" t="n">
        <v>73</v>
      </c>
      <c r="O613" s="39" t="n">
        <v>2</v>
      </c>
      <c r="P613" s="39" t="n">
        <v>0</v>
      </c>
      <c r="Q613" s="39" t="n">
        <v>0</v>
      </c>
      <c r="R613" s="39" t="n">
        <v>0</v>
      </c>
      <c r="S613" s="39" t="n">
        <v>0</v>
      </c>
      <c r="T613" s="40" t="n">
        <f aca="false">IF(M613=0,0,N613/M613)</f>
        <v>0.5703125</v>
      </c>
      <c r="U613" s="40" t="n">
        <f aca="false">IF(M613=0,0,O613/M613)</f>
        <v>0.015625</v>
      </c>
      <c r="V613" s="41" t="n">
        <f aca="false">IF(M613=0,0,P613/M613)</f>
        <v>0</v>
      </c>
      <c r="W613" s="40" t="n">
        <f aca="false">IF(L613=0,0,Q613/L613)</f>
        <v>0</v>
      </c>
    </row>
    <row r="614" customFormat="false" ht="15" hidden="false" customHeight="false" outlineLevel="0" collapsed="false">
      <c r="A614" s="37" t="s">
        <v>1920</v>
      </c>
      <c r="B614" s="38" t="n">
        <v>46055.402974537</v>
      </c>
      <c r="C614" s="37" t="s">
        <v>1201</v>
      </c>
      <c r="D614" s="37" t="s">
        <v>185</v>
      </c>
      <c r="E614" s="37" t="s">
        <v>186</v>
      </c>
      <c r="F614" s="37" t="s">
        <v>544</v>
      </c>
      <c r="G614" s="37"/>
      <c r="H614" s="37"/>
      <c r="I614" s="37"/>
      <c r="J614" s="37" t="s">
        <v>184</v>
      </c>
      <c r="K614" s="37" t="s">
        <v>1202</v>
      </c>
      <c r="L614" s="39" t="n">
        <v>34</v>
      </c>
      <c r="M614" s="39" t="n">
        <v>34</v>
      </c>
      <c r="N614" s="39" t="n">
        <v>20</v>
      </c>
      <c r="O614" s="39" t="n">
        <v>15</v>
      </c>
      <c r="P614" s="39" t="n">
        <v>0</v>
      </c>
      <c r="Q614" s="39" t="n">
        <v>0</v>
      </c>
      <c r="R614" s="39" t="n">
        <v>0</v>
      </c>
      <c r="S614" s="39" t="n">
        <v>0</v>
      </c>
      <c r="T614" s="40" t="n">
        <f aca="false">IF(M614=0,0,N614/M614)</f>
        <v>0.588235294117647</v>
      </c>
      <c r="U614" s="40" t="n">
        <f aca="false">IF(M614=0,0,O614/M614)</f>
        <v>0.441176470588235</v>
      </c>
      <c r="V614" s="41" t="n">
        <f aca="false">IF(M614=0,0,P614/M614)</f>
        <v>0</v>
      </c>
      <c r="W614" s="40" t="n">
        <f aca="false">IF(L614=0,0,Q614/L614)</f>
        <v>0</v>
      </c>
    </row>
    <row r="615" customFormat="false" ht="15" hidden="false" customHeight="false" outlineLevel="0" collapsed="false">
      <c r="A615" s="37" t="s">
        <v>1921</v>
      </c>
      <c r="B615" s="38" t="n">
        <v>46052.5865972222</v>
      </c>
      <c r="C615" s="37" t="s">
        <v>1201</v>
      </c>
      <c r="D615" s="37" t="s">
        <v>1523</v>
      </c>
      <c r="E615" s="37" t="s">
        <v>166</v>
      </c>
      <c r="F615" s="37" t="s">
        <v>555</v>
      </c>
      <c r="G615" s="37" t="s">
        <v>1878</v>
      </c>
      <c r="H615" s="37"/>
      <c r="I615" s="37"/>
      <c r="J615" s="37" t="s">
        <v>164</v>
      </c>
      <c r="K615" s="37" t="s">
        <v>1202</v>
      </c>
      <c r="L615" s="39" t="n">
        <v>0</v>
      </c>
      <c r="M615" s="39" t="n">
        <v>0</v>
      </c>
      <c r="N615" s="39" t="n">
        <v>0</v>
      </c>
      <c r="O615" s="39" t="n">
        <v>0</v>
      </c>
      <c r="P615" s="39" t="n">
        <v>0</v>
      </c>
      <c r="Q615" s="39" t="n">
        <v>0</v>
      </c>
      <c r="R615" s="39" t="n">
        <v>0</v>
      </c>
      <c r="S615" s="39" t="n">
        <v>0</v>
      </c>
      <c r="T615" s="40" t="n">
        <f aca="false">IF(M615=0,0,N615/M615)</f>
        <v>0</v>
      </c>
      <c r="U615" s="40" t="n">
        <f aca="false">IF(M615=0,0,O615/M615)</f>
        <v>0</v>
      </c>
      <c r="V615" s="41" t="n">
        <f aca="false">IF(M615=0,0,P615/M615)</f>
        <v>0</v>
      </c>
      <c r="W615" s="40" t="n">
        <f aca="false">IF(L615=0,0,Q615/L615)</f>
        <v>0</v>
      </c>
    </row>
    <row r="616" customFormat="false" ht="15" hidden="false" customHeight="false" outlineLevel="0" collapsed="false">
      <c r="A616" s="37" t="s">
        <v>1922</v>
      </c>
      <c r="B616" s="38" t="n">
        <v>46052.5071759259</v>
      </c>
      <c r="C616" s="37" t="s">
        <v>1201</v>
      </c>
      <c r="D616" s="37" t="s">
        <v>1392</v>
      </c>
      <c r="E616" s="37" t="s">
        <v>166</v>
      </c>
      <c r="F616" s="37" t="s">
        <v>555</v>
      </c>
      <c r="G616" s="37" t="s">
        <v>1734</v>
      </c>
      <c r="H616" s="37"/>
      <c r="I616" s="37" t="s">
        <v>260</v>
      </c>
      <c r="J616" s="37" t="s">
        <v>164</v>
      </c>
      <c r="K616" s="37" t="s">
        <v>1202</v>
      </c>
      <c r="L616" s="39" t="n">
        <v>21</v>
      </c>
      <c r="M616" s="39" t="n">
        <v>21</v>
      </c>
      <c r="N616" s="39" t="n">
        <v>12</v>
      </c>
      <c r="O616" s="39" t="n">
        <v>1</v>
      </c>
      <c r="P616" s="39" t="n">
        <v>0</v>
      </c>
      <c r="Q616" s="39" t="n">
        <v>0</v>
      </c>
      <c r="R616" s="39" t="n">
        <v>0</v>
      </c>
      <c r="S616" s="39" t="n">
        <v>0</v>
      </c>
      <c r="T616" s="40" t="n">
        <f aca="false">IF(M616=0,0,N616/M616)</f>
        <v>0.571428571428571</v>
      </c>
      <c r="U616" s="40" t="n">
        <f aca="false">IF(M616=0,0,O616/M616)</f>
        <v>0.0476190476190476</v>
      </c>
      <c r="V616" s="41" t="n">
        <f aca="false">IF(M616=0,0,P616/M616)</f>
        <v>0</v>
      </c>
      <c r="W616" s="40" t="n">
        <f aca="false">IF(L616=0,0,Q616/L616)</f>
        <v>0</v>
      </c>
    </row>
    <row r="617" customFormat="false" ht="15" hidden="false" customHeight="false" outlineLevel="0" collapsed="false">
      <c r="A617" s="37" t="s">
        <v>1923</v>
      </c>
      <c r="B617" s="38" t="n">
        <v>46052.4522222222</v>
      </c>
      <c r="C617" s="37" t="s">
        <v>1201</v>
      </c>
      <c r="D617" s="37" t="s">
        <v>297</v>
      </c>
      <c r="E617" s="37" t="s">
        <v>1209</v>
      </c>
      <c r="F617" s="37" t="s">
        <v>537</v>
      </c>
      <c r="G617" s="37"/>
      <c r="H617" s="37"/>
      <c r="I617" s="37" t="s">
        <v>294</v>
      </c>
      <c r="J617" s="37" t="s">
        <v>296</v>
      </c>
      <c r="K617" s="37" t="s">
        <v>1202</v>
      </c>
      <c r="L617" s="39" t="n">
        <v>627</v>
      </c>
      <c r="M617" s="39" t="n">
        <v>627</v>
      </c>
      <c r="N617" s="39" t="n">
        <v>109</v>
      </c>
      <c r="O617" s="39" t="n">
        <v>82</v>
      </c>
      <c r="P617" s="39" t="n">
        <v>0</v>
      </c>
      <c r="Q617" s="39" t="n">
        <v>0</v>
      </c>
      <c r="R617" s="39" t="n">
        <v>0</v>
      </c>
      <c r="S617" s="39" t="n">
        <v>0</v>
      </c>
      <c r="T617" s="40" t="n">
        <f aca="false">IF(M617=0,0,N617/M617)</f>
        <v>0.17384370015949</v>
      </c>
      <c r="U617" s="40" t="n">
        <f aca="false">IF(M617=0,0,O617/M617)</f>
        <v>0.130781499202552</v>
      </c>
      <c r="V617" s="41" t="n">
        <f aca="false">IF(M617=0,0,P617/M617)</f>
        <v>0</v>
      </c>
      <c r="W617" s="40" t="n">
        <f aca="false">IF(L617=0,0,Q617/L617)</f>
        <v>0</v>
      </c>
    </row>
    <row r="618" customFormat="false" ht="15" hidden="false" customHeight="false" outlineLevel="0" collapsed="false">
      <c r="A618" s="37" t="s">
        <v>1924</v>
      </c>
      <c r="B618" s="38" t="n">
        <v>46052.4440625</v>
      </c>
      <c r="C618" s="37" t="s">
        <v>1201</v>
      </c>
      <c r="D618" s="37" t="s">
        <v>1523</v>
      </c>
      <c r="E618" s="37" t="s">
        <v>166</v>
      </c>
      <c r="F618" s="37" t="s">
        <v>555</v>
      </c>
      <c r="G618" s="37" t="s">
        <v>1878</v>
      </c>
      <c r="H618" s="37"/>
      <c r="I618" s="37"/>
      <c r="J618" s="37" t="s">
        <v>164</v>
      </c>
      <c r="K618" s="37" t="s">
        <v>1202</v>
      </c>
      <c r="L618" s="39" t="n">
        <v>87</v>
      </c>
      <c r="M618" s="39" t="n">
        <v>87</v>
      </c>
      <c r="N618" s="39" t="n">
        <v>35</v>
      </c>
      <c r="O618" s="39" t="n">
        <v>12</v>
      </c>
      <c r="P618" s="39" t="n">
        <v>0</v>
      </c>
      <c r="Q618" s="39" t="n">
        <v>0</v>
      </c>
      <c r="R618" s="39" t="n">
        <v>0</v>
      </c>
      <c r="S618" s="39" t="n">
        <v>0</v>
      </c>
      <c r="T618" s="40" t="n">
        <f aca="false">IF(M618=0,0,N618/M618)</f>
        <v>0.402298850574713</v>
      </c>
      <c r="U618" s="40" t="n">
        <f aca="false">IF(M618=0,0,O618/M618)</f>
        <v>0.137931034482759</v>
      </c>
      <c r="V618" s="41" t="n">
        <f aca="false">IF(M618=0,0,P618/M618)</f>
        <v>0</v>
      </c>
      <c r="W618" s="40" t="n">
        <f aca="false">IF(L618=0,0,Q618/L618)</f>
        <v>0</v>
      </c>
    </row>
    <row r="619" customFormat="false" ht="15" hidden="false" customHeight="false" outlineLevel="0" collapsed="false">
      <c r="A619" s="37" t="s">
        <v>1925</v>
      </c>
      <c r="B619" s="38" t="n">
        <v>46052.4338541667</v>
      </c>
      <c r="C619" s="37" t="s">
        <v>1201</v>
      </c>
      <c r="D619" s="37" t="s">
        <v>1211</v>
      </c>
      <c r="E619" s="37" t="s">
        <v>1212</v>
      </c>
      <c r="F619" s="37" t="s">
        <v>544</v>
      </c>
      <c r="G619" s="37"/>
      <c r="H619" s="37"/>
      <c r="I619" s="37"/>
      <c r="J619" s="37" t="s">
        <v>100</v>
      </c>
      <c r="K619" s="37" t="s">
        <v>1213</v>
      </c>
      <c r="L619" s="39" t="n">
        <v>125</v>
      </c>
      <c r="M619" s="39" t="n">
        <v>125</v>
      </c>
      <c r="N619" s="39" t="n">
        <v>66</v>
      </c>
      <c r="O619" s="39" t="n">
        <v>0</v>
      </c>
      <c r="P619" s="39" t="n">
        <v>0</v>
      </c>
      <c r="Q619" s="39" t="n">
        <v>0</v>
      </c>
      <c r="R619" s="39" t="n">
        <v>0</v>
      </c>
      <c r="S619" s="39" t="n">
        <v>0</v>
      </c>
      <c r="T619" s="40" t="n">
        <f aca="false">IF(M619=0,0,N619/M619)</f>
        <v>0.528</v>
      </c>
      <c r="U619" s="40" t="n">
        <f aca="false">IF(M619=0,0,O619/M619)</f>
        <v>0</v>
      </c>
      <c r="V619" s="41" t="n">
        <f aca="false">IF(M619=0,0,P619/M619)</f>
        <v>0</v>
      </c>
      <c r="W619" s="40" t="n">
        <f aca="false">IF(L619=0,0,Q619/L619)</f>
        <v>0</v>
      </c>
    </row>
    <row r="620" customFormat="false" ht="15" hidden="false" customHeight="false" outlineLevel="0" collapsed="false">
      <c r="A620" s="37" t="s">
        <v>1926</v>
      </c>
      <c r="B620" s="38" t="n">
        <v>46052.4035185185</v>
      </c>
      <c r="C620" s="37" t="s">
        <v>1201</v>
      </c>
      <c r="D620" s="37" t="s">
        <v>185</v>
      </c>
      <c r="E620" s="37" t="s">
        <v>186</v>
      </c>
      <c r="F620" s="37" t="s">
        <v>548</v>
      </c>
      <c r="G620" s="37"/>
      <c r="H620" s="37"/>
      <c r="I620" s="37" t="s">
        <v>212</v>
      </c>
      <c r="J620" s="37" t="s">
        <v>191</v>
      </c>
      <c r="K620" s="37" t="s">
        <v>1202</v>
      </c>
      <c r="L620" s="39" t="n">
        <v>2440</v>
      </c>
      <c r="M620" s="39" t="n">
        <v>2383</v>
      </c>
      <c r="N620" s="39" t="n">
        <v>419</v>
      </c>
      <c r="O620" s="39" t="n">
        <v>42</v>
      </c>
      <c r="P620" s="39" t="n">
        <v>13</v>
      </c>
      <c r="Q620" s="39" t="n">
        <v>57</v>
      </c>
      <c r="R620" s="39" t="n">
        <v>47</v>
      </c>
      <c r="S620" s="39" t="n">
        <v>0</v>
      </c>
      <c r="T620" s="40" t="n">
        <f aca="false">IF(M620=0,0,N620/M620)</f>
        <v>0.175828787242971</v>
      </c>
      <c r="U620" s="40" t="n">
        <f aca="false">IF(M620=0,0,O620/M620)</f>
        <v>0.0176248426353336</v>
      </c>
      <c r="V620" s="41" t="n">
        <f aca="false">IF(M620=0,0,P620/M620)</f>
        <v>0.00545530843474612</v>
      </c>
      <c r="W620" s="40" t="n">
        <f aca="false">IF(L620=0,0,Q620/L620)</f>
        <v>0.0233606557377049</v>
      </c>
    </row>
    <row r="621" customFormat="false" ht="15" hidden="false" customHeight="false" outlineLevel="0" collapsed="false">
      <c r="A621" s="37" t="s">
        <v>1927</v>
      </c>
      <c r="B621" s="38" t="n">
        <v>46052.0626736111</v>
      </c>
      <c r="C621" s="37" t="s">
        <v>1201</v>
      </c>
      <c r="D621" s="37" t="s">
        <v>110</v>
      </c>
      <c r="E621" s="37" t="s">
        <v>252</v>
      </c>
      <c r="F621" s="37" t="s">
        <v>555</v>
      </c>
      <c r="G621" s="37" t="s">
        <v>1215</v>
      </c>
      <c r="H621" s="37"/>
      <c r="I621" s="37" t="s">
        <v>107</v>
      </c>
      <c r="J621" s="37" t="s">
        <v>109</v>
      </c>
      <c r="K621" s="37" t="s">
        <v>1202</v>
      </c>
      <c r="L621" s="39" t="n">
        <v>1924</v>
      </c>
      <c r="M621" s="39" t="n">
        <v>1901</v>
      </c>
      <c r="N621" s="39" t="n">
        <v>270</v>
      </c>
      <c r="O621" s="39" t="n">
        <v>26</v>
      </c>
      <c r="P621" s="39" t="n">
        <v>15</v>
      </c>
      <c r="Q621" s="39" t="n">
        <v>23</v>
      </c>
      <c r="R621" s="39" t="n">
        <v>18</v>
      </c>
      <c r="S621" s="39" t="n">
        <v>0</v>
      </c>
      <c r="T621" s="40" t="n">
        <f aca="false">IF(M621=0,0,N621/M621)</f>
        <v>0.142030510257759</v>
      </c>
      <c r="U621" s="40" t="n">
        <f aca="false">IF(M621=0,0,O621/M621)</f>
        <v>0.0136770120988953</v>
      </c>
      <c r="V621" s="41" t="n">
        <f aca="false">IF(M621=0,0,P621/M621)</f>
        <v>0.00789058390320884</v>
      </c>
      <c r="W621" s="40" t="n">
        <f aca="false">IF(L621=0,0,Q621/L621)</f>
        <v>0.011954261954262</v>
      </c>
    </row>
    <row r="622" customFormat="false" ht="15" hidden="false" customHeight="false" outlineLevel="0" collapsed="false">
      <c r="A622" s="37" t="s">
        <v>1928</v>
      </c>
      <c r="B622" s="38" t="n">
        <v>46051.7087268519</v>
      </c>
      <c r="C622" s="37" t="s">
        <v>1252</v>
      </c>
      <c r="D622" s="37" t="s">
        <v>1242</v>
      </c>
      <c r="E622" s="37" t="s">
        <v>1929</v>
      </c>
      <c r="F622" s="37" t="s">
        <v>555</v>
      </c>
      <c r="G622" s="37" t="s">
        <v>1930</v>
      </c>
      <c r="H622" s="37"/>
      <c r="I622" s="37"/>
      <c r="J622" s="37" t="s">
        <v>354</v>
      </c>
      <c r="K622" s="37" t="s">
        <v>1213</v>
      </c>
      <c r="L622" s="39" t="n">
        <v>5226</v>
      </c>
      <c r="M622" s="39" t="n">
        <v>5025</v>
      </c>
      <c r="N622" s="39" t="n">
        <v>606</v>
      </c>
      <c r="O622" s="39" t="n">
        <v>60</v>
      </c>
      <c r="P622" s="39" t="n">
        <v>30</v>
      </c>
      <c r="Q622" s="39" t="n">
        <v>201</v>
      </c>
      <c r="R622" s="39" t="n">
        <v>149</v>
      </c>
      <c r="S622" s="39" t="n">
        <v>2</v>
      </c>
      <c r="T622" s="40" t="n">
        <f aca="false">IF(M622=0,0,N622/M622)</f>
        <v>0.120597014925373</v>
      </c>
      <c r="U622" s="40" t="n">
        <f aca="false">IF(M622=0,0,O622/M622)</f>
        <v>0.0119402985074627</v>
      </c>
      <c r="V622" s="41" t="n">
        <f aca="false">IF(M622=0,0,P622/M622)</f>
        <v>0.00597014925373134</v>
      </c>
      <c r="W622" s="40" t="n">
        <f aca="false">IF(L622=0,0,Q622/L622)</f>
        <v>0.0384615384615385</v>
      </c>
    </row>
    <row r="623" customFormat="false" ht="15" hidden="false" customHeight="false" outlineLevel="0" collapsed="false">
      <c r="A623" s="37" t="s">
        <v>1931</v>
      </c>
      <c r="B623" s="38" t="n">
        <v>46051.6670717593</v>
      </c>
      <c r="C623" s="37" t="s">
        <v>1201</v>
      </c>
      <c r="D623" s="37" t="s">
        <v>152</v>
      </c>
      <c r="E623" s="37" t="s">
        <v>1344</v>
      </c>
      <c r="F623" s="37" t="s">
        <v>152</v>
      </c>
      <c r="G623" s="37"/>
      <c r="H623" s="37"/>
      <c r="I623" s="37"/>
      <c r="J623" s="37" t="s">
        <v>151</v>
      </c>
      <c r="K623" s="37" t="s">
        <v>1202</v>
      </c>
      <c r="L623" s="39" t="n">
        <v>681</v>
      </c>
      <c r="M623" s="39" t="n">
        <v>641</v>
      </c>
      <c r="N623" s="39" t="n">
        <v>185</v>
      </c>
      <c r="O623" s="39" t="n">
        <v>27</v>
      </c>
      <c r="P623" s="39" t="n">
        <v>2</v>
      </c>
      <c r="Q623" s="39" t="n">
        <v>40</v>
      </c>
      <c r="R623" s="39" t="n">
        <v>40</v>
      </c>
      <c r="S623" s="39" t="n">
        <v>0</v>
      </c>
      <c r="T623" s="40" t="n">
        <f aca="false">IF(M623=0,0,N623/M623)</f>
        <v>0.288611544461778</v>
      </c>
      <c r="U623" s="40" t="n">
        <f aca="false">IF(M623=0,0,O623/M623)</f>
        <v>0.0421216848673947</v>
      </c>
      <c r="V623" s="41" t="n">
        <f aca="false">IF(M623=0,0,P623/M623)</f>
        <v>0.0031201248049922</v>
      </c>
      <c r="W623" s="40" t="n">
        <f aca="false">IF(L623=0,0,Q623/L623)</f>
        <v>0.0587371512481645</v>
      </c>
    </row>
    <row r="624" customFormat="false" ht="15" hidden="false" customHeight="false" outlineLevel="0" collapsed="false">
      <c r="A624" s="37" t="s">
        <v>1932</v>
      </c>
      <c r="B624" s="38" t="n">
        <v>46051.3710185185</v>
      </c>
      <c r="C624" s="37" t="s">
        <v>1201</v>
      </c>
      <c r="D624" s="37" t="s">
        <v>1523</v>
      </c>
      <c r="E624" s="37" t="s">
        <v>166</v>
      </c>
      <c r="F624" s="37" t="s">
        <v>555</v>
      </c>
      <c r="G624" s="37" t="s">
        <v>1878</v>
      </c>
      <c r="H624" s="37"/>
      <c r="I624" s="37"/>
      <c r="J624" s="37" t="s">
        <v>164</v>
      </c>
      <c r="K624" s="37" t="s">
        <v>1202</v>
      </c>
      <c r="L624" s="39" t="n">
        <v>335</v>
      </c>
      <c r="M624" s="39" t="n">
        <v>335</v>
      </c>
      <c r="N624" s="39" t="n">
        <v>125</v>
      </c>
      <c r="O624" s="39" t="n">
        <v>26</v>
      </c>
      <c r="P624" s="39" t="n">
        <v>1</v>
      </c>
      <c r="Q624" s="39" t="n">
        <v>0</v>
      </c>
      <c r="R624" s="39" t="n">
        <v>0</v>
      </c>
      <c r="S624" s="39" t="n">
        <v>0</v>
      </c>
      <c r="T624" s="40" t="n">
        <f aca="false">IF(M624=0,0,N624/M624)</f>
        <v>0.373134328358209</v>
      </c>
      <c r="U624" s="40" t="n">
        <f aca="false">IF(M624=0,0,O624/M624)</f>
        <v>0.0776119402985075</v>
      </c>
      <c r="V624" s="41" t="n">
        <f aca="false">IF(M624=0,0,P624/M624)</f>
        <v>0.00298507462686567</v>
      </c>
      <c r="W624" s="40" t="n">
        <f aca="false">IF(L624=0,0,Q624/L624)</f>
        <v>0</v>
      </c>
    </row>
    <row r="625" customFormat="false" ht="15" hidden="false" customHeight="false" outlineLevel="0" collapsed="false">
      <c r="A625" s="37" t="s">
        <v>1933</v>
      </c>
      <c r="B625" s="38" t="n">
        <v>46051.3503125</v>
      </c>
      <c r="C625" s="37" t="s">
        <v>1201</v>
      </c>
      <c r="D625" s="37" t="s">
        <v>1372</v>
      </c>
      <c r="E625" s="37" t="s">
        <v>1373</v>
      </c>
      <c r="F625" s="37" t="s">
        <v>537</v>
      </c>
      <c r="G625" s="37"/>
      <c r="H625" s="37"/>
      <c r="I625" s="37"/>
      <c r="J625" s="37" t="s">
        <v>296</v>
      </c>
      <c r="K625" s="37" t="s">
        <v>1202</v>
      </c>
      <c r="L625" s="39" t="n">
        <v>2</v>
      </c>
      <c r="M625" s="39" t="n">
        <v>2</v>
      </c>
      <c r="N625" s="39" t="n">
        <v>2</v>
      </c>
      <c r="O625" s="39" t="n">
        <v>0</v>
      </c>
      <c r="P625" s="39" t="n">
        <v>0</v>
      </c>
      <c r="Q625" s="39" t="n">
        <v>0</v>
      </c>
      <c r="R625" s="39" t="n">
        <v>0</v>
      </c>
      <c r="S625" s="39" t="n">
        <v>0</v>
      </c>
      <c r="T625" s="40" t="n">
        <f aca="false">IF(M625=0,0,N625/M625)</f>
        <v>1</v>
      </c>
      <c r="U625" s="40" t="n">
        <f aca="false">IF(M625=0,0,O625/M625)</f>
        <v>0</v>
      </c>
      <c r="V625" s="41" t="n">
        <f aca="false">IF(M625=0,0,P625/M625)</f>
        <v>0</v>
      </c>
      <c r="W625" s="40" t="n">
        <f aca="false">IF(L625=0,0,Q625/L625)</f>
        <v>0</v>
      </c>
    </row>
    <row r="626" customFormat="false" ht="15" hidden="false" customHeight="false" outlineLevel="0" collapsed="false">
      <c r="A626" s="37" t="s">
        <v>1934</v>
      </c>
      <c r="B626" s="38" t="n">
        <v>46051.2509375</v>
      </c>
      <c r="C626" s="37" t="s">
        <v>1201</v>
      </c>
      <c r="D626" s="37" t="s">
        <v>1816</v>
      </c>
      <c r="E626" s="37" t="s">
        <v>1259</v>
      </c>
      <c r="F626" s="37" t="s">
        <v>127</v>
      </c>
      <c r="G626" s="37" t="s">
        <v>1817</v>
      </c>
      <c r="H626" s="37"/>
      <c r="I626" s="37"/>
      <c r="J626" s="37" t="s">
        <v>126</v>
      </c>
      <c r="K626" s="37" t="s">
        <v>1213</v>
      </c>
      <c r="L626" s="39" t="n">
        <v>62</v>
      </c>
      <c r="M626" s="39" t="n">
        <v>61</v>
      </c>
      <c r="N626" s="39" t="n">
        <v>33</v>
      </c>
      <c r="O626" s="39" t="n">
        <v>19</v>
      </c>
      <c r="P626" s="39" t="n">
        <v>0</v>
      </c>
      <c r="Q626" s="39" t="n">
        <v>1</v>
      </c>
      <c r="R626" s="39" t="n">
        <v>1</v>
      </c>
      <c r="S626" s="39" t="n">
        <v>0</v>
      </c>
      <c r="T626" s="40" t="n">
        <f aca="false">IF(M626=0,0,N626/M626)</f>
        <v>0.540983606557377</v>
      </c>
      <c r="U626" s="40" t="n">
        <f aca="false">IF(M626=0,0,O626/M626)</f>
        <v>0.311475409836066</v>
      </c>
      <c r="V626" s="41" t="n">
        <f aca="false">IF(M626=0,0,P626/M626)</f>
        <v>0</v>
      </c>
      <c r="W626" s="40" t="n">
        <f aca="false">IF(L626=0,0,Q626/L626)</f>
        <v>0.0161290322580645</v>
      </c>
    </row>
    <row r="627" customFormat="false" ht="15" hidden="false" customHeight="false" outlineLevel="0" collapsed="false">
      <c r="A627" s="37" t="s">
        <v>1935</v>
      </c>
      <c r="B627" s="38" t="n">
        <v>46051.0939236111</v>
      </c>
      <c r="C627" s="37" t="s">
        <v>1201</v>
      </c>
      <c r="D627" s="37" t="s">
        <v>1936</v>
      </c>
      <c r="E627" s="37" t="s">
        <v>1937</v>
      </c>
      <c r="F627" s="37" t="s">
        <v>641</v>
      </c>
      <c r="G627" s="37" t="s">
        <v>1938</v>
      </c>
      <c r="H627" s="37"/>
      <c r="I627" s="37"/>
      <c r="J627" s="37" t="s">
        <v>394</v>
      </c>
      <c r="K627" s="37" t="s">
        <v>1202</v>
      </c>
      <c r="L627" s="39" t="n">
        <v>1343</v>
      </c>
      <c r="M627" s="39" t="n">
        <v>1309</v>
      </c>
      <c r="N627" s="39" t="n">
        <v>113</v>
      </c>
      <c r="O627" s="39" t="n">
        <v>18</v>
      </c>
      <c r="P627" s="39" t="n">
        <v>9</v>
      </c>
      <c r="Q627" s="39" t="n">
        <v>34</v>
      </c>
      <c r="R627" s="39" t="n">
        <v>27</v>
      </c>
      <c r="S627" s="39" t="n">
        <v>0</v>
      </c>
      <c r="T627" s="40" t="n">
        <f aca="false">IF(M627=0,0,N627/M627)</f>
        <v>0.0863254392666157</v>
      </c>
      <c r="U627" s="40" t="n">
        <f aca="false">IF(M627=0,0,O627/M627)</f>
        <v>0.0137509549274255</v>
      </c>
      <c r="V627" s="41" t="n">
        <f aca="false">IF(M627=0,0,P627/M627)</f>
        <v>0.00687547746371276</v>
      </c>
      <c r="W627" s="40" t="n">
        <f aca="false">IF(L627=0,0,Q627/L627)</f>
        <v>0.0253164556962025</v>
      </c>
    </row>
    <row r="628" customFormat="false" ht="15" hidden="false" customHeight="false" outlineLevel="0" collapsed="false">
      <c r="A628" s="37" t="s">
        <v>1939</v>
      </c>
      <c r="B628" s="38" t="n">
        <v>46050.6571180556</v>
      </c>
      <c r="C628" s="37" t="s">
        <v>1201</v>
      </c>
      <c r="D628" s="37" t="s">
        <v>288</v>
      </c>
      <c r="E628" s="37" t="s">
        <v>288</v>
      </c>
      <c r="F628" s="37" t="s">
        <v>548</v>
      </c>
      <c r="G628" s="37"/>
      <c r="H628" s="37"/>
      <c r="I628" s="37" t="s">
        <v>291</v>
      </c>
      <c r="J628" s="37" t="s">
        <v>287</v>
      </c>
      <c r="K628" s="37" t="s">
        <v>1202</v>
      </c>
      <c r="L628" s="39" t="n">
        <v>3</v>
      </c>
      <c r="M628" s="39" t="n">
        <v>3</v>
      </c>
      <c r="N628" s="39" t="n">
        <v>3</v>
      </c>
      <c r="O628" s="39" t="n">
        <v>2</v>
      </c>
      <c r="P628" s="39" t="n">
        <v>0</v>
      </c>
      <c r="Q628" s="39" t="n">
        <v>0</v>
      </c>
      <c r="R628" s="39" t="n">
        <v>0</v>
      </c>
      <c r="S628" s="39" t="n">
        <v>0</v>
      </c>
      <c r="T628" s="40" t="n">
        <f aca="false">IF(M628=0,0,N628/M628)</f>
        <v>1</v>
      </c>
      <c r="U628" s="40" t="n">
        <f aca="false">IF(M628=0,0,O628/M628)</f>
        <v>0.666666666666667</v>
      </c>
      <c r="V628" s="41" t="n">
        <f aca="false">IF(M628=0,0,P628/M628)</f>
        <v>0</v>
      </c>
      <c r="W628" s="40" t="n">
        <f aca="false">IF(L628=0,0,Q628/L628)</f>
        <v>0</v>
      </c>
    </row>
    <row r="629" customFormat="false" ht="15" hidden="false" customHeight="false" outlineLevel="0" collapsed="false">
      <c r="A629" s="37" t="s">
        <v>1940</v>
      </c>
      <c r="B629" s="38" t="n">
        <v>46050.6563888889</v>
      </c>
      <c r="C629" s="37" t="s">
        <v>1201</v>
      </c>
      <c r="D629" s="37" t="s">
        <v>288</v>
      </c>
      <c r="E629" s="37" t="s">
        <v>288</v>
      </c>
      <c r="F629" s="37" t="s">
        <v>548</v>
      </c>
      <c r="G629" s="37"/>
      <c r="H629" s="37"/>
      <c r="I629" s="37" t="s">
        <v>286</v>
      </c>
      <c r="J629" s="37" t="s">
        <v>287</v>
      </c>
      <c r="K629" s="37" t="s">
        <v>1213</v>
      </c>
      <c r="L629" s="39" t="n">
        <v>1</v>
      </c>
      <c r="M629" s="39" t="n">
        <v>1</v>
      </c>
      <c r="N629" s="39" t="n">
        <v>1</v>
      </c>
      <c r="O629" s="39" t="n">
        <v>0</v>
      </c>
      <c r="P629" s="39" t="n">
        <v>0</v>
      </c>
      <c r="Q629" s="39" t="n">
        <v>0</v>
      </c>
      <c r="R629" s="39" t="n">
        <v>0</v>
      </c>
      <c r="S629" s="39" t="n">
        <v>0</v>
      </c>
      <c r="T629" s="40" t="n">
        <f aca="false">IF(M629=0,0,N629/M629)</f>
        <v>1</v>
      </c>
      <c r="U629" s="40" t="n">
        <f aca="false">IF(M629=0,0,O629/M629)</f>
        <v>0</v>
      </c>
      <c r="V629" s="41" t="n">
        <f aca="false">IF(M629=0,0,P629/M629)</f>
        <v>0</v>
      </c>
      <c r="W629" s="40" t="n">
        <f aca="false">IF(L629=0,0,Q629/L629)</f>
        <v>0</v>
      </c>
    </row>
    <row r="630" customFormat="false" ht="15" hidden="false" customHeight="false" outlineLevel="0" collapsed="false">
      <c r="A630" s="37" t="s">
        <v>1941</v>
      </c>
      <c r="B630" s="38" t="n">
        <v>46050.5997916667</v>
      </c>
      <c r="C630" s="37" t="s">
        <v>1201</v>
      </c>
      <c r="D630" s="37" t="s">
        <v>635</v>
      </c>
      <c r="E630" s="37" t="s">
        <v>1915</v>
      </c>
      <c r="F630" s="37" t="s">
        <v>544</v>
      </c>
      <c r="G630" s="37"/>
      <c r="H630" s="37"/>
      <c r="I630" s="37"/>
      <c r="J630" s="37" t="s">
        <v>164</v>
      </c>
      <c r="K630" s="37" t="s">
        <v>1202</v>
      </c>
      <c r="L630" s="39" t="n">
        <v>16</v>
      </c>
      <c r="M630" s="39" t="n">
        <v>16</v>
      </c>
      <c r="N630" s="39" t="n">
        <v>5</v>
      </c>
      <c r="O630" s="39" t="n">
        <v>2</v>
      </c>
      <c r="P630" s="39" t="n">
        <v>0</v>
      </c>
      <c r="Q630" s="39" t="n">
        <v>0</v>
      </c>
      <c r="R630" s="39" t="n">
        <v>0</v>
      </c>
      <c r="S630" s="39" t="n">
        <v>0</v>
      </c>
      <c r="T630" s="40" t="n">
        <f aca="false">IF(M630=0,0,N630/M630)</f>
        <v>0.3125</v>
      </c>
      <c r="U630" s="40" t="n">
        <f aca="false">IF(M630=0,0,O630/M630)</f>
        <v>0.125</v>
      </c>
      <c r="V630" s="41" t="n">
        <f aca="false">IF(M630=0,0,P630/M630)</f>
        <v>0</v>
      </c>
      <c r="W630" s="40" t="n">
        <f aca="false">IF(L630=0,0,Q630/L630)</f>
        <v>0</v>
      </c>
    </row>
    <row r="631" customFormat="false" ht="15" hidden="false" customHeight="false" outlineLevel="0" collapsed="false">
      <c r="A631" s="37" t="s">
        <v>1942</v>
      </c>
      <c r="B631" s="38" t="n">
        <v>46050.3475925926</v>
      </c>
      <c r="C631" s="37" t="s">
        <v>1201</v>
      </c>
      <c r="D631" s="37" t="s">
        <v>1372</v>
      </c>
      <c r="E631" s="37" t="s">
        <v>1373</v>
      </c>
      <c r="F631" s="37" t="s">
        <v>537</v>
      </c>
      <c r="G631" s="37"/>
      <c r="H631" s="37"/>
      <c r="I631" s="37"/>
      <c r="J631" s="37" t="s">
        <v>296</v>
      </c>
      <c r="K631" s="37" t="s">
        <v>1202</v>
      </c>
      <c r="L631" s="39" t="n">
        <v>2</v>
      </c>
      <c r="M631" s="39" t="n">
        <v>2</v>
      </c>
      <c r="N631" s="39" t="n">
        <v>2</v>
      </c>
      <c r="O631" s="39" t="n">
        <v>0</v>
      </c>
      <c r="P631" s="39" t="n">
        <v>0</v>
      </c>
      <c r="Q631" s="39" t="n">
        <v>0</v>
      </c>
      <c r="R631" s="39" t="n">
        <v>0</v>
      </c>
      <c r="S631" s="39" t="n">
        <v>0</v>
      </c>
      <c r="T631" s="40" t="n">
        <f aca="false">IF(M631=0,0,N631/M631)</f>
        <v>1</v>
      </c>
      <c r="U631" s="40" t="n">
        <f aca="false">IF(M631=0,0,O631/M631)</f>
        <v>0</v>
      </c>
      <c r="V631" s="41" t="n">
        <f aca="false">IF(M631=0,0,P631/M631)</f>
        <v>0</v>
      </c>
      <c r="W631" s="40" t="n">
        <f aca="false">IF(L631=0,0,Q631/L631)</f>
        <v>0</v>
      </c>
    </row>
    <row r="632" customFormat="false" ht="15" hidden="false" customHeight="false" outlineLevel="0" collapsed="false">
      <c r="A632" s="37" t="s">
        <v>1943</v>
      </c>
      <c r="B632" s="38" t="n">
        <v>46050.3334143519</v>
      </c>
      <c r="C632" s="37" t="s">
        <v>1252</v>
      </c>
      <c r="D632" s="37" t="s">
        <v>1562</v>
      </c>
      <c r="E632" s="37" t="s">
        <v>288</v>
      </c>
      <c r="F632" s="37" t="s">
        <v>544</v>
      </c>
      <c r="G632" s="37"/>
      <c r="H632" s="37"/>
      <c r="I632" s="37"/>
      <c r="J632" s="37" t="s">
        <v>287</v>
      </c>
      <c r="K632" s="37" t="s">
        <v>1202</v>
      </c>
      <c r="L632" s="39" t="n">
        <v>520</v>
      </c>
      <c r="M632" s="39" t="n">
        <v>515</v>
      </c>
      <c r="N632" s="39" t="n">
        <v>172</v>
      </c>
      <c r="O632" s="39" t="n">
        <v>30</v>
      </c>
      <c r="P632" s="39" t="n">
        <v>6</v>
      </c>
      <c r="Q632" s="39" t="n">
        <v>5</v>
      </c>
      <c r="R632" s="39" t="n">
        <v>2</v>
      </c>
      <c r="S632" s="39" t="n">
        <v>0</v>
      </c>
      <c r="T632" s="40" t="n">
        <f aca="false">IF(M632=0,0,N632/M632)</f>
        <v>0.333980582524272</v>
      </c>
      <c r="U632" s="40" t="n">
        <f aca="false">IF(M632=0,0,O632/M632)</f>
        <v>0.058252427184466</v>
      </c>
      <c r="V632" s="41" t="n">
        <f aca="false">IF(M632=0,0,P632/M632)</f>
        <v>0.0116504854368932</v>
      </c>
      <c r="W632" s="40" t="n">
        <f aca="false">IF(L632=0,0,Q632/L632)</f>
        <v>0.00961538461538462</v>
      </c>
    </row>
    <row r="633" customFormat="false" ht="15" hidden="false" customHeight="false" outlineLevel="0" collapsed="false">
      <c r="A633" s="37" t="s">
        <v>1944</v>
      </c>
      <c r="B633" s="38" t="n">
        <v>46050.2616666667</v>
      </c>
      <c r="C633" s="37" t="s">
        <v>1252</v>
      </c>
      <c r="D633" s="37" t="s">
        <v>1523</v>
      </c>
      <c r="E633" s="37" t="s">
        <v>166</v>
      </c>
      <c r="F633" s="37" t="s">
        <v>544</v>
      </c>
      <c r="G633" s="37" t="s">
        <v>1878</v>
      </c>
      <c r="H633" s="37"/>
      <c r="I633" s="37"/>
      <c r="J633" s="37" t="s">
        <v>164</v>
      </c>
      <c r="K633" s="37" t="s">
        <v>1202</v>
      </c>
      <c r="L633" s="39" t="n">
        <v>15</v>
      </c>
      <c r="M633" s="39" t="n">
        <v>15</v>
      </c>
      <c r="N633" s="39" t="n">
        <v>3</v>
      </c>
      <c r="O633" s="39" t="n">
        <v>2</v>
      </c>
      <c r="P633" s="39" t="n">
        <v>0</v>
      </c>
      <c r="Q633" s="39" t="n">
        <v>0</v>
      </c>
      <c r="R633" s="39" t="n">
        <v>0</v>
      </c>
      <c r="S633" s="39" t="n">
        <v>0</v>
      </c>
      <c r="T633" s="40" t="n">
        <f aca="false">IF(M633=0,0,N633/M633)</f>
        <v>0.2</v>
      </c>
      <c r="U633" s="40" t="n">
        <f aca="false">IF(M633=0,0,O633/M633)</f>
        <v>0.133333333333333</v>
      </c>
      <c r="V633" s="41" t="n">
        <f aca="false">IF(M633=0,0,P633/M633)</f>
        <v>0</v>
      </c>
      <c r="W633" s="40" t="n">
        <f aca="false">IF(L633=0,0,Q633/L633)</f>
        <v>0</v>
      </c>
    </row>
    <row r="634" customFormat="false" ht="15" hidden="false" customHeight="false" outlineLevel="0" collapsed="false">
      <c r="A634" s="37" t="s">
        <v>1945</v>
      </c>
      <c r="B634" s="38" t="n">
        <v>46049.3958564815</v>
      </c>
      <c r="C634" s="37" t="s">
        <v>1201</v>
      </c>
      <c r="D634" s="37" t="s">
        <v>1372</v>
      </c>
      <c r="E634" s="37" t="s">
        <v>1373</v>
      </c>
      <c r="F634" s="37" t="s">
        <v>537</v>
      </c>
      <c r="G634" s="37"/>
      <c r="H634" s="37"/>
      <c r="I634" s="37"/>
      <c r="J634" s="37" t="s">
        <v>296</v>
      </c>
      <c r="K634" s="37" t="s">
        <v>1202</v>
      </c>
      <c r="L634" s="39" t="n">
        <v>2</v>
      </c>
      <c r="M634" s="39" t="n">
        <v>2</v>
      </c>
      <c r="N634" s="39" t="n">
        <v>2</v>
      </c>
      <c r="O634" s="39" t="n">
        <v>0</v>
      </c>
      <c r="P634" s="39" t="n">
        <v>0</v>
      </c>
      <c r="Q634" s="39" t="n">
        <v>0</v>
      </c>
      <c r="R634" s="39" t="n">
        <v>0</v>
      </c>
      <c r="S634" s="39" t="n">
        <v>0</v>
      </c>
      <c r="T634" s="40" t="n">
        <f aca="false">IF(M634=0,0,N634/M634)</f>
        <v>1</v>
      </c>
      <c r="U634" s="40" t="n">
        <f aca="false">IF(M634=0,0,O634/M634)</f>
        <v>0</v>
      </c>
      <c r="V634" s="41" t="n">
        <f aca="false">IF(M634=0,0,P634/M634)</f>
        <v>0</v>
      </c>
      <c r="W634" s="40" t="n">
        <f aca="false">IF(L634=0,0,Q634/L634)</f>
        <v>0</v>
      </c>
    </row>
    <row r="635" customFormat="false" ht="15" hidden="false" customHeight="false" outlineLevel="0" collapsed="false">
      <c r="A635" s="37" t="s">
        <v>1946</v>
      </c>
      <c r="B635" s="38" t="n">
        <v>46049.395</v>
      </c>
      <c r="C635" s="37" t="s">
        <v>1201</v>
      </c>
      <c r="D635" s="37" t="s">
        <v>288</v>
      </c>
      <c r="E635" s="37" t="s">
        <v>288</v>
      </c>
      <c r="F635" s="37" t="s">
        <v>544</v>
      </c>
      <c r="G635" s="37"/>
      <c r="H635" s="37"/>
      <c r="I635" s="37"/>
      <c r="J635" s="37" t="s">
        <v>287</v>
      </c>
      <c r="K635" s="37" t="s">
        <v>1213</v>
      </c>
      <c r="L635" s="39" t="n">
        <v>264</v>
      </c>
      <c r="M635" s="39" t="n">
        <v>250</v>
      </c>
      <c r="N635" s="39" t="n">
        <v>91</v>
      </c>
      <c r="O635" s="39" t="n">
        <v>11</v>
      </c>
      <c r="P635" s="39" t="n">
        <v>3</v>
      </c>
      <c r="Q635" s="39" t="n">
        <v>14</v>
      </c>
      <c r="R635" s="39" t="n">
        <v>13</v>
      </c>
      <c r="S635" s="39" t="n">
        <v>0</v>
      </c>
      <c r="T635" s="40" t="n">
        <f aca="false">IF(M635=0,0,N635/M635)</f>
        <v>0.364</v>
      </c>
      <c r="U635" s="40" t="n">
        <f aca="false">IF(M635=0,0,O635/M635)</f>
        <v>0.044</v>
      </c>
      <c r="V635" s="41" t="n">
        <f aca="false">IF(M635=0,0,P635/M635)</f>
        <v>0.012</v>
      </c>
      <c r="W635" s="40" t="n">
        <f aca="false">IF(L635=0,0,Q635/L635)</f>
        <v>0.053030303030303</v>
      </c>
    </row>
    <row r="636" customFormat="false" ht="15" hidden="false" customHeight="false" outlineLevel="0" collapsed="false">
      <c r="A636" s="37" t="s">
        <v>1947</v>
      </c>
      <c r="B636" s="38" t="n">
        <v>46049.394212963</v>
      </c>
      <c r="C636" s="37" t="s">
        <v>1201</v>
      </c>
      <c r="D636" s="37" t="s">
        <v>288</v>
      </c>
      <c r="E636" s="37" t="s">
        <v>288</v>
      </c>
      <c r="F636" s="37" t="s">
        <v>544</v>
      </c>
      <c r="G636" s="37"/>
      <c r="H636" s="37"/>
      <c r="I636" s="37"/>
      <c r="J636" s="37" t="s">
        <v>287</v>
      </c>
      <c r="K636" s="37" t="s">
        <v>1202</v>
      </c>
      <c r="L636" s="39" t="n">
        <v>15</v>
      </c>
      <c r="M636" s="39" t="n">
        <v>15</v>
      </c>
      <c r="N636" s="39" t="n">
        <v>11</v>
      </c>
      <c r="O636" s="39" t="n">
        <v>1</v>
      </c>
      <c r="P636" s="39" t="n">
        <v>0</v>
      </c>
      <c r="Q636" s="39" t="n">
        <v>0</v>
      </c>
      <c r="R636" s="39" t="n">
        <v>0</v>
      </c>
      <c r="S636" s="39" t="n">
        <v>0</v>
      </c>
      <c r="T636" s="40" t="n">
        <f aca="false">IF(M636=0,0,N636/M636)</f>
        <v>0.733333333333333</v>
      </c>
      <c r="U636" s="40" t="n">
        <f aca="false">IF(M636=0,0,O636/M636)</f>
        <v>0.0666666666666667</v>
      </c>
      <c r="V636" s="41" t="n">
        <f aca="false">IF(M636=0,0,P636/M636)</f>
        <v>0</v>
      </c>
      <c r="W636" s="40" t="n">
        <f aca="false">IF(L636=0,0,Q636/L636)</f>
        <v>0</v>
      </c>
    </row>
    <row r="637" customFormat="false" ht="15" hidden="false" customHeight="false" outlineLevel="0" collapsed="false">
      <c r="A637" s="37" t="s">
        <v>1948</v>
      </c>
      <c r="B637" s="38" t="n">
        <v>46049.333900463</v>
      </c>
      <c r="C637" s="37" t="s">
        <v>1252</v>
      </c>
      <c r="D637" s="37" t="s">
        <v>288</v>
      </c>
      <c r="E637" s="37" t="s">
        <v>288</v>
      </c>
      <c r="F637" s="37" t="s">
        <v>548</v>
      </c>
      <c r="G637" s="37"/>
      <c r="H637" s="37"/>
      <c r="I637" s="37" t="s">
        <v>286</v>
      </c>
      <c r="J637" s="37" t="s">
        <v>287</v>
      </c>
      <c r="K637" s="37" t="s">
        <v>1213</v>
      </c>
      <c r="L637" s="39" t="n">
        <v>21</v>
      </c>
      <c r="M637" s="39" t="n">
        <v>21</v>
      </c>
      <c r="N637" s="39" t="n">
        <v>16</v>
      </c>
      <c r="O637" s="39" t="n">
        <v>6</v>
      </c>
      <c r="P637" s="39" t="n">
        <v>0</v>
      </c>
      <c r="Q637" s="39" t="n">
        <v>0</v>
      </c>
      <c r="R637" s="39" t="n">
        <v>0</v>
      </c>
      <c r="S637" s="39" t="n">
        <v>0</v>
      </c>
      <c r="T637" s="40" t="n">
        <f aca="false">IF(M637=0,0,N637/M637)</f>
        <v>0.761904761904762</v>
      </c>
      <c r="U637" s="40" t="n">
        <f aca="false">IF(M637=0,0,O637/M637)</f>
        <v>0.285714285714286</v>
      </c>
      <c r="V637" s="41" t="n">
        <f aca="false">IF(M637=0,0,P637/M637)</f>
        <v>0</v>
      </c>
      <c r="W637" s="40" t="n">
        <f aca="false">IF(L637=0,0,Q637/L637)</f>
        <v>0</v>
      </c>
    </row>
    <row r="638" customFormat="false" ht="15" hidden="false" customHeight="false" outlineLevel="0" collapsed="false">
      <c r="A638" s="37" t="s">
        <v>1949</v>
      </c>
      <c r="B638" s="38" t="n">
        <v>46049.3334375</v>
      </c>
      <c r="C638" s="37" t="s">
        <v>1252</v>
      </c>
      <c r="D638" s="37" t="s">
        <v>288</v>
      </c>
      <c r="E638" s="37" t="s">
        <v>288</v>
      </c>
      <c r="F638" s="37" t="s">
        <v>548</v>
      </c>
      <c r="G638" s="37"/>
      <c r="H638" s="37"/>
      <c r="I638" s="37" t="s">
        <v>291</v>
      </c>
      <c r="J638" s="37" t="s">
        <v>287</v>
      </c>
      <c r="K638" s="37" t="s">
        <v>1202</v>
      </c>
      <c r="L638" s="39" t="n">
        <v>15</v>
      </c>
      <c r="M638" s="39" t="n">
        <v>15</v>
      </c>
      <c r="N638" s="39" t="n">
        <v>12</v>
      </c>
      <c r="O638" s="39" t="n">
        <v>5</v>
      </c>
      <c r="P638" s="39" t="n">
        <v>0</v>
      </c>
      <c r="Q638" s="39" t="n">
        <v>0</v>
      </c>
      <c r="R638" s="39" t="n">
        <v>0</v>
      </c>
      <c r="S638" s="39" t="n">
        <v>0</v>
      </c>
      <c r="T638" s="40" t="n">
        <f aca="false">IF(M638=0,0,N638/M638)</f>
        <v>0.8</v>
      </c>
      <c r="U638" s="40" t="n">
        <f aca="false">IF(M638=0,0,O638/M638)</f>
        <v>0.333333333333333</v>
      </c>
      <c r="V638" s="41" t="n">
        <f aca="false">IF(M638=0,0,P638/M638)</f>
        <v>0</v>
      </c>
      <c r="W638" s="40" t="n">
        <f aca="false">IF(L638=0,0,Q638/L638)</f>
        <v>0</v>
      </c>
    </row>
    <row r="639" customFormat="false" ht="15" hidden="false" customHeight="false" outlineLevel="0" collapsed="false">
      <c r="A639" s="37" t="s">
        <v>1950</v>
      </c>
      <c r="B639" s="38" t="n">
        <v>46049.3195023148</v>
      </c>
      <c r="C639" s="37" t="s">
        <v>1201</v>
      </c>
      <c r="D639" s="37" t="s">
        <v>116</v>
      </c>
      <c r="E639" s="37" t="s">
        <v>193</v>
      </c>
      <c r="F639" s="37" t="s">
        <v>555</v>
      </c>
      <c r="G639" s="37" t="s">
        <v>1118</v>
      </c>
      <c r="H639" s="37"/>
      <c r="I639" s="37"/>
      <c r="J639" s="37" t="s">
        <v>115</v>
      </c>
      <c r="K639" s="37" t="s">
        <v>1202</v>
      </c>
      <c r="L639" s="39" t="n">
        <v>2584</v>
      </c>
      <c r="M639" s="39" t="n">
        <v>2510</v>
      </c>
      <c r="N639" s="39" t="n">
        <v>712</v>
      </c>
      <c r="O639" s="39" t="n">
        <v>86</v>
      </c>
      <c r="P639" s="39" t="n">
        <v>37</v>
      </c>
      <c r="Q639" s="39" t="n">
        <v>74</v>
      </c>
      <c r="R639" s="39" t="n">
        <v>70</v>
      </c>
      <c r="S639" s="39" t="n">
        <v>2</v>
      </c>
      <c r="T639" s="40" t="n">
        <f aca="false">IF(M639=0,0,N639/M639)</f>
        <v>0.283665338645418</v>
      </c>
      <c r="U639" s="40" t="n">
        <f aca="false">IF(M639=0,0,O639/M639)</f>
        <v>0.0342629482071713</v>
      </c>
      <c r="V639" s="41" t="n">
        <f aca="false">IF(M639=0,0,P639/M639)</f>
        <v>0.0147410358565737</v>
      </c>
      <c r="W639" s="40" t="n">
        <f aca="false">IF(L639=0,0,Q639/L639)</f>
        <v>0.0286377708978328</v>
      </c>
    </row>
    <row r="640" customFormat="false" ht="15" hidden="false" customHeight="false" outlineLevel="0" collapsed="false">
      <c r="A640" s="37" t="s">
        <v>1951</v>
      </c>
      <c r="B640" s="38" t="n">
        <v>46049.2540509259</v>
      </c>
      <c r="C640" s="37" t="s">
        <v>1201</v>
      </c>
      <c r="D640" s="37" t="s">
        <v>1816</v>
      </c>
      <c r="E640" s="37" t="s">
        <v>1259</v>
      </c>
      <c r="F640" s="37" t="s">
        <v>127</v>
      </c>
      <c r="G640" s="37" t="s">
        <v>1817</v>
      </c>
      <c r="H640" s="37"/>
      <c r="I640" s="37"/>
      <c r="J640" s="37" t="s">
        <v>126</v>
      </c>
      <c r="K640" s="37" t="s">
        <v>1213</v>
      </c>
      <c r="L640" s="39" t="n">
        <v>79</v>
      </c>
      <c r="M640" s="39" t="n">
        <v>79</v>
      </c>
      <c r="N640" s="39" t="n">
        <v>29</v>
      </c>
      <c r="O640" s="39" t="n">
        <v>0</v>
      </c>
      <c r="P640" s="39" t="n">
        <v>0</v>
      </c>
      <c r="Q640" s="39" t="n">
        <v>0</v>
      </c>
      <c r="R640" s="39" t="n">
        <v>0</v>
      </c>
      <c r="S640" s="39" t="n">
        <v>0</v>
      </c>
      <c r="T640" s="40" t="n">
        <f aca="false">IF(M640=0,0,N640/M640)</f>
        <v>0.367088607594937</v>
      </c>
      <c r="U640" s="40" t="n">
        <f aca="false">IF(M640=0,0,O640/M640)</f>
        <v>0</v>
      </c>
      <c r="V640" s="41" t="n">
        <f aca="false">IF(M640=0,0,P640/M640)</f>
        <v>0</v>
      </c>
      <c r="W640" s="40" t="n">
        <f aca="false">IF(L640=0,0,Q640/L640)</f>
        <v>0</v>
      </c>
    </row>
    <row r="641" customFormat="false" ht="15" hidden="false" customHeight="false" outlineLevel="0" collapsed="false">
      <c r="A641" s="37" t="s">
        <v>1952</v>
      </c>
      <c r="B641" s="38" t="n">
        <v>46049.0153472222</v>
      </c>
      <c r="C641" s="37" t="s">
        <v>1201</v>
      </c>
      <c r="D641" s="37" t="s">
        <v>171</v>
      </c>
      <c r="E641" s="37" t="s">
        <v>172</v>
      </c>
      <c r="F641" s="37" t="s">
        <v>625</v>
      </c>
      <c r="G641" s="37"/>
      <c r="H641" s="37"/>
      <c r="I641" s="37" t="s">
        <v>169</v>
      </c>
      <c r="J641" s="37" t="s">
        <v>170</v>
      </c>
      <c r="K641" s="37" t="s">
        <v>1202</v>
      </c>
      <c r="L641" s="39" t="n">
        <v>364</v>
      </c>
      <c r="M641" s="39" t="n">
        <v>361</v>
      </c>
      <c r="N641" s="39" t="n">
        <v>132</v>
      </c>
      <c r="O641" s="39" t="n">
        <v>6</v>
      </c>
      <c r="P641" s="39" t="n">
        <v>3</v>
      </c>
      <c r="Q641" s="39" t="n">
        <v>3</v>
      </c>
      <c r="R641" s="39" t="n">
        <v>3</v>
      </c>
      <c r="S641" s="39" t="n">
        <v>0</v>
      </c>
      <c r="T641" s="40" t="n">
        <f aca="false">IF(M641=0,0,N641/M641)</f>
        <v>0.365650969529086</v>
      </c>
      <c r="U641" s="40" t="n">
        <f aca="false">IF(M641=0,0,O641/M641)</f>
        <v>0.0166204986149585</v>
      </c>
      <c r="V641" s="41" t="n">
        <f aca="false">IF(M641=0,0,P641/M641)</f>
        <v>0.00831024930747923</v>
      </c>
      <c r="W641" s="40" t="n">
        <f aca="false">IF(L641=0,0,Q641/L641)</f>
        <v>0.00824175824175824</v>
      </c>
    </row>
    <row r="642" customFormat="false" ht="15" hidden="false" customHeight="false" outlineLevel="0" collapsed="false">
      <c r="A642" s="37" t="s">
        <v>1953</v>
      </c>
      <c r="B642" s="38" t="n">
        <v>46048.8020833333</v>
      </c>
      <c r="C642" s="37" t="s">
        <v>1201</v>
      </c>
      <c r="D642" s="37" t="s">
        <v>1816</v>
      </c>
      <c r="E642" s="37" t="s">
        <v>1259</v>
      </c>
      <c r="F642" s="37" t="s">
        <v>127</v>
      </c>
      <c r="G642" s="37" t="s">
        <v>1887</v>
      </c>
      <c r="H642" s="37"/>
      <c r="I642" s="37"/>
      <c r="J642" s="37" t="s">
        <v>126</v>
      </c>
      <c r="K642" s="37" t="s">
        <v>1202</v>
      </c>
      <c r="L642" s="39" t="n">
        <v>187</v>
      </c>
      <c r="M642" s="39" t="n">
        <v>186</v>
      </c>
      <c r="N642" s="39" t="n">
        <v>43</v>
      </c>
      <c r="O642" s="39" t="n">
        <v>5</v>
      </c>
      <c r="P642" s="39" t="n">
        <v>1</v>
      </c>
      <c r="Q642" s="39" t="n">
        <v>1</v>
      </c>
      <c r="R642" s="39" t="n">
        <v>1</v>
      </c>
      <c r="S642" s="39" t="n">
        <v>0</v>
      </c>
      <c r="T642" s="40" t="n">
        <f aca="false">IF(M642=0,0,N642/M642)</f>
        <v>0.231182795698925</v>
      </c>
      <c r="U642" s="40" t="n">
        <f aca="false">IF(M642=0,0,O642/M642)</f>
        <v>0.0268817204301075</v>
      </c>
      <c r="V642" s="41" t="n">
        <f aca="false">IF(M642=0,0,P642/M642)</f>
        <v>0.00537634408602151</v>
      </c>
      <c r="W642" s="40" t="n">
        <f aca="false">IF(L642=0,0,Q642/L642)</f>
        <v>0.0053475935828877</v>
      </c>
    </row>
    <row r="643" customFormat="false" ht="15" hidden="false" customHeight="false" outlineLevel="0" collapsed="false">
      <c r="A643" s="37" t="s">
        <v>1954</v>
      </c>
      <c r="B643" s="38" t="n">
        <v>46048.5605787037</v>
      </c>
      <c r="C643" s="37" t="s">
        <v>1201</v>
      </c>
      <c r="D643" s="37" t="s">
        <v>1955</v>
      </c>
      <c r="E643" s="37" t="s">
        <v>1956</v>
      </c>
      <c r="F643" s="37" t="s">
        <v>544</v>
      </c>
      <c r="G643" s="37" t="s">
        <v>1902</v>
      </c>
      <c r="H643" s="37"/>
      <c r="I643" s="37"/>
      <c r="J643" s="37" t="s">
        <v>430</v>
      </c>
      <c r="K643" s="37" t="s">
        <v>8</v>
      </c>
      <c r="L643" s="39" t="n">
        <v>75</v>
      </c>
      <c r="M643" s="39" t="n">
        <v>74</v>
      </c>
      <c r="N643" s="39" t="n">
        <v>30</v>
      </c>
      <c r="O643" s="39" t="n">
        <v>4</v>
      </c>
      <c r="P643" s="39" t="n">
        <v>0</v>
      </c>
      <c r="Q643" s="39" t="n">
        <v>1</v>
      </c>
      <c r="R643" s="39" t="n">
        <v>0</v>
      </c>
      <c r="S643" s="39" t="n">
        <v>0</v>
      </c>
      <c r="T643" s="40" t="n">
        <f aca="false">IF(M643=0,0,N643/M643)</f>
        <v>0.405405405405405</v>
      </c>
      <c r="U643" s="40" t="n">
        <f aca="false">IF(M643=0,0,O643/M643)</f>
        <v>0.0540540540540541</v>
      </c>
      <c r="V643" s="41" t="n">
        <f aca="false">IF(M643=0,0,P643/M643)</f>
        <v>0</v>
      </c>
      <c r="W643" s="40" t="n">
        <f aca="false">IF(L643=0,0,Q643/L643)</f>
        <v>0.0133333333333333</v>
      </c>
    </row>
    <row r="644" customFormat="false" ht="15" hidden="false" customHeight="false" outlineLevel="0" collapsed="false">
      <c r="A644" s="37" t="s">
        <v>1957</v>
      </c>
      <c r="B644" s="38" t="n">
        <v>46048.5421759259</v>
      </c>
      <c r="C644" s="37" t="s">
        <v>1252</v>
      </c>
      <c r="D644" s="37" t="s">
        <v>1523</v>
      </c>
      <c r="E644" s="37" t="s">
        <v>166</v>
      </c>
      <c r="F644" s="37" t="s">
        <v>623</v>
      </c>
      <c r="G644" s="37" t="s">
        <v>1878</v>
      </c>
      <c r="H644" s="37"/>
      <c r="I644" s="37"/>
      <c r="J644" s="37" t="s">
        <v>164</v>
      </c>
      <c r="K644" s="37" t="s">
        <v>1202</v>
      </c>
      <c r="L644" s="39" t="n">
        <v>237</v>
      </c>
      <c r="M644" s="39" t="n">
        <v>237</v>
      </c>
      <c r="N644" s="39" t="n">
        <v>92</v>
      </c>
      <c r="O644" s="39" t="n">
        <v>14</v>
      </c>
      <c r="P644" s="39" t="n">
        <v>0</v>
      </c>
      <c r="Q644" s="39" t="n">
        <v>0</v>
      </c>
      <c r="R644" s="39" t="n">
        <v>0</v>
      </c>
      <c r="S644" s="39" t="n">
        <v>0</v>
      </c>
      <c r="T644" s="40" t="n">
        <f aca="false">IF(M644=0,0,N644/M644)</f>
        <v>0.388185654008439</v>
      </c>
      <c r="U644" s="40" t="n">
        <f aca="false">IF(M644=0,0,O644/M644)</f>
        <v>0.0590717299578059</v>
      </c>
      <c r="V644" s="41" t="n">
        <f aca="false">IF(M644=0,0,P644/M644)</f>
        <v>0</v>
      </c>
      <c r="W644" s="40" t="n">
        <f aca="false">IF(L644=0,0,Q644/L644)</f>
        <v>0</v>
      </c>
    </row>
    <row r="645" customFormat="false" ht="15" hidden="false" customHeight="false" outlineLevel="0" collapsed="false">
      <c r="A645" s="37" t="s">
        <v>1958</v>
      </c>
      <c r="B645" s="38" t="n">
        <v>46048.5417824074</v>
      </c>
      <c r="C645" s="37" t="s">
        <v>1252</v>
      </c>
      <c r="D645" s="37" t="s">
        <v>1523</v>
      </c>
      <c r="E645" s="37" t="s">
        <v>166</v>
      </c>
      <c r="F645" s="37" t="s">
        <v>623</v>
      </c>
      <c r="G645" s="37" t="s">
        <v>1878</v>
      </c>
      <c r="H645" s="37"/>
      <c r="I645" s="37"/>
      <c r="J645" s="37" t="s">
        <v>164</v>
      </c>
      <c r="K645" s="37" t="s">
        <v>1202</v>
      </c>
      <c r="L645" s="39" t="n">
        <v>71</v>
      </c>
      <c r="M645" s="39" t="n">
        <v>71</v>
      </c>
      <c r="N645" s="39" t="n">
        <v>38</v>
      </c>
      <c r="O645" s="39" t="n">
        <v>18</v>
      </c>
      <c r="P645" s="39" t="n">
        <v>0</v>
      </c>
      <c r="Q645" s="39" t="n">
        <v>0</v>
      </c>
      <c r="R645" s="39" t="n">
        <v>0</v>
      </c>
      <c r="S645" s="39" t="n">
        <v>0</v>
      </c>
      <c r="T645" s="40" t="n">
        <f aca="false">IF(M645=0,0,N645/M645)</f>
        <v>0.535211267605634</v>
      </c>
      <c r="U645" s="40" t="n">
        <f aca="false">IF(M645=0,0,O645/M645)</f>
        <v>0.253521126760563</v>
      </c>
      <c r="V645" s="41" t="n">
        <f aca="false">IF(M645=0,0,P645/M645)</f>
        <v>0</v>
      </c>
      <c r="W645" s="40" t="n">
        <f aca="false">IF(L645=0,0,Q645/L645)</f>
        <v>0</v>
      </c>
    </row>
    <row r="646" customFormat="false" ht="15" hidden="false" customHeight="false" outlineLevel="0" collapsed="false">
      <c r="A646" s="37" t="s">
        <v>1563</v>
      </c>
      <c r="B646" s="38" t="n">
        <v>46048.3680092593</v>
      </c>
      <c r="C646" s="37" t="s">
        <v>1201</v>
      </c>
      <c r="D646" s="37" t="s">
        <v>1211</v>
      </c>
      <c r="E646" s="37" t="s">
        <v>1212</v>
      </c>
      <c r="F646" s="37" t="s">
        <v>544</v>
      </c>
      <c r="G646" s="37"/>
      <c r="H646" s="37"/>
      <c r="I646" s="37"/>
      <c r="J646" s="37" t="s">
        <v>100</v>
      </c>
      <c r="K646" s="37" t="s">
        <v>1213</v>
      </c>
      <c r="L646" s="39" t="n">
        <v>124</v>
      </c>
      <c r="M646" s="39" t="n">
        <v>124</v>
      </c>
      <c r="N646" s="39" t="n">
        <v>68</v>
      </c>
      <c r="O646" s="39" t="n">
        <v>0</v>
      </c>
      <c r="P646" s="39" t="n">
        <v>0</v>
      </c>
      <c r="Q646" s="39" t="n">
        <v>0</v>
      </c>
      <c r="R646" s="39" t="n">
        <v>0</v>
      </c>
      <c r="S646" s="39" t="n">
        <v>0</v>
      </c>
      <c r="T646" s="40" t="n">
        <f aca="false">IF(M646=0,0,N646/M646)</f>
        <v>0.548387096774194</v>
      </c>
      <c r="U646" s="40" t="n">
        <f aca="false">IF(M646=0,0,O646/M646)</f>
        <v>0</v>
      </c>
      <c r="V646" s="41" t="n">
        <f aca="false">IF(M646=0,0,P646/M646)</f>
        <v>0</v>
      </c>
      <c r="W646" s="40" t="n">
        <f aca="false">IF(L646=0,0,Q646/L646)</f>
        <v>0</v>
      </c>
    </row>
    <row r="647" customFormat="false" ht="15" hidden="false" customHeight="false" outlineLevel="0" collapsed="false">
      <c r="A647" s="37" t="s">
        <v>1959</v>
      </c>
      <c r="B647" s="38" t="n">
        <v>46048.3231944444</v>
      </c>
      <c r="C647" s="37" t="s">
        <v>1252</v>
      </c>
      <c r="D647" s="37" t="s">
        <v>1286</v>
      </c>
      <c r="E647" s="37" t="s">
        <v>166</v>
      </c>
      <c r="F647" s="37" t="s">
        <v>671</v>
      </c>
      <c r="G647" s="37" t="s">
        <v>1730</v>
      </c>
      <c r="H647" s="37"/>
      <c r="I647" s="37"/>
      <c r="J647" s="37" t="s">
        <v>164</v>
      </c>
      <c r="K647" s="37" t="s">
        <v>1202</v>
      </c>
      <c r="L647" s="39" t="n">
        <v>969</v>
      </c>
      <c r="M647" s="39" t="n">
        <v>962</v>
      </c>
      <c r="N647" s="39" t="n">
        <v>406</v>
      </c>
      <c r="O647" s="39" t="n">
        <v>83</v>
      </c>
      <c r="P647" s="39" t="n">
        <v>4</v>
      </c>
      <c r="Q647" s="39" t="n">
        <v>7</v>
      </c>
      <c r="R647" s="39" t="n">
        <v>7</v>
      </c>
      <c r="S647" s="39" t="n">
        <v>0</v>
      </c>
      <c r="T647" s="40" t="n">
        <f aca="false">IF(M647=0,0,N647/M647)</f>
        <v>0.422037422037422</v>
      </c>
      <c r="U647" s="40" t="n">
        <f aca="false">IF(M647=0,0,O647/M647)</f>
        <v>0.0862785862785863</v>
      </c>
      <c r="V647" s="41" t="n">
        <f aca="false">IF(M647=0,0,P647/M647)</f>
        <v>0.00415800415800416</v>
      </c>
      <c r="W647" s="40" t="n">
        <f aca="false">IF(L647=0,0,Q647/L647)</f>
        <v>0.00722394220846233</v>
      </c>
    </row>
    <row r="648" customFormat="false" ht="15" hidden="false" customHeight="false" outlineLevel="0" collapsed="false">
      <c r="A648" s="37" t="s">
        <v>1960</v>
      </c>
      <c r="B648" s="38" t="n">
        <v>46047.8494907407</v>
      </c>
      <c r="C648" s="37" t="s">
        <v>1201</v>
      </c>
      <c r="D648" s="37" t="s">
        <v>1211</v>
      </c>
      <c r="E648" s="37" t="s">
        <v>1212</v>
      </c>
      <c r="F648" s="37" t="s">
        <v>544</v>
      </c>
      <c r="G648" s="37"/>
      <c r="H648" s="37"/>
      <c r="I648" s="37"/>
      <c r="J648" s="37" t="s">
        <v>100</v>
      </c>
      <c r="K648" s="37" t="s">
        <v>1213</v>
      </c>
      <c r="L648" s="39" t="n">
        <v>126</v>
      </c>
      <c r="M648" s="39" t="n">
        <v>126</v>
      </c>
      <c r="N648" s="39" t="n">
        <v>77</v>
      </c>
      <c r="O648" s="39" t="n">
        <v>21</v>
      </c>
      <c r="P648" s="39" t="n">
        <v>0</v>
      </c>
      <c r="Q648" s="39" t="n">
        <v>0</v>
      </c>
      <c r="R648" s="39" t="n">
        <v>0</v>
      </c>
      <c r="S648" s="39" t="n">
        <v>0</v>
      </c>
      <c r="T648" s="40" t="n">
        <f aca="false">IF(M648=0,0,N648/M648)</f>
        <v>0.611111111111111</v>
      </c>
      <c r="U648" s="40" t="n">
        <f aca="false">IF(M648=0,0,O648/M648)</f>
        <v>0.166666666666667</v>
      </c>
      <c r="V648" s="41" t="n">
        <f aca="false">IF(M648=0,0,P648/M648)</f>
        <v>0</v>
      </c>
      <c r="W648" s="40" t="n">
        <f aca="false">IF(L648=0,0,Q648/L648)</f>
        <v>0</v>
      </c>
    </row>
    <row r="649" customFormat="false" ht="15" hidden="false" customHeight="false" outlineLevel="0" collapsed="false">
      <c r="A649" s="37" t="s">
        <v>1961</v>
      </c>
      <c r="B649" s="38" t="n">
        <v>46045.5887615741</v>
      </c>
      <c r="C649" s="37" t="s">
        <v>1201</v>
      </c>
      <c r="D649" s="37" t="s">
        <v>1392</v>
      </c>
      <c r="E649" s="37" t="s">
        <v>166</v>
      </c>
      <c r="F649" s="37" t="s">
        <v>671</v>
      </c>
      <c r="G649" s="37" t="s">
        <v>1734</v>
      </c>
      <c r="H649" s="37"/>
      <c r="I649" s="37" t="s">
        <v>260</v>
      </c>
      <c r="J649" s="37" t="s">
        <v>164</v>
      </c>
      <c r="K649" s="37" t="s">
        <v>1202</v>
      </c>
      <c r="L649" s="39" t="n">
        <v>21</v>
      </c>
      <c r="M649" s="39" t="n">
        <v>21</v>
      </c>
      <c r="N649" s="39" t="n">
        <v>13</v>
      </c>
      <c r="O649" s="39" t="n">
        <v>1</v>
      </c>
      <c r="P649" s="39" t="n">
        <v>0</v>
      </c>
      <c r="Q649" s="39" t="n">
        <v>0</v>
      </c>
      <c r="R649" s="39" t="n">
        <v>0</v>
      </c>
      <c r="S649" s="39" t="n">
        <v>0</v>
      </c>
      <c r="T649" s="40" t="n">
        <f aca="false">IF(M649=0,0,N649/M649)</f>
        <v>0.619047619047619</v>
      </c>
      <c r="U649" s="40" t="n">
        <f aca="false">IF(M649=0,0,O649/M649)</f>
        <v>0.0476190476190476</v>
      </c>
      <c r="V649" s="41" t="n">
        <f aca="false">IF(M649=0,0,P649/M649)</f>
        <v>0</v>
      </c>
      <c r="W649" s="40" t="n">
        <f aca="false">IF(L649=0,0,Q649/L649)</f>
        <v>0</v>
      </c>
    </row>
    <row r="650" customFormat="false" ht="15" hidden="false" customHeight="false" outlineLevel="0" collapsed="false">
      <c r="A650" s="37" t="s">
        <v>1962</v>
      </c>
      <c r="B650" s="38" t="n">
        <v>46045.5858912037</v>
      </c>
      <c r="C650" s="37" t="s">
        <v>1201</v>
      </c>
      <c r="D650" s="37" t="s">
        <v>635</v>
      </c>
      <c r="E650" s="37" t="s">
        <v>166</v>
      </c>
      <c r="F650" s="37" t="s">
        <v>623</v>
      </c>
      <c r="G650" s="37" t="s">
        <v>1880</v>
      </c>
      <c r="H650" s="37"/>
      <c r="I650" s="37" t="s">
        <v>255</v>
      </c>
      <c r="J650" s="37" t="s">
        <v>164</v>
      </c>
      <c r="K650" s="37" t="s">
        <v>1202</v>
      </c>
      <c r="L650" s="39" t="n">
        <v>28</v>
      </c>
      <c r="M650" s="39" t="n">
        <v>28</v>
      </c>
      <c r="N650" s="39" t="n">
        <v>12</v>
      </c>
      <c r="O650" s="39" t="n">
        <v>2</v>
      </c>
      <c r="P650" s="39" t="n">
        <v>0</v>
      </c>
      <c r="Q650" s="39" t="n">
        <v>0</v>
      </c>
      <c r="R650" s="39" t="n">
        <v>0</v>
      </c>
      <c r="S650" s="39" t="n">
        <v>0</v>
      </c>
      <c r="T650" s="40" t="n">
        <f aca="false">IF(M650=0,0,N650/M650)</f>
        <v>0.428571428571429</v>
      </c>
      <c r="U650" s="40" t="n">
        <f aca="false">IF(M650=0,0,O650/M650)</f>
        <v>0.0714285714285714</v>
      </c>
      <c r="V650" s="41" t="n">
        <f aca="false">IF(M650=0,0,P650/M650)</f>
        <v>0</v>
      </c>
      <c r="W650" s="40" t="n">
        <f aca="false">IF(L650=0,0,Q650/L650)</f>
        <v>0</v>
      </c>
    </row>
    <row r="651" customFormat="false" ht="15" hidden="false" customHeight="false" outlineLevel="0" collapsed="false">
      <c r="A651" s="37" t="s">
        <v>1963</v>
      </c>
      <c r="B651" s="38" t="n">
        <v>46045.3063425926</v>
      </c>
      <c r="C651" s="37" t="s">
        <v>1201</v>
      </c>
      <c r="D651" s="37" t="s">
        <v>1372</v>
      </c>
      <c r="E651" s="37" t="s">
        <v>1373</v>
      </c>
      <c r="F651" s="37" t="s">
        <v>537</v>
      </c>
      <c r="G651" s="37"/>
      <c r="H651" s="37"/>
      <c r="I651" s="37"/>
      <c r="J651" s="37" t="s">
        <v>296</v>
      </c>
      <c r="K651" s="37" t="s">
        <v>1202</v>
      </c>
      <c r="L651" s="39" t="n">
        <v>2</v>
      </c>
      <c r="M651" s="39" t="n">
        <v>2</v>
      </c>
      <c r="N651" s="39" t="n">
        <v>2</v>
      </c>
      <c r="O651" s="39" t="n">
        <v>0</v>
      </c>
      <c r="P651" s="39" t="n">
        <v>0</v>
      </c>
      <c r="Q651" s="39" t="n">
        <v>0</v>
      </c>
      <c r="R651" s="39" t="n">
        <v>0</v>
      </c>
      <c r="S651" s="39" t="n">
        <v>0</v>
      </c>
      <c r="T651" s="40" t="n">
        <f aca="false">IF(M651=0,0,N651/M651)</f>
        <v>1</v>
      </c>
      <c r="U651" s="40" t="n">
        <f aca="false">IF(M651=0,0,O651/M651)</f>
        <v>0</v>
      </c>
      <c r="V651" s="41" t="n">
        <f aca="false">IF(M651=0,0,P651/M651)</f>
        <v>0</v>
      </c>
      <c r="W651" s="40" t="n">
        <f aca="false">IF(L651=0,0,Q651/L651)</f>
        <v>0</v>
      </c>
    </row>
    <row r="652" customFormat="false" ht="15" hidden="false" customHeight="false" outlineLevel="0" collapsed="false">
      <c r="A652" s="37" t="s">
        <v>1964</v>
      </c>
      <c r="B652" s="38" t="n">
        <v>46045.2624189815</v>
      </c>
      <c r="C652" s="37" t="s">
        <v>1201</v>
      </c>
      <c r="D652" s="37" t="s">
        <v>101</v>
      </c>
      <c r="E652" s="37" t="s">
        <v>1222</v>
      </c>
      <c r="F652" s="37" t="s">
        <v>548</v>
      </c>
      <c r="G652" s="37" t="s">
        <v>1223</v>
      </c>
      <c r="H652" s="37"/>
      <c r="I652" s="37" t="s">
        <v>98</v>
      </c>
      <c r="J652" s="37" t="s">
        <v>100</v>
      </c>
      <c r="K652" s="37" t="s">
        <v>1202</v>
      </c>
      <c r="L652" s="39" t="n">
        <v>5763</v>
      </c>
      <c r="M652" s="39" t="n">
        <v>5731</v>
      </c>
      <c r="N652" s="39" t="n">
        <v>1117</v>
      </c>
      <c r="O652" s="39" t="n">
        <v>180</v>
      </c>
      <c r="P652" s="39" t="n">
        <v>29</v>
      </c>
      <c r="Q652" s="39" t="n">
        <v>32</v>
      </c>
      <c r="R652" s="39" t="n">
        <v>21</v>
      </c>
      <c r="S652" s="39" t="n">
        <v>0</v>
      </c>
      <c r="T652" s="40" t="n">
        <f aca="false">IF(M652=0,0,N652/M652)</f>
        <v>0.194904903158262</v>
      </c>
      <c r="U652" s="40" t="n">
        <f aca="false">IF(M652=0,0,O652/M652)</f>
        <v>0.0314081312161926</v>
      </c>
      <c r="V652" s="41" t="n">
        <f aca="false">IF(M652=0,0,P652/M652)</f>
        <v>0.00506019891816437</v>
      </c>
      <c r="W652" s="40" t="n">
        <f aca="false">IF(L652=0,0,Q652/L652)</f>
        <v>0.00555266354329342</v>
      </c>
    </row>
    <row r="653" customFormat="false" ht="15" hidden="false" customHeight="false" outlineLevel="0" collapsed="false">
      <c r="A653" s="37" t="s">
        <v>1965</v>
      </c>
      <c r="B653" s="38" t="n">
        <v>46044.3244560185</v>
      </c>
      <c r="C653" s="37" t="s">
        <v>1201</v>
      </c>
      <c r="D653" s="37" t="s">
        <v>1966</v>
      </c>
      <c r="E653" s="37" t="s">
        <v>1546</v>
      </c>
      <c r="F653" s="37" t="s">
        <v>656</v>
      </c>
      <c r="G653" s="37"/>
      <c r="H653" s="37"/>
      <c r="I653" s="37"/>
      <c r="J653" s="37" t="s">
        <v>399</v>
      </c>
      <c r="K653" s="37" t="s">
        <v>1202</v>
      </c>
      <c r="L653" s="39" t="n">
        <v>179</v>
      </c>
      <c r="M653" s="39" t="n">
        <v>179</v>
      </c>
      <c r="N653" s="39" t="n">
        <v>51</v>
      </c>
      <c r="O653" s="39" t="n">
        <v>3</v>
      </c>
      <c r="P653" s="39" t="n">
        <v>0</v>
      </c>
      <c r="Q653" s="39" t="n">
        <v>0</v>
      </c>
      <c r="R653" s="39" t="n">
        <v>0</v>
      </c>
      <c r="S653" s="39" t="n">
        <v>0</v>
      </c>
      <c r="T653" s="40" t="n">
        <f aca="false">IF(M653=0,0,N653/M653)</f>
        <v>0.284916201117318</v>
      </c>
      <c r="U653" s="40" t="n">
        <f aca="false">IF(M653=0,0,O653/M653)</f>
        <v>0.0167597765363129</v>
      </c>
      <c r="V653" s="41" t="n">
        <f aca="false">IF(M653=0,0,P653/M653)</f>
        <v>0</v>
      </c>
      <c r="W653" s="40" t="n">
        <f aca="false">IF(L653=0,0,Q653/L653)</f>
        <v>0</v>
      </c>
    </row>
    <row r="654" customFormat="false" ht="15" hidden="false" customHeight="false" outlineLevel="0" collapsed="false">
      <c r="A654" s="37" t="s">
        <v>1967</v>
      </c>
      <c r="B654" s="38" t="n">
        <v>46043.979525463</v>
      </c>
      <c r="C654" s="37" t="s">
        <v>1201</v>
      </c>
      <c r="D654" s="37" t="s">
        <v>237</v>
      </c>
      <c r="E654" s="37" t="s">
        <v>238</v>
      </c>
      <c r="F654" s="37" t="s">
        <v>559</v>
      </c>
      <c r="G654" s="37"/>
      <c r="H654" s="37"/>
      <c r="I654" s="37" t="s">
        <v>234</v>
      </c>
      <c r="J654" s="37" t="s">
        <v>236</v>
      </c>
      <c r="K654" s="37" t="s">
        <v>1202</v>
      </c>
      <c r="L654" s="39" t="n">
        <v>3189</v>
      </c>
      <c r="M654" s="39" t="n">
        <v>3159</v>
      </c>
      <c r="N654" s="39" t="n">
        <v>663</v>
      </c>
      <c r="O654" s="39" t="n">
        <v>129</v>
      </c>
      <c r="P654" s="39" t="n">
        <v>12</v>
      </c>
      <c r="Q654" s="39" t="n">
        <v>30</v>
      </c>
      <c r="R654" s="39" t="n">
        <v>26</v>
      </c>
      <c r="S654" s="39" t="n">
        <v>0</v>
      </c>
      <c r="T654" s="40" t="n">
        <f aca="false">IF(M654=0,0,N654/M654)</f>
        <v>0.209876543209877</v>
      </c>
      <c r="U654" s="40" t="n">
        <f aca="false">IF(M654=0,0,O654/M654)</f>
        <v>0.0408357075023742</v>
      </c>
      <c r="V654" s="41" t="n">
        <f aca="false">IF(M654=0,0,P654/M654)</f>
        <v>0.00379867046533713</v>
      </c>
      <c r="W654" s="40" t="n">
        <f aca="false">IF(L654=0,0,Q654/L654)</f>
        <v>0.00940733772342427</v>
      </c>
    </row>
    <row r="655" customFormat="false" ht="15" hidden="false" customHeight="false" outlineLevel="0" collapsed="false">
      <c r="A655" s="37" t="s">
        <v>1968</v>
      </c>
      <c r="B655" s="38" t="n">
        <v>46043.7609027778</v>
      </c>
      <c r="C655" s="37" t="s">
        <v>1201</v>
      </c>
      <c r="D655" s="37" t="s">
        <v>1816</v>
      </c>
      <c r="E655" s="37" t="s">
        <v>1259</v>
      </c>
      <c r="F655" s="37" t="s">
        <v>127</v>
      </c>
      <c r="G655" s="37" t="s">
        <v>1887</v>
      </c>
      <c r="H655" s="37"/>
      <c r="I655" s="37"/>
      <c r="J655" s="37" t="s">
        <v>126</v>
      </c>
      <c r="K655" s="37" t="s">
        <v>1202</v>
      </c>
      <c r="L655" s="39" t="n">
        <v>83</v>
      </c>
      <c r="M655" s="39" t="n">
        <v>80</v>
      </c>
      <c r="N655" s="39" t="n">
        <v>31</v>
      </c>
      <c r="O655" s="39" t="n">
        <v>1</v>
      </c>
      <c r="P655" s="39" t="n">
        <v>0</v>
      </c>
      <c r="Q655" s="39" t="n">
        <v>3</v>
      </c>
      <c r="R655" s="39" t="n">
        <v>3</v>
      </c>
      <c r="S655" s="39" t="n">
        <v>0</v>
      </c>
      <c r="T655" s="40" t="n">
        <f aca="false">IF(M655=0,0,N655/M655)</f>
        <v>0.3875</v>
      </c>
      <c r="U655" s="40" t="n">
        <f aca="false">IF(M655=0,0,O655/M655)</f>
        <v>0.0125</v>
      </c>
      <c r="V655" s="41" t="n">
        <f aca="false">IF(M655=0,0,P655/M655)</f>
        <v>0</v>
      </c>
      <c r="W655" s="40" t="n">
        <f aca="false">IF(L655=0,0,Q655/L655)</f>
        <v>0.036144578313253</v>
      </c>
    </row>
    <row r="656" customFormat="false" ht="15" hidden="false" customHeight="false" outlineLevel="0" collapsed="false">
      <c r="A656" s="37" t="s">
        <v>1969</v>
      </c>
      <c r="B656" s="38" t="n">
        <v>46043.7087152778</v>
      </c>
      <c r="C656" s="37" t="s">
        <v>1201</v>
      </c>
      <c r="D656" s="37" t="s">
        <v>1970</v>
      </c>
      <c r="E656" s="37" t="s">
        <v>193</v>
      </c>
      <c r="F656" s="37" t="s">
        <v>555</v>
      </c>
      <c r="G656" s="37" t="s">
        <v>1135</v>
      </c>
      <c r="H656" s="37"/>
      <c r="I656" s="37"/>
      <c r="J656" s="37" t="s">
        <v>191</v>
      </c>
      <c r="K656" s="37" t="s">
        <v>1202</v>
      </c>
      <c r="L656" s="39" t="n">
        <v>2584</v>
      </c>
      <c r="M656" s="39" t="n">
        <v>2561</v>
      </c>
      <c r="N656" s="39" t="n">
        <v>901</v>
      </c>
      <c r="O656" s="39" t="n">
        <v>85</v>
      </c>
      <c r="P656" s="39" t="n">
        <v>17</v>
      </c>
      <c r="Q656" s="39" t="n">
        <v>23</v>
      </c>
      <c r="R656" s="39" t="n">
        <v>15</v>
      </c>
      <c r="S656" s="39" t="n">
        <v>0</v>
      </c>
      <c r="T656" s="40" t="n">
        <f aca="false">IF(M656=0,0,N656/M656)</f>
        <v>0.351815696993362</v>
      </c>
      <c r="U656" s="40" t="n">
        <f aca="false">IF(M656=0,0,O656/M656)</f>
        <v>0.0331901600937134</v>
      </c>
      <c r="V656" s="41" t="n">
        <f aca="false">IF(M656=0,0,P656/M656)</f>
        <v>0.00663803201874268</v>
      </c>
      <c r="W656" s="40" t="n">
        <f aca="false">IF(L656=0,0,Q656/L656)</f>
        <v>0.00890092879256966</v>
      </c>
    </row>
    <row r="657" customFormat="false" ht="15" hidden="false" customHeight="false" outlineLevel="0" collapsed="false">
      <c r="A657" s="37" t="s">
        <v>1971</v>
      </c>
      <c r="B657" s="38" t="n">
        <v>46043.3752430556</v>
      </c>
      <c r="C657" s="37" t="s">
        <v>1201</v>
      </c>
      <c r="D657" s="37" t="s">
        <v>1372</v>
      </c>
      <c r="E657" s="37" t="s">
        <v>1373</v>
      </c>
      <c r="F657" s="37" t="s">
        <v>537</v>
      </c>
      <c r="G657" s="37"/>
      <c r="H657" s="37"/>
      <c r="I657" s="37"/>
      <c r="J657" s="37" t="s">
        <v>296</v>
      </c>
      <c r="K657" s="37" t="s">
        <v>1202</v>
      </c>
      <c r="L657" s="39" t="n">
        <v>2</v>
      </c>
      <c r="M657" s="39" t="n">
        <v>2</v>
      </c>
      <c r="N657" s="39" t="n">
        <v>2</v>
      </c>
      <c r="O657" s="39" t="n">
        <v>0</v>
      </c>
      <c r="P657" s="39" t="n">
        <v>0</v>
      </c>
      <c r="Q657" s="39" t="n">
        <v>0</v>
      </c>
      <c r="R657" s="39" t="n">
        <v>0</v>
      </c>
      <c r="S657" s="39" t="n">
        <v>0</v>
      </c>
      <c r="T657" s="40" t="n">
        <f aca="false">IF(M657=0,0,N657/M657)</f>
        <v>1</v>
      </c>
      <c r="U657" s="40" t="n">
        <f aca="false">IF(M657=0,0,O657/M657)</f>
        <v>0</v>
      </c>
      <c r="V657" s="41" t="n">
        <f aca="false">IF(M657=0,0,P657/M657)</f>
        <v>0</v>
      </c>
      <c r="W657" s="40" t="n">
        <f aca="false">IF(L657=0,0,Q657/L657)</f>
        <v>0</v>
      </c>
    </row>
    <row r="658" customFormat="false" ht="15" hidden="false" customHeight="false" outlineLevel="0" collapsed="false">
      <c r="A658" s="37" t="s">
        <v>1972</v>
      </c>
      <c r="B658" s="38" t="n">
        <v>46043.2810185185</v>
      </c>
      <c r="C658" s="37" t="s">
        <v>1201</v>
      </c>
      <c r="D658" s="37" t="s">
        <v>1973</v>
      </c>
      <c r="E658" s="37" t="s">
        <v>1974</v>
      </c>
      <c r="F658" s="37" t="s">
        <v>555</v>
      </c>
      <c r="G658" s="37"/>
      <c r="H658" s="37"/>
      <c r="I658" s="37"/>
      <c r="J658" s="37" t="s">
        <v>375</v>
      </c>
      <c r="K658" s="37" t="s">
        <v>1202</v>
      </c>
      <c r="L658" s="39" t="n">
        <v>79</v>
      </c>
      <c r="M658" s="39" t="n">
        <v>79</v>
      </c>
      <c r="N658" s="39" t="n">
        <v>66</v>
      </c>
      <c r="O658" s="39" t="n">
        <v>13</v>
      </c>
      <c r="P658" s="39" t="n">
        <v>1</v>
      </c>
      <c r="Q658" s="39" t="n">
        <v>0</v>
      </c>
      <c r="R658" s="39" t="n">
        <v>0</v>
      </c>
      <c r="S658" s="39" t="n">
        <v>0</v>
      </c>
      <c r="T658" s="40" t="n">
        <f aca="false">IF(M658=0,0,N658/M658)</f>
        <v>0.835443037974684</v>
      </c>
      <c r="U658" s="40" t="n">
        <f aca="false">IF(M658=0,0,O658/M658)</f>
        <v>0.164556962025316</v>
      </c>
      <c r="V658" s="41" t="n">
        <f aca="false">IF(M658=0,0,P658/M658)</f>
        <v>0.0126582278481013</v>
      </c>
      <c r="W658" s="40" t="n">
        <f aca="false">IF(L658=0,0,Q658/L658)</f>
        <v>0</v>
      </c>
    </row>
    <row r="659" customFormat="false" ht="15" hidden="false" customHeight="false" outlineLevel="0" collapsed="false">
      <c r="A659" s="37" t="s">
        <v>1975</v>
      </c>
      <c r="B659" s="38" t="n">
        <v>46043.0834259259</v>
      </c>
      <c r="C659" s="37" t="s">
        <v>1201</v>
      </c>
      <c r="D659" s="37" t="s">
        <v>1973</v>
      </c>
      <c r="E659" s="37" t="s">
        <v>1219</v>
      </c>
      <c r="F659" s="37" t="s">
        <v>555</v>
      </c>
      <c r="G659" s="37"/>
      <c r="H659" s="37"/>
      <c r="I659" s="37"/>
      <c r="J659" s="37" t="s">
        <v>375</v>
      </c>
      <c r="K659" s="37" t="s">
        <v>1202</v>
      </c>
      <c r="L659" s="39" t="n">
        <v>80</v>
      </c>
      <c r="M659" s="39" t="n">
        <v>80</v>
      </c>
      <c r="N659" s="39" t="n">
        <v>65</v>
      </c>
      <c r="O659" s="39" t="n">
        <v>14</v>
      </c>
      <c r="P659" s="39" t="n">
        <v>0</v>
      </c>
      <c r="Q659" s="39" t="n">
        <v>0</v>
      </c>
      <c r="R659" s="39" t="n">
        <v>0</v>
      </c>
      <c r="S659" s="39" t="n">
        <v>0</v>
      </c>
      <c r="T659" s="40" t="n">
        <f aca="false">IF(M659=0,0,N659/M659)</f>
        <v>0.8125</v>
      </c>
      <c r="U659" s="40" t="n">
        <f aca="false">IF(M659=0,0,O659/M659)</f>
        <v>0.175</v>
      </c>
      <c r="V659" s="41" t="n">
        <f aca="false">IF(M659=0,0,P659/M659)</f>
        <v>0</v>
      </c>
      <c r="W659" s="40" t="n">
        <f aca="false">IF(L659=0,0,Q659/L659)</f>
        <v>0</v>
      </c>
    </row>
    <row r="660" customFormat="false" ht="15" hidden="false" customHeight="false" outlineLevel="0" collapsed="false">
      <c r="A660" s="37" t="s">
        <v>1976</v>
      </c>
      <c r="B660" s="38" t="n">
        <v>46042.9171643519</v>
      </c>
      <c r="C660" s="37" t="s">
        <v>1201</v>
      </c>
      <c r="D660" s="37" t="s">
        <v>127</v>
      </c>
      <c r="E660" s="37" t="s">
        <v>128</v>
      </c>
      <c r="F660" s="37" t="s">
        <v>127</v>
      </c>
      <c r="G660" s="37"/>
      <c r="H660" s="37"/>
      <c r="I660" s="37" t="s">
        <v>125</v>
      </c>
      <c r="J660" s="37" t="s">
        <v>126</v>
      </c>
      <c r="K660" s="37" t="s">
        <v>1202</v>
      </c>
      <c r="L660" s="39" t="n">
        <v>3320</v>
      </c>
      <c r="M660" s="39" t="n">
        <v>3280</v>
      </c>
      <c r="N660" s="39" t="n">
        <v>1317</v>
      </c>
      <c r="O660" s="39" t="n">
        <v>84</v>
      </c>
      <c r="P660" s="39" t="n">
        <v>13</v>
      </c>
      <c r="Q660" s="39" t="n">
        <v>40</v>
      </c>
      <c r="R660" s="39" t="n">
        <v>37</v>
      </c>
      <c r="S660" s="39" t="n">
        <v>0</v>
      </c>
      <c r="T660" s="40" t="n">
        <f aca="false">IF(M660=0,0,N660/M660)</f>
        <v>0.401524390243902</v>
      </c>
      <c r="U660" s="40" t="n">
        <f aca="false">IF(M660=0,0,O660/M660)</f>
        <v>0.025609756097561</v>
      </c>
      <c r="V660" s="41" t="n">
        <f aca="false">IF(M660=0,0,P660/M660)</f>
        <v>0.00396341463414634</v>
      </c>
      <c r="W660" s="40" t="n">
        <f aca="false">IF(L660=0,0,Q660/L660)</f>
        <v>0.0120481927710843</v>
      </c>
    </row>
    <row r="661" customFormat="false" ht="15" hidden="false" customHeight="false" outlineLevel="0" collapsed="false">
      <c r="A661" s="37" t="s">
        <v>1977</v>
      </c>
      <c r="B661" s="38" t="n">
        <v>46042.8756365741</v>
      </c>
      <c r="C661" s="37" t="s">
        <v>1246</v>
      </c>
      <c r="D661" s="37" t="s">
        <v>152</v>
      </c>
      <c r="E661" s="37" t="s">
        <v>1344</v>
      </c>
      <c r="F661" s="37" t="s">
        <v>152</v>
      </c>
      <c r="G661" s="37"/>
      <c r="H661" s="37"/>
      <c r="I661" s="37" t="s">
        <v>150</v>
      </c>
      <c r="J661" s="37" t="s">
        <v>151</v>
      </c>
      <c r="K661" s="37" t="s">
        <v>1202</v>
      </c>
      <c r="L661" s="39" t="n">
        <v>4398</v>
      </c>
      <c r="M661" s="39" t="n">
        <v>4389</v>
      </c>
      <c r="N661" s="39" t="n">
        <v>1061</v>
      </c>
      <c r="O661" s="39" t="n">
        <v>87</v>
      </c>
      <c r="P661" s="39" t="n">
        <v>8</v>
      </c>
      <c r="Q661" s="39" t="n">
        <v>9</v>
      </c>
      <c r="R661" s="39" t="n">
        <v>8</v>
      </c>
      <c r="S661" s="39" t="n">
        <v>0</v>
      </c>
      <c r="T661" s="40" t="n">
        <f aca="false">IF(M661=0,0,N661/M661)</f>
        <v>0.241740715424926</v>
      </c>
      <c r="U661" s="40" t="n">
        <f aca="false">IF(M661=0,0,O661/M661)</f>
        <v>0.0198222829801777</v>
      </c>
      <c r="V661" s="41" t="n">
        <f aca="false">IF(M661=0,0,P661/M661)</f>
        <v>0.00182273866484393</v>
      </c>
      <c r="W661" s="40" t="n">
        <f aca="false">IF(L661=0,0,Q661/L661)</f>
        <v>0.00204638472032742</v>
      </c>
    </row>
    <row r="662" customFormat="false" ht="15" hidden="false" customHeight="false" outlineLevel="0" collapsed="false">
      <c r="A662" s="37" t="s">
        <v>1751</v>
      </c>
      <c r="B662" s="38" t="n">
        <v>46042.8620833333</v>
      </c>
      <c r="C662" s="37" t="s">
        <v>1201</v>
      </c>
      <c r="D662" s="37" t="s">
        <v>1211</v>
      </c>
      <c r="E662" s="37" t="s">
        <v>1212</v>
      </c>
      <c r="F662" s="37" t="s">
        <v>544</v>
      </c>
      <c r="G662" s="37"/>
      <c r="H662" s="37"/>
      <c r="I662" s="37"/>
      <c r="J662" s="37" t="s">
        <v>100</v>
      </c>
      <c r="K662" s="37" t="s">
        <v>1213</v>
      </c>
      <c r="L662" s="39" t="n">
        <v>131</v>
      </c>
      <c r="M662" s="39" t="n">
        <v>131</v>
      </c>
      <c r="N662" s="39" t="n">
        <v>78</v>
      </c>
      <c r="O662" s="39" t="n">
        <v>0</v>
      </c>
      <c r="P662" s="39" t="n">
        <v>0</v>
      </c>
      <c r="Q662" s="39" t="n">
        <v>0</v>
      </c>
      <c r="R662" s="39" t="n">
        <v>0</v>
      </c>
      <c r="S662" s="39" t="n">
        <v>0</v>
      </c>
      <c r="T662" s="40" t="n">
        <f aca="false">IF(M662=0,0,N662/M662)</f>
        <v>0.595419847328244</v>
      </c>
      <c r="U662" s="40" t="n">
        <f aca="false">IF(M662=0,0,O662/M662)</f>
        <v>0</v>
      </c>
      <c r="V662" s="41" t="n">
        <f aca="false">IF(M662=0,0,P662/M662)</f>
        <v>0</v>
      </c>
      <c r="W662" s="40" t="n">
        <f aca="false">IF(L662=0,0,Q662/L662)</f>
        <v>0</v>
      </c>
    </row>
    <row r="663" customFormat="false" ht="15" hidden="false" customHeight="false" outlineLevel="0" collapsed="false">
      <c r="A663" s="37" t="s">
        <v>1978</v>
      </c>
      <c r="B663" s="38" t="n">
        <v>46042.3855671296</v>
      </c>
      <c r="C663" s="37" t="s">
        <v>1201</v>
      </c>
      <c r="D663" s="37" t="s">
        <v>1372</v>
      </c>
      <c r="E663" s="37" t="s">
        <v>1373</v>
      </c>
      <c r="F663" s="37" t="s">
        <v>537</v>
      </c>
      <c r="G663" s="37"/>
      <c r="H663" s="37"/>
      <c r="I663" s="37"/>
      <c r="J663" s="37" t="s">
        <v>296</v>
      </c>
      <c r="K663" s="37" t="s">
        <v>1202</v>
      </c>
      <c r="L663" s="39" t="n">
        <v>2</v>
      </c>
      <c r="M663" s="39" t="n">
        <v>2</v>
      </c>
      <c r="N663" s="39" t="n">
        <v>2</v>
      </c>
      <c r="O663" s="39" t="n">
        <v>0</v>
      </c>
      <c r="P663" s="39" t="n">
        <v>0</v>
      </c>
      <c r="Q663" s="39" t="n">
        <v>0</v>
      </c>
      <c r="R663" s="39" t="n">
        <v>0</v>
      </c>
      <c r="S663" s="39" t="n">
        <v>0</v>
      </c>
      <c r="T663" s="40" t="n">
        <f aca="false">IF(M663=0,0,N663/M663)</f>
        <v>1</v>
      </c>
      <c r="U663" s="40" t="n">
        <f aca="false">IF(M663=0,0,O663/M663)</f>
        <v>0</v>
      </c>
      <c r="V663" s="41" t="n">
        <f aca="false">IF(M663=0,0,P663/M663)</f>
        <v>0</v>
      </c>
      <c r="W663" s="40" t="n">
        <f aca="false">IF(L663=0,0,Q663/L663)</f>
        <v>0</v>
      </c>
    </row>
    <row r="664" customFormat="false" ht="15" hidden="false" customHeight="false" outlineLevel="0" collapsed="false">
      <c r="A664" s="37" t="s">
        <v>1979</v>
      </c>
      <c r="B664" s="38" t="n">
        <v>46042.3756712963</v>
      </c>
      <c r="C664" s="37" t="s">
        <v>1201</v>
      </c>
      <c r="D664" s="37" t="s">
        <v>1372</v>
      </c>
      <c r="E664" s="37" t="s">
        <v>1373</v>
      </c>
      <c r="F664" s="37" t="s">
        <v>537</v>
      </c>
      <c r="G664" s="37"/>
      <c r="H664" s="37"/>
      <c r="I664" s="37"/>
      <c r="J664" s="37" t="s">
        <v>296</v>
      </c>
      <c r="K664" s="37" t="s">
        <v>1202</v>
      </c>
      <c r="L664" s="39" t="n">
        <v>2</v>
      </c>
      <c r="M664" s="39" t="n">
        <v>2</v>
      </c>
      <c r="N664" s="39" t="n">
        <v>2</v>
      </c>
      <c r="O664" s="39" t="n">
        <v>0</v>
      </c>
      <c r="P664" s="39" t="n">
        <v>0</v>
      </c>
      <c r="Q664" s="39" t="n">
        <v>0</v>
      </c>
      <c r="R664" s="39" t="n">
        <v>0</v>
      </c>
      <c r="S664" s="39" t="n">
        <v>0</v>
      </c>
      <c r="T664" s="40" t="n">
        <f aca="false">IF(M664=0,0,N664/M664)</f>
        <v>1</v>
      </c>
      <c r="U664" s="40" t="n">
        <f aca="false">IF(M664=0,0,O664/M664)</f>
        <v>0</v>
      </c>
      <c r="V664" s="41" t="n">
        <f aca="false">IF(M664=0,0,P664/M664)</f>
        <v>0</v>
      </c>
      <c r="W664" s="40" t="n">
        <f aca="false">IF(L664=0,0,Q664/L664)</f>
        <v>0</v>
      </c>
    </row>
    <row r="665" customFormat="false" ht="15" hidden="false" customHeight="false" outlineLevel="0" collapsed="false">
      <c r="A665" s="37" t="s">
        <v>1980</v>
      </c>
      <c r="B665" s="38" t="n">
        <v>46042.2802662037</v>
      </c>
      <c r="C665" s="37" t="s">
        <v>1201</v>
      </c>
      <c r="D665" s="37" t="s">
        <v>1981</v>
      </c>
      <c r="E665" s="37" t="s">
        <v>1974</v>
      </c>
      <c r="F665" s="37" t="s">
        <v>555</v>
      </c>
      <c r="G665" s="37"/>
      <c r="H665" s="37"/>
      <c r="I665" s="37"/>
      <c r="J665" s="37" t="s">
        <v>144</v>
      </c>
      <c r="K665" s="37" t="s">
        <v>1202</v>
      </c>
      <c r="L665" s="39" t="n">
        <v>147</v>
      </c>
      <c r="M665" s="39" t="n">
        <v>146</v>
      </c>
      <c r="N665" s="39" t="n">
        <v>123</v>
      </c>
      <c r="O665" s="39" t="n">
        <v>0</v>
      </c>
      <c r="P665" s="39" t="n">
        <v>1</v>
      </c>
      <c r="Q665" s="39" t="n">
        <v>1</v>
      </c>
      <c r="R665" s="39" t="n">
        <v>0</v>
      </c>
      <c r="S665" s="39" t="n">
        <v>0</v>
      </c>
      <c r="T665" s="40" t="n">
        <f aca="false">IF(M665=0,0,N665/M665)</f>
        <v>0.842465753424658</v>
      </c>
      <c r="U665" s="40" t="n">
        <f aca="false">IF(M665=0,0,O665/M665)</f>
        <v>0</v>
      </c>
      <c r="V665" s="41" t="n">
        <f aca="false">IF(M665=0,0,P665/M665)</f>
        <v>0.00684931506849315</v>
      </c>
      <c r="W665" s="40" t="n">
        <f aca="false">IF(L665=0,0,Q665/L665)</f>
        <v>0.00680272108843537</v>
      </c>
    </row>
    <row r="666" customFormat="false" ht="15" hidden="false" customHeight="false" outlineLevel="0" collapsed="false">
      <c r="A666" s="37" t="s">
        <v>1982</v>
      </c>
      <c r="B666" s="38" t="n">
        <v>46041.2996643519</v>
      </c>
      <c r="C666" s="37" t="s">
        <v>1201</v>
      </c>
      <c r="D666" s="37" t="s">
        <v>1372</v>
      </c>
      <c r="E666" s="37" t="s">
        <v>1373</v>
      </c>
      <c r="F666" s="37" t="s">
        <v>537</v>
      </c>
      <c r="G666" s="37"/>
      <c r="H666" s="37"/>
      <c r="I666" s="37"/>
      <c r="J666" s="37" t="s">
        <v>296</v>
      </c>
      <c r="K666" s="37" t="s">
        <v>1202</v>
      </c>
      <c r="L666" s="39" t="n">
        <v>2</v>
      </c>
      <c r="M666" s="39" t="n">
        <v>2</v>
      </c>
      <c r="N666" s="39" t="n">
        <v>2</v>
      </c>
      <c r="O666" s="39" t="n">
        <v>0</v>
      </c>
      <c r="P666" s="39" t="n">
        <v>0</v>
      </c>
      <c r="Q666" s="39" t="n">
        <v>0</v>
      </c>
      <c r="R666" s="39" t="n">
        <v>0</v>
      </c>
      <c r="S666" s="39" t="n">
        <v>0</v>
      </c>
      <c r="T666" s="40" t="n">
        <f aca="false">IF(M666=0,0,N666/M666)</f>
        <v>1</v>
      </c>
      <c r="U666" s="40" t="n">
        <f aca="false">IF(M666=0,0,O666/M666)</f>
        <v>0</v>
      </c>
      <c r="V666" s="41" t="n">
        <f aca="false">IF(M666=0,0,P666/M666)</f>
        <v>0</v>
      </c>
      <c r="W666" s="40" t="n">
        <f aca="false">IF(L666=0,0,Q666/L666)</f>
        <v>0</v>
      </c>
    </row>
    <row r="667" customFormat="false" ht="15" hidden="false" customHeight="false" outlineLevel="0" collapsed="false">
      <c r="A667" s="37" t="s">
        <v>1983</v>
      </c>
      <c r="B667" s="38" t="n">
        <v>46039.0109375</v>
      </c>
      <c r="C667" s="37" t="s">
        <v>1201</v>
      </c>
      <c r="D667" s="37" t="s">
        <v>1372</v>
      </c>
      <c r="E667" s="37" t="s">
        <v>1373</v>
      </c>
      <c r="F667" s="37" t="s">
        <v>537</v>
      </c>
      <c r="G667" s="37"/>
      <c r="H667" s="37"/>
      <c r="I667" s="37"/>
      <c r="J667" s="37" t="s">
        <v>296</v>
      </c>
      <c r="K667" s="37" t="s">
        <v>1202</v>
      </c>
      <c r="L667" s="39" t="n">
        <v>2</v>
      </c>
      <c r="M667" s="39" t="n">
        <v>2</v>
      </c>
      <c r="N667" s="39" t="n">
        <v>2</v>
      </c>
      <c r="O667" s="39" t="n">
        <v>0</v>
      </c>
      <c r="P667" s="39" t="n">
        <v>0</v>
      </c>
      <c r="Q667" s="39" t="n">
        <v>0</v>
      </c>
      <c r="R667" s="39" t="n">
        <v>0</v>
      </c>
      <c r="S667" s="39" t="n">
        <v>0</v>
      </c>
      <c r="T667" s="40" t="n">
        <f aca="false">IF(M667=0,0,N667/M667)</f>
        <v>1</v>
      </c>
      <c r="U667" s="40" t="n">
        <f aca="false">IF(M667=0,0,O667/M667)</f>
        <v>0</v>
      </c>
      <c r="V667" s="41" t="n">
        <f aca="false">IF(M667=0,0,P667/M667)</f>
        <v>0</v>
      </c>
      <c r="W667" s="40" t="n">
        <f aca="false">IF(L667=0,0,Q667/L667)</f>
        <v>0</v>
      </c>
    </row>
    <row r="668" customFormat="false" ht="15" hidden="false" customHeight="false" outlineLevel="0" collapsed="false">
      <c r="A668" s="37" t="s">
        <v>1984</v>
      </c>
      <c r="B668" s="38" t="n">
        <v>46038.3860532407</v>
      </c>
      <c r="C668" s="37" t="s">
        <v>1201</v>
      </c>
      <c r="D668" s="37" t="s">
        <v>1372</v>
      </c>
      <c r="E668" s="37" t="s">
        <v>1373</v>
      </c>
      <c r="F668" s="37" t="s">
        <v>537</v>
      </c>
      <c r="G668" s="37"/>
      <c r="H668" s="37"/>
      <c r="I668" s="37"/>
      <c r="J668" s="37" t="s">
        <v>296</v>
      </c>
      <c r="K668" s="37" t="s">
        <v>1202</v>
      </c>
      <c r="L668" s="39" t="n">
        <v>2</v>
      </c>
      <c r="M668" s="39" t="n">
        <v>2</v>
      </c>
      <c r="N668" s="39" t="n">
        <v>2</v>
      </c>
      <c r="O668" s="39" t="n">
        <v>0</v>
      </c>
      <c r="P668" s="39" t="n">
        <v>0</v>
      </c>
      <c r="Q668" s="39" t="n">
        <v>0</v>
      </c>
      <c r="R668" s="39" t="n">
        <v>0</v>
      </c>
      <c r="S668" s="39" t="n">
        <v>0</v>
      </c>
      <c r="T668" s="40" t="n">
        <f aca="false">IF(M668=0,0,N668/M668)</f>
        <v>1</v>
      </c>
      <c r="U668" s="40" t="n">
        <f aca="false">IF(M668=0,0,O668/M668)</f>
        <v>0</v>
      </c>
      <c r="V668" s="41" t="n">
        <f aca="false">IF(M668=0,0,P668/M668)</f>
        <v>0</v>
      </c>
      <c r="W668" s="40" t="n">
        <f aca="false">IF(L668=0,0,Q668/L668)</f>
        <v>0</v>
      </c>
    </row>
    <row r="669" customFormat="false" ht="15" hidden="false" customHeight="false" outlineLevel="0" collapsed="false">
      <c r="A669" s="37" t="s">
        <v>1985</v>
      </c>
      <c r="B669" s="38" t="n">
        <v>46038.2856712963</v>
      </c>
      <c r="C669" s="37" t="s">
        <v>1201</v>
      </c>
      <c r="D669" s="37" t="s">
        <v>122</v>
      </c>
      <c r="E669" s="37" t="s">
        <v>1255</v>
      </c>
      <c r="F669" s="37" t="s">
        <v>629</v>
      </c>
      <c r="G669" s="37" t="s">
        <v>1256</v>
      </c>
      <c r="H669" s="37"/>
      <c r="I669" s="37" t="s">
        <v>120</v>
      </c>
      <c r="J669" s="37" t="s">
        <v>121</v>
      </c>
      <c r="K669" s="37" t="s">
        <v>1202</v>
      </c>
      <c r="L669" s="39" t="n">
        <v>1266</v>
      </c>
      <c r="M669" s="39" t="n">
        <v>1261</v>
      </c>
      <c r="N669" s="39" t="n">
        <v>297</v>
      </c>
      <c r="O669" s="39" t="n">
        <v>16</v>
      </c>
      <c r="P669" s="39" t="n">
        <v>10</v>
      </c>
      <c r="Q669" s="39" t="n">
        <v>5</v>
      </c>
      <c r="R669" s="39" t="n">
        <v>3</v>
      </c>
      <c r="S669" s="39" t="n">
        <v>0</v>
      </c>
      <c r="T669" s="40" t="n">
        <f aca="false">IF(M669=0,0,N669/M669)</f>
        <v>0.235527359238699</v>
      </c>
      <c r="U669" s="40" t="n">
        <f aca="false">IF(M669=0,0,O669/M669)</f>
        <v>0.0126883425852498</v>
      </c>
      <c r="V669" s="41" t="n">
        <f aca="false">IF(M669=0,0,P669/M669)</f>
        <v>0.00793021411578113</v>
      </c>
      <c r="W669" s="40" t="n">
        <f aca="false">IF(L669=0,0,Q669/L669)</f>
        <v>0.00394944707740916</v>
      </c>
    </row>
    <row r="670" customFormat="false" ht="15" hidden="false" customHeight="false" outlineLevel="0" collapsed="false">
      <c r="A670" s="37" t="s">
        <v>1986</v>
      </c>
      <c r="B670" s="38" t="n">
        <v>46037.7666319445</v>
      </c>
      <c r="C670" s="37" t="s">
        <v>1201</v>
      </c>
      <c r="D670" s="37" t="s">
        <v>160</v>
      </c>
      <c r="E670" s="37" t="s">
        <v>160</v>
      </c>
      <c r="F670" s="37" t="s">
        <v>189</v>
      </c>
      <c r="G670" s="37" t="s">
        <v>1114</v>
      </c>
      <c r="H670" s="37"/>
      <c r="I670" s="37" t="s">
        <v>157</v>
      </c>
      <c r="J670" s="37" t="s">
        <v>158</v>
      </c>
      <c r="K670" s="37" t="s">
        <v>1202</v>
      </c>
      <c r="L670" s="39" t="n">
        <v>1296</v>
      </c>
      <c r="M670" s="39" t="n">
        <v>1286</v>
      </c>
      <c r="N670" s="39" t="n">
        <v>567</v>
      </c>
      <c r="O670" s="39" t="n">
        <v>57</v>
      </c>
      <c r="P670" s="39" t="n">
        <v>1</v>
      </c>
      <c r="Q670" s="39" t="n">
        <v>10</v>
      </c>
      <c r="R670" s="39" t="n">
        <v>8</v>
      </c>
      <c r="S670" s="39" t="n">
        <v>0</v>
      </c>
      <c r="T670" s="40" t="n">
        <f aca="false">IF(M670=0,0,N670/M670)</f>
        <v>0.440902021772939</v>
      </c>
      <c r="U670" s="40" t="n">
        <f aca="false">IF(M670=0,0,O670/M670)</f>
        <v>0.0443234836702955</v>
      </c>
      <c r="V670" s="41" t="n">
        <f aca="false">IF(M670=0,0,P670/M670)</f>
        <v>0.000777604976671851</v>
      </c>
      <c r="W670" s="40" t="n">
        <f aca="false">IF(L670=0,0,Q670/L670)</f>
        <v>0.00771604938271605</v>
      </c>
    </row>
    <row r="671" customFormat="false" ht="15" hidden="false" customHeight="false" outlineLevel="0" collapsed="false">
      <c r="A671" s="37" t="s">
        <v>1987</v>
      </c>
      <c r="B671" s="38" t="n">
        <v>46037.3754398148</v>
      </c>
      <c r="C671" s="37" t="s">
        <v>1201</v>
      </c>
      <c r="D671" s="37" t="s">
        <v>1372</v>
      </c>
      <c r="E671" s="37" t="s">
        <v>1373</v>
      </c>
      <c r="F671" s="37" t="s">
        <v>537</v>
      </c>
      <c r="G671" s="37"/>
      <c r="H671" s="37"/>
      <c r="I671" s="37"/>
      <c r="J671" s="37" t="s">
        <v>296</v>
      </c>
      <c r="K671" s="37" t="s">
        <v>1202</v>
      </c>
      <c r="L671" s="39" t="n">
        <v>2</v>
      </c>
      <c r="M671" s="39" t="n">
        <v>2</v>
      </c>
      <c r="N671" s="39" t="n">
        <v>2</v>
      </c>
      <c r="O671" s="39" t="n">
        <v>0</v>
      </c>
      <c r="P671" s="39" t="n">
        <v>0</v>
      </c>
      <c r="Q671" s="39" t="n">
        <v>0</v>
      </c>
      <c r="R671" s="39" t="n">
        <v>0</v>
      </c>
      <c r="S671" s="39" t="n">
        <v>0</v>
      </c>
      <c r="T671" s="40" t="n">
        <f aca="false">IF(M671=0,0,N671/M671)</f>
        <v>1</v>
      </c>
      <c r="U671" s="40" t="n">
        <f aca="false">IF(M671=0,0,O671/M671)</f>
        <v>0</v>
      </c>
      <c r="V671" s="41" t="n">
        <f aca="false">IF(M671=0,0,P671/M671)</f>
        <v>0</v>
      </c>
      <c r="W671" s="40" t="n">
        <f aca="false">IF(L671=0,0,Q671/L671)</f>
        <v>0</v>
      </c>
    </row>
    <row r="672" customFormat="false" ht="15" hidden="false" customHeight="false" outlineLevel="0" collapsed="false">
      <c r="A672" s="37" t="s">
        <v>1988</v>
      </c>
      <c r="B672" s="38" t="n">
        <v>46037.3333796296</v>
      </c>
      <c r="C672" s="37" t="s">
        <v>1252</v>
      </c>
      <c r="D672" s="37" t="s">
        <v>1600</v>
      </c>
      <c r="E672" s="37" t="s">
        <v>288</v>
      </c>
      <c r="F672" s="37" t="s">
        <v>505</v>
      </c>
      <c r="G672" s="37"/>
      <c r="H672" s="37"/>
      <c r="I672" s="37"/>
      <c r="J672" s="37" t="s">
        <v>287</v>
      </c>
      <c r="K672" s="37" t="s">
        <v>1213</v>
      </c>
      <c r="L672" s="39" t="n">
        <v>336</v>
      </c>
      <c r="M672" s="39" t="n">
        <v>332</v>
      </c>
      <c r="N672" s="39" t="n">
        <v>61</v>
      </c>
      <c r="O672" s="39" t="n">
        <v>1</v>
      </c>
      <c r="P672" s="39" t="n">
        <v>0</v>
      </c>
      <c r="Q672" s="39" t="n">
        <v>4</v>
      </c>
      <c r="R672" s="39" t="n">
        <v>1</v>
      </c>
      <c r="S672" s="39" t="n">
        <v>0</v>
      </c>
      <c r="T672" s="40" t="n">
        <f aca="false">IF(M672=0,0,N672/M672)</f>
        <v>0.183734939759036</v>
      </c>
      <c r="U672" s="40" t="n">
        <f aca="false">IF(M672=0,0,O672/M672)</f>
        <v>0.00301204819277108</v>
      </c>
      <c r="V672" s="41" t="n">
        <f aca="false">IF(M672=0,0,P672/M672)</f>
        <v>0</v>
      </c>
      <c r="W672" s="40" t="n">
        <f aca="false">IF(L672=0,0,Q672/L672)</f>
        <v>0.0119047619047619</v>
      </c>
    </row>
    <row r="673" customFormat="false" ht="15" hidden="false" customHeight="false" outlineLevel="0" collapsed="false">
      <c r="A673" s="37" t="s">
        <v>1989</v>
      </c>
      <c r="B673" s="38" t="n">
        <v>46037.3179861111</v>
      </c>
      <c r="C673" s="37" t="s">
        <v>1201</v>
      </c>
      <c r="D673" s="37" t="s">
        <v>635</v>
      </c>
      <c r="E673" s="37" t="s">
        <v>166</v>
      </c>
      <c r="F673" s="37" t="s">
        <v>623</v>
      </c>
      <c r="G673" s="37" t="s">
        <v>1880</v>
      </c>
      <c r="H673" s="37"/>
      <c r="I673" s="37" t="s">
        <v>255</v>
      </c>
      <c r="J673" s="37" t="s">
        <v>164</v>
      </c>
      <c r="K673" s="37" t="s">
        <v>1202</v>
      </c>
      <c r="L673" s="39" t="n">
        <v>28</v>
      </c>
      <c r="M673" s="39" t="n">
        <v>28</v>
      </c>
      <c r="N673" s="39" t="n">
        <v>13</v>
      </c>
      <c r="O673" s="39" t="n">
        <v>0</v>
      </c>
      <c r="P673" s="39" t="n">
        <v>0</v>
      </c>
      <c r="Q673" s="39" t="n">
        <v>0</v>
      </c>
      <c r="R673" s="39" t="n">
        <v>0</v>
      </c>
      <c r="S673" s="39" t="n">
        <v>0</v>
      </c>
      <c r="T673" s="40" t="n">
        <f aca="false">IF(M673=0,0,N673/M673)</f>
        <v>0.464285714285714</v>
      </c>
      <c r="U673" s="40" t="n">
        <f aca="false">IF(M673=0,0,O673/M673)</f>
        <v>0</v>
      </c>
      <c r="V673" s="41" t="n">
        <f aca="false">IF(M673=0,0,P673/M673)</f>
        <v>0</v>
      </c>
      <c r="W673" s="40" t="n">
        <f aca="false">IF(L673=0,0,Q673/L673)</f>
        <v>0</v>
      </c>
    </row>
    <row r="674" customFormat="false" ht="15" hidden="false" customHeight="false" outlineLevel="0" collapsed="false">
      <c r="A674" s="37" t="s">
        <v>1990</v>
      </c>
      <c r="B674" s="38" t="n">
        <v>46037.3140740741</v>
      </c>
      <c r="C674" s="37" t="s">
        <v>1201</v>
      </c>
      <c r="D674" s="37" t="s">
        <v>1392</v>
      </c>
      <c r="E674" s="37" t="s">
        <v>166</v>
      </c>
      <c r="F674" s="37" t="s">
        <v>671</v>
      </c>
      <c r="G674" s="37" t="s">
        <v>1734</v>
      </c>
      <c r="H674" s="37"/>
      <c r="I674" s="37" t="s">
        <v>260</v>
      </c>
      <c r="J674" s="37" t="s">
        <v>164</v>
      </c>
      <c r="K674" s="37" t="s">
        <v>1202</v>
      </c>
      <c r="L674" s="39" t="n">
        <v>23</v>
      </c>
      <c r="M674" s="39" t="n">
        <v>23</v>
      </c>
      <c r="N674" s="39" t="n">
        <v>12</v>
      </c>
      <c r="O674" s="39" t="n">
        <v>1</v>
      </c>
      <c r="P674" s="39" t="n">
        <v>1</v>
      </c>
      <c r="Q674" s="39" t="n">
        <v>0</v>
      </c>
      <c r="R674" s="39" t="n">
        <v>0</v>
      </c>
      <c r="S674" s="39" t="n">
        <v>0</v>
      </c>
      <c r="T674" s="40" t="n">
        <f aca="false">IF(M674=0,0,N674/M674)</f>
        <v>0.521739130434783</v>
      </c>
      <c r="U674" s="40" t="n">
        <f aca="false">IF(M674=0,0,O674/M674)</f>
        <v>0.0434782608695652</v>
      </c>
      <c r="V674" s="41" t="n">
        <f aca="false">IF(M674=0,0,P674/M674)</f>
        <v>0.0434782608695652</v>
      </c>
      <c r="W674" s="40" t="n">
        <f aca="false">IF(L674=0,0,Q674/L674)</f>
        <v>0</v>
      </c>
    </row>
    <row r="675" customFormat="false" ht="15" hidden="false" customHeight="false" outlineLevel="0" collapsed="false">
      <c r="A675" s="37" t="s">
        <v>1991</v>
      </c>
      <c r="B675" s="38" t="n">
        <v>46037.149537037</v>
      </c>
      <c r="C675" s="37" t="s">
        <v>1201</v>
      </c>
      <c r="D675" s="37" t="s">
        <v>1992</v>
      </c>
      <c r="E675" s="37" t="s">
        <v>1546</v>
      </c>
      <c r="F675" s="37" t="s">
        <v>544</v>
      </c>
      <c r="G675" s="37" t="s">
        <v>1107</v>
      </c>
      <c r="H675" s="37"/>
      <c r="I675" s="37"/>
      <c r="J675" s="37" t="s">
        <v>236</v>
      </c>
      <c r="K675" s="37" t="s">
        <v>1202</v>
      </c>
      <c r="L675" s="39" t="n">
        <v>1934</v>
      </c>
      <c r="M675" s="39" t="n">
        <v>1805</v>
      </c>
      <c r="N675" s="39" t="n">
        <v>522</v>
      </c>
      <c r="O675" s="39" t="n">
        <v>74</v>
      </c>
      <c r="P675" s="39" t="n">
        <v>15</v>
      </c>
      <c r="Q675" s="39" t="n">
        <v>129</v>
      </c>
      <c r="R675" s="39" t="n">
        <v>129</v>
      </c>
      <c r="S675" s="39" t="n">
        <v>0</v>
      </c>
      <c r="T675" s="40" t="n">
        <f aca="false">IF(M675=0,0,N675/M675)</f>
        <v>0.289196675900277</v>
      </c>
      <c r="U675" s="40" t="n">
        <f aca="false">IF(M675=0,0,O675/M675)</f>
        <v>0.0409972299168975</v>
      </c>
      <c r="V675" s="41" t="n">
        <f aca="false">IF(M675=0,0,P675/M675)</f>
        <v>0.00831024930747923</v>
      </c>
      <c r="W675" s="40" t="n">
        <f aca="false">IF(L675=0,0,Q675/L675)</f>
        <v>0.0667011375387797</v>
      </c>
    </row>
    <row r="676" customFormat="false" ht="15" hidden="false" customHeight="false" outlineLevel="0" collapsed="false">
      <c r="A676" s="37" t="s">
        <v>1993</v>
      </c>
      <c r="B676" s="38" t="n">
        <v>46036.4375347222</v>
      </c>
      <c r="C676" s="37" t="s">
        <v>1201</v>
      </c>
      <c r="D676" s="37" t="s">
        <v>230</v>
      </c>
      <c r="E676" s="37" t="s">
        <v>231</v>
      </c>
      <c r="F676" s="37" t="s">
        <v>230</v>
      </c>
      <c r="G676" s="37"/>
      <c r="H676" s="37"/>
      <c r="I676" s="37"/>
      <c r="J676" s="37" t="s">
        <v>229</v>
      </c>
      <c r="K676" s="37" t="s">
        <v>1202</v>
      </c>
      <c r="L676" s="39" t="n">
        <v>338</v>
      </c>
      <c r="M676" s="39" t="n">
        <v>330</v>
      </c>
      <c r="N676" s="39" t="n">
        <v>128</v>
      </c>
      <c r="O676" s="39" t="n">
        <v>38</v>
      </c>
      <c r="P676" s="39" t="n">
        <v>0</v>
      </c>
      <c r="Q676" s="39" t="n">
        <v>8</v>
      </c>
      <c r="R676" s="39" t="n">
        <v>8</v>
      </c>
      <c r="S676" s="39" t="n">
        <v>0</v>
      </c>
      <c r="T676" s="40" t="n">
        <f aca="false">IF(M676=0,0,N676/M676)</f>
        <v>0.387878787878788</v>
      </c>
      <c r="U676" s="40" t="n">
        <f aca="false">IF(M676=0,0,O676/M676)</f>
        <v>0.115151515151515</v>
      </c>
      <c r="V676" s="41" t="n">
        <f aca="false">IF(M676=0,0,P676/M676)</f>
        <v>0</v>
      </c>
      <c r="W676" s="40" t="n">
        <f aca="false">IF(L676=0,0,Q676/L676)</f>
        <v>0.0236686390532544</v>
      </c>
    </row>
    <row r="677" customFormat="false" ht="15" hidden="false" customHeight="false" outlineLevel="0" collapsed="false">
      <c r="A677" s="37" t="s">
        <v>1994</v>
      </c>
      <c r="B677" s="38" t="n">
        <v>46036.384375</v>
      </c>
      <c r="C677" s="37" t="s">
        <v>1201</v>
      </c>
      <c r="D677" s="37" t="s">
        <v>1526</v>
      </c>
      <c r="E677" s="37" t="s">
        <v>1995</v>
      </c>
      <c r="F677" s="37" t="s">
        <v>637</v>
      </c>
      <c r="G677" s="37"/>
      <c r="H677" s="37"/>
      <c r="I677" s="37"/>
      <c r="J677" s="37" t="s">
        <v>364</v>
      </c>
      <c r="K677" s="37" t="s">
        <v>1202</v>
      </c>
      <c r="L677" s="39" t="n">
        <v>128</v>
      </c>
      <c r="M677" s="39" t="n">
        <v>127</v>
      </c>
      <c r="N677" s="39" t="n">
        <v>70</v>
      </c>
      <c r="O677" s="39" t="n">
        <v>18</v>
      </c>
      <c r="P677" s="39" t="n">
        <v>3</v>
      </c>
      <c r="Q677" s="39" t="n">
        <v>1</v>
      </c>
      <c r="R677" s="39" t="n">
        <v>1</v>
      </c>
      <c r="S677" s="39" t="n">
        <v>0</v>
      </c>
      <c r="T677" s="40" t="n">
        <f aca="false">IF(M677=0,0,N677/M677)</f>
        <v>0.551181102362205</v>
      </c>
      <c r="U677" s="40" t="n">
        <f aca="false">IF(M677=0,0,O677/M677)</f>
        <v>0.141732283464567</v>
      </c>
      <c r="V677" s="41" t="n">
        <f aca="false">IF(M677=0,0,P677/M677)</f>
        <v>0.0236220472440945</v>
      </c>
      <c r="W677" s="40" t="n">
        <f aca="false">IF(L677=0,0,Q677/L677)</f>
        <v>0.0078125</v>
      </c>
    </row>
    <row r="678" customFormat="false" ht="15" hidden="false" customHeight="false" outlineLevel="0" collapsed="false">
      <c r="A678" s="37" t="s">
        <v>1996</v>
      </c>
      <c r="B678" s="38" t="n">
        <v>46036.3334606482</v>
      </c>
      <c r="C678" s="37" t="s">
        <v>1252</v>
      </c>
      <c r="D678" s="37" t="s">
        <v>166</v>
      </c>
      <c r="E678" s="37" t="s">
        <v>166</v>
      </c>
      <c r="F678" s="37" t="s">
        <v>671</v>
      </c>
      <c r="G678" s="37" t="s">
        <v>1997</v>
      </c>
      <c r="H678" s="37"/>
      <c r="I678" s="37" t="s">
        <v>174</v>
      </c>
      <c r="J678" s="37" t="s">
        <v>164</v>
      </c>
      <c r="K678" s="37" t="s">
        <v>1202</v>
      </c>
      <c r="L678" s="39" t="n">
        <v>848</v>
      </c>
      <c r="M678" s="39" t="n">
        <v>845</v>
      </c>
      <c r="N678" s="39" t="n">
        <v>446</v>
      </c>
      <c r="O678" s="39" t="n">
        <v>30</v>
      </c>
      <c r="P678" s="39" t="n">
        <v>5</v>
      </c>
      <c r="Q678" s="39" t="n">
        <v>3</v>
      </c>
      <c r="R678" s="39" t="n">
        <v>2</v>
      </c>
      <c r="S678" s="39" t="n">
        <v>0</v>
      </c>
      <c r="T678" s="40" t="n">
        <f aca="false">IF(M678=0,0,N678/M678)</f>
        <v>0.527810650887574</v>
      </c>
      <c r="U678" s="40" t="n">
        <f aca="false">IF(M678=0,0,O678/M678)</f>
        <v>0.0355029585798817</v>
      </c>
      <c r="V678" s="41" t="n">
        <f aca="false">IF(M678=0,0,P678/M678)</f>
        <v>0.00591715976331361</v>
      </c>
      <c r="W678" s="40" t="n">
        <f aca="false">IF(L678=0,0,Q678/L678)</f>
        <v>0.0035377358490566</v>
      </c>
    </row>
    <row r="679" customFormat="false" ht="15" hidden="false" customHeight="false" outlineLevel="0" collapsed="false">
      <c r="A679" s="37" t="s">
        <v>1998</v>
      </c>
      <c r="B679" s="38" t="n">
        <v>46036.3115277778</v>
      </c>
      <c r="C679" s="37" t="s">
        <v>1201</v>
      </c>
      <c r="D679" s="37" t="s">
        <v>1211</v>
      </c>
      <c r="E679" s="37" t="s">
        <v>1212</v>
      </c>
      <c r="F679" s="37" t="s">
        <v>544</v>
      </c>
      <c r="G679" s="37"/>
      <c r="H679" s="37"/>
      <c r="I679" s="37"/>
      <c r="J679" s="37" t="s">
        <v>100</v>
      </c>
      <c r="K679" s="37" t="s">
        <v>1213</v>
      </c>
      <c r="L679" s="39" t="n">
        <v>130</v>
      </c>
      <c r="M679" s="39" t="n">
        <v>130</v>
      </c>
      <c r="N679" s="39" t="n">
        <v>77</v>
      </c>
      <c r="O679" s="39" t="n">
        <v>2</v>
      </c>
      <c r="P679" s="39" t="n">
        <v>1</v>
      </c>
      <c r="Q679" s="39" t="n">
        <v>0</v>
      </c>
      <c r="R679" s="39" t="n">
        <v>0</v>
      </c>
      <c r="S679" s="39" t="n">
        <v>0</v>
      </c>
      <c r="T679" s="40" t="n">
        <f aca="false">IF(M679=0,0,N679/M679)</f>
        <v>0.592307692307692</v>
      </c>
      <c r="U679" s="40" t="n">
        <f aca="false">IF(M679=0,0,O679/M679)</f>
        <v>0.0153846153846154</v>
      </c>
      <c r="V679" s="41" t="n">
        <f aca="false">IF(M679=0,0,P679/M679)</f>
        <v>0.00769230769230769</v>
      </c>
      <c r="W679" s="40" t="n">
        <f aca="false">IF(L679=0,0,Q679/L679)</f>
        <v>0</v>
      </c>
    </row>
    <row r="680" customFormat="false" ht="15" hidden="false" customHeight="false" outlineLevel="0" collapsed="false">
      <c r="A680" s="37" t="s">
        <v>1999</v>
      </c>
      <c r="B680" s="38" t="n">
        <v>46036.1054166667</v>
      </c>
      <c r="C680" s="37" t="s">
        <v>1201</v>
      </c>
      <c r="D680" s="37" t="s">
        <v>251</v>
      </c>
      <c r="E680" s="37" t="s">
        <v>252</v>
      </c>
      <c r="F680" s="37" t="s">
        <v>667</v>
      </c>
      <c r="G680" s="37"/>
      <c r="H680" s="37"/>
      <c r="I680" s="37"/>
      <c r="J680" s="37" t="s">
        <v>109</v>
      </c>
      <c r="K680" s="37" t="s">
        <v>1202</v>
      </c>
      <c r="L680" s="39" t="n">
        <v>265</v>
      </c>
      <c r="M680" s="39" t="n">
        <v>265</v>
      </c>
      <c r="N680" s="39" t="n">
        <v>69</v>
      </c>
      <c r="O680" s="39" t="n">
        <v>18</v>
      </c>
      <c r="P680" s="39" t="n">
        <v>0</v>
      </c>
      <c r="Q680" s="39" t="n">
        <v>0</v>
      </c>
      <c r="R680" s="39" t="n">
        <v>0</v>
      </c>
      <c r="S680" s="39" t="n">
        <v>0</v>
      </c>
      <c r="T680" s="40" t="n">
        <f aca="false">IF(M680=0,0,N680/M680)</f>
        <v>0.260377358490566</v>
      </c>
      <c r="U680" s="40" t="n">
        <f aca="false">IF(M680=0,0,O680/M680)</f>
        <v>0.0679245283018868</v>
      </c>
      <c r="V680" s="41" t="n">
        <f aca="false">IF(M680=0,0,P680/M680)</f>
        <v>0</v>
      </c>
      <c r="W680" s="40" t="n">
        <f aca="false">IF(L680=0,0,Q680/L680)</f>
        <v>0</v>
      </c>
    </row>
    <row r="681" customFormat="false" ht="15" hidden="false" customHeight="false" outlineLevel="0" collapsed="false">
      <c r="A681" s="37" t="s">
        <v>2000</v>
      </c>
      <c r="B681" s="38" t="n">
        <v>46035.7303703704</v>
      </c>
      <c r="C681" s="37" t="s">
        <v>1201</v>
      </c>
      <c r="D681" s="37" t="s">
        <v>1816</v>
      </c>
      <c r="E681" s="37" t="s">
        <v>1709</v>
      </c>
      <c r="F681" s="37" t="s">
        <v>127</v>
      </c>
      <c r="G681" s="37" t="s">
        <v>1887</v>
      </c>
      <c r="H681" s="37"/>
      <c r="I681" s="37"/>
      <c r="J681" s="37" t="s">
        <v>126</v>
      </c>
      <c r="K681" s="37" t="s">
        <v>1202</v>
      </c>
      <c r="L681" s="39" t="n">
        <v>194</v>
      </c>
      <c r="M681" s="39" t="n">
        <v>189</v>
      </c>
      <c r="N681" s="39" t="n">
        <v>36</v>
      </c>
      <c r="O681" s="39" t="n">
        <v>0</v>
      </c>
      <c r="P681" s="39" t="n">
        <v>2</v>
      </c>
      <c r="Q681" s="39" t="n">
        <v>5</v>
      </c>
      <c r="R681" s="39" t="n">
        <v>5</v>
      </c>
      <c r="S681" s="39" t="n">
        <v>0</v>
      </c>
      <c r="T681" s="40" t="n">
        <f aca="false">IF(M681=0,0,N681/M681)</f>
        <v>0.19047619047619</v>
      </c>
      <c r="U681" s="40" t="n">
        <f aca="false">IF(M681=0,0,O681/M681)</f>
        <v>0</v>
      </c>
      <c r="V681" s="41" t="n">
        <f aca="false">IF(M681=0,0,P681/M681)</f>
        <v>0.0105820105820106</v>
      </c>
      <c r="W681" s="40" t="n">
        <f aca="false">IF(L681=0,0,Q681/L681)</f>
        <v>0.0257731958762887</v>
      </c>
    </row>
    <row r="682" customFormat="false" ht="15" hidden="false" customHeight="false" outlineLevel="0" collapsed="false">
      <c r="A682" s="37" t="s">
        <v>2001</v>
      </c>
      <c r="B682" s="38" t="n">
        <v>46035.5786458333</v>
      </c>
      <c r="C682" s="37" t="s">
        <v>1201</v>
      </c>
      <c r="D682" s="37" t="s">
        <v>166</v>
      </c>
      <c r="E682" s="37" t="s">
        <v>166</v>
      </c>
      <c r="F682" s="37" t="s">
        <v>623</v>
      </c>
      <c r="G682" s="37" t="s">
        <v>2002</v>
      </c>
      <c r="H682" s="37"/>
      <c r="I682" s="37"/>
      <c r="J682" s="37" t="s">
        <v>164</v>
      </c>
      <c r="K682" s="37" t="s">
        <v>1202</v>
      </c>
      <c r="L682" s="39" t="n">
        <v>138</v>
      </c>
      <c r="M682" s="39" t="n">
        <v>138</v>
      </c>
      <c r="N682" s="39" t="n">
        <v>66</v>
      </c>
      <c r="O682" s="39" t="n">
        <v>10</v>
      </c>
      <c r="P682" s="39" t="n">
        <v>0</v>
      </c>
      <c r="Q682" s="39" t="n">
        <v>0</v>
      </c>
      <c r="R682" s="39" t="n">
        <v>0</v>
      </c>
      <c r="S682" s="39" t="n">
        <v>0</v>
      </c>
      <c r="T682" s="40" t="n">
        <f aca="false">IF(M682=0,0,N682/M682)</f>
        <v>0.478260869565217</v>
      </c>
      <c r="U682" s="40" t="n">
        <f aca="false">IF(M682=0,0,O682/M682)</f>
        <v>0.072463768115942</v>
      </c>
      <c r="V682" s="41" t="n">
        <f aca="false">IF(M682=0,0,P682/M682)</f>
        <v>0</v>
      </c>
      <c r="W682" s="40" t="n">
        <f aca="false">IF(L682=0,0,Q682/L682)</f>
        <v>0</v>
      </c>
    </row>
    <row r="683" customFormat="false" ht="15" hidden="false" customHeight="false" outlineLevel="0" collapsed="false">
      <c r="A683" s="37" t="s">
        <v>2003</v>
      </c>
      <c r="B683" s="38" t="n">
        <v>46035.3178356482</v>
      </c>
      <c r="C683" s="37" t="s">
        <v>1201</v>
      </c>
      <c r="D683" s="37" t="s">
        <v>1816</v>
      </c>
      <c r="E683" s="37" t="s">
        <v>1709</v>
      </c>
      <c r="F683" s="37" t="s">
        <v>127</v>
      </c>
      <c r="G683" s="37" t="s">
        <v>1817</v>
      </c>
      <c r="H683" s="37"/>
      <c r="I683" s="37"/>
      <c r="J683" s="37" t="s">
        <v>126</v>
      </c>
      <c r="K683" s="37" t="s">
        <v>1213</v>
      </c>
      <c r="L683" s="39" t="n">
        <v>108</v>
      </c>
      <c r="M683" s="39" t="n">
        <v>108</v>
      </c>
      <c r="N683" s="39" t="n">
        <v>49</v>
      </c>
      <c r="O683" s="39" t="n">
        <v>13</v>
      </c>
      <c r="P683" s="39" t="n">
        <v>0</v>
      </c>
      <c r="Q683" s="39" t="n">
        <v>0</v>
      </c>
      <c r="R683" s="39" t="n">
        <v>0</v>
      </c>
      <c r="S683" s="39" t="n">
        <v>0</v>
      </c>
      <c r="T683" s="40" t="n">
        <f aca="false">IF(M683=0,0,N683/M683)</f>
        <v>0.453703703703704</v>
      </c>
      <c r="U683" s="40" t="n">
        <f aca="false">IF(M683=0,0,O683/M683)</f>
        <v>0.12037037037037</v>
      </c>
      <c r="V683" s="41" t="n">
        <f aca="false">IF(M683=0,0,P683/M683)</f>
        <v>0</v>
      </c>
      <c r="W683" s="40" t="n">
        <f aca="false">IF(L683=0,0,Q683/L683)</f>
        <v>0</v>
      </c>
    </row>
    <row r="684" customFormat="false" ht="15" hidden="false" customHeight="false" outlineLevel="0" collapsed="false">
      <c r="A684" s="37" t="s">
        <v>2004</v>
      </c>
      <c r="B684" s="38" t="n">
        <v>46035.277337963</v>
      </c>
      <c r="C684" s="37" t="s">
        <v>1201</v>
      </c>
      <c r="D684" s="37" t="s">
        <v>1816</v>
      </c>
      <c r="E684" s="37" t="s">
        <v>1259</v>
      </c>
      <c r="F684" s="37" t="s">
        <v>127</v>
      </c>
      <c r="G684" s="37" t="s">
        <v>1817</v>
      </c>
      <c r="H684" s="37"/>
      <c r="I684" s="37"/>
      <c r="J684" s="37" t="s">
        <v>126</v>
      </c>
      <c r="K684" s="37" t="s">
        <v>1213</v>
      </c>
      <c r="L684" s="39" t="n">
        <v>108</v>
      </c>
      <c r="M684" s="39" t="n">
        <v>107</v>
      </c>
      <c r="N684" s="39" t="n">
        <v>49</v>
      </c>
      <c r="O684" s="39" t="n">
        <v>19</v>
      </c>
      <c r="P684" s="39" t="n">
        <v>0</v>
      </c>
      <c r="Q684" s="39" t="n">
        <v>1</v>
      </c>
      <c r="R684" s="39" t="n">
        <v>1</v>
      </c>
      <c r="S684" s="39" t="n">
        <v>0</v>
      </c>
      <c r="T684" s="40" t="n">
        <f aca="false">IF(M684=0,0,N684/M684)</f>
        <v>0.457943925233645</v>
      </c>
      <c r="U684" s="40" t="n">
        <f aca="false">IF(M684=0,0,O684/M684)</f>
        <v>0.177570093457944</v>
      </c>
      <c r="V684" s="41" t="n">
        <f aca="false">IF(M684=0,0,P684/M684)</f>
        <v>0</v>
      </c>
      <c r="W684" s="40" t="n">
        <f aca="false">IF(L684=0,0,Q684/L684)</f>
        <v>0.00925925925925926</v>
      </c>
    </row>
    <row r="685" customFormat="false" ht="15" hidden="false" customHeight="false" outlineLevel="0" collapsed="false">
      <c r="A685" s="37" t="s">
        <v>2005</v>
      </c>
      <c r="B685" s="38" t="n">
        <v>46034.8127314815</v>
      </c>
      <c r="C685" s="37" t="s">
        <v>1201</v>
      </c>
      <c r="D685" s="37" t="s">
        <v>1665</v>
      </c>
      <c r="E685" s="37" t="s">
        <v>238</v>
      </c>
      <c r="F685" s="37" t="s">
        <v>555</v>
      </c>
      <c r="G685" s="37"/>
      <c r="H685" s="37"/>
      <c r="I685" s="37"/>
      <c r="J685" s="37" t="s">
        <v>144</v>
      </c>
      <c r="K685" s="37" t="s">
        <v>1202</v>
      </c>
      <c r="L685" s="39" t="n">
        <v>2227</v>
      </c>
      <c r="M685" s="39" t="n">
        <v>2180</v>
      </c>
      <c r="N685" s="39" t="n">
        <v>870</v>
      </c>
      <c r="O685" s="39" t="n">
        <v>57</v>
      </c>
      <c r="P685" s="39" t="n">
        <v>33</v>
      </c>
      <c r="Q685" s="39" t="n">
        <v>47</v>
      </c>
      <c r="R685" s="39" t="n">
        <v>38</v>
      </c>
      <c r="S685" s="39" t="n">
        <v>0</v>
      </c>
      <c r="T685" s="40" t="n">
        <f aca="false">IF(M685=0,0,N685/M685)</f>
        <v>0.399082568807339</v>
      </c>
      <c r="U685" s="40" t="n">
        <f aca="false">IF(M685=0,0,O685/M685)</f>
        <v>0.0261467889908257</v>
      </c>
      <c r="V685" s="41" t="n">
        <f aca="false">IF(M685=0,0,P685/M685)</f>
        <v>0.0151376146788991</v>
      </c>
      <c r="W685" s="40" t="n">
        <f aca="false">IF(L685=0,0,Q685/L685)</f>
        <v>0.0211046250561293</v>
      </c>
    </row>
    <row r="686" customFormat="false" ht="15" hidden="false" customHeight="false" outlineLevel="0" collapsed="false">
      <c r="A686" s="37" t="s">
        <v>2006</v>
      </c>
      <c r="B686" s="38" t="n">
        <v>46034.5433564815</v>
      </c>
      <c r="C686" s="37" t="s">
        <v>1201</v>
      </c>
      <c r="D686" s="37" t="s">
        <v>1523</v>
      </c>
      <c r="E686" s="37" t="s">
        <v>166</v>
      </c>
      <c r="F686" s="37" t="s">
        <v>623</v>
      </c>
      <c r="G686" s="37" t="s">
        <v>1878</v>
      </c>
      <c r="H686" s="37"/>
      <c r="I686" s="37"/>
      <c r="J686" s="37" t="s">
        <v>164</v>
      </c>
      <c r="K686" s="37" t="s">
        <v>1202</v>
      </c>
      <c r="L686" s="39" t="n">
        <v>306</v>
      </c>
      <c r="M686" s="39" t="n">
        <v>305</v>
      </c>
      <c r="N686" s="39" t="n">
        <v>168</v>
      </c>
      <c r="O686" s="39" t="n">
        <v>55</v>
      </c>
      <c r="P686" s="39" t="n">
        <v>0</v>
      </c>
      <c r="Q686" s="39" t="n">
        <v>1</v>
      </c>
      <c r="R686" s="39" t="n">
        <v>1</v>
      </c>
      <c r="S686" s="39" t="n">
        <v>0</v>
      </c>
      <c r="T686" s="40" t="n">
        <f aca="false">IF(M686=0,0,N686/M686)</f>
        <v>0.550819672131148</v>
      </c>
      <c r="U686" s="40" t="n">
        <f aca="false">IF(M686=0,0,O686/M686)</f>
        <v>0.180327868852459</v>
      </c>
      <c r="V686" s="41" t="n">
        <f aca="false">IF(M686=0,0,P686/M686)</f>
        <v>0</v>
      </c>
      <c r="W686" s="40" t="n">
        <f aca="false">IF(L686=0,0,Q686/L686)</f>
        <v>0.00326797385620915</v>
      </c>
    </row>
    <row r="687" customFormat="false" ht="15" hidden="false" customHeight="false" outlineLevel="0" collapsed="false">
      <c r="A687" s="37" t="s">
        <v>2007</v>
      </c>
      <c r="B687" s="38" t="n">
        <v>46034.2678009259</v>
      </c>
      <c r="C687" s="37" t="s">
        <v>1201</v>
      </c>
      <c r="D687" s="37" t="s">
        <v>251</v>
      </c>
      <c r="E687" s="37" t="s">
        <v>252</v>
      </c>
      <c r="F687" s="37" t="s">
        <v>667</v>
      </c>
      <c r="G687" s="37"/>
      <c r="H687" s="37"/>
      <c r="I687" s="37"/>
      <c r="J687" s="37" t="s">
        <v>109</v>
      </c>
      <c r="K687" s="37" t="s">
        <v>1202</v>
      </c>
      <c r="L687" s="39" t="n">
        <v>264</v>
      </c>
      <c r="M687" s="39" t="n">
        <v>263</v>
      </c>
      <c r="N687" s="39" t="n">
        <v>62</v>
      </c>
      <c r="O687" s="39" t="n">
        <v>7</v>
      </c>
      <c r="P687" s="39" t="n">
        <v>1</v>
      </c>
      <c r="Q687" s="39" t="n">
        <v>1</v>
      </c>
      <c r="R687" s="39" t="n">
        <v>1</v>
      </c>
      <c r="S687" s="39" t="n">
        <v>0</v>
      </c>
      <c r="T687" s="40" t="n">
        <f aca="false">IF(M687=0,0,N687/M687)</f>
        <v>0.23574144486692</v>
      </c>
      <c r="U687" s="40" t="n">
        <f aca="false">IF(M687=0,0,O687/M687)</f>
        <v>0.026615969581749</v>
      </c>
      <c r="V687" s="41" t="n">
        <f aca="false">IF(M687=0,0,P687/M687)</f>
        <v>0.00380228136882129</v>
      </c>
      <c r="W687" s="40" t="n">
        <f aca="false">IF(L687=0,0,Q687/L687)</f>
        <v>0.00378787878787879</v>
      </c>
    </row>
    <row r="688" customFormat="false" ht="15" hidden="false" customHeight="false" outlineLevel="0" collapsed="false">
      <c r="A688" s="37" t="s">
        <v>2008</v>
      </c>
      <c r="B688" s="38" t="n">
        <v>46034.0110416667</v>
      </c>
      <c r="C688" s="37" t="s">
        <v>1201</v>
      </c>
      <c r="D688" s="37" t="s">
        <v>1372</v>
      </c>
      <c r="E688" s="37" t="s">
        <v>1373</v>
      </c>
      <c r="F688" s="37" t="s">
        <v>537</v>
      </c>
      <c r="G688" s="37"/>
      <c r="H688" s="37" t="s">
        <v>60</v>
      </c>
      <c r="I688" s="37"/>
      <c r="J688" s="37" t="s">
        <v>296</v>
      </c>
      <c r="K688" s="37" t="s">
        <v>1202</v>
      </c>
      <c r="L688" s="39" t="n">
        <v>2</v>
      </c>
      <c r="M688" s="39" t="n">
        <v>2</v>
      </c>
      <c r="N688" s="39" t="n">
        <v>2</v>
      </c>
      <c r="O688" s="39" t="n">
        <v>0</v>
      </c>
      <c r="P688" s="39" t="n">
        <v>0</v>
      </c>
      <c r="Q688" s="39" t="n">
        <v>0</v>
      </c>
      <c r="R688" s="39" t="n">
        <v>0</v>
      </c>
      <c r="S688" s="39" t="n">
        <v>0</v>
      </c>
      <c r="T688" s="40" t="n">
        <f aca="false">IF(M688=0,0,N688/M688)</f>
        <v>1</v>
      </c>
      <c r="U688" s="40" t="n">
        <f aca="false">IF(M688=0,0,O688/M688)</f>
        <v>0</v>
      </c>
      <c r="V688" s="41" t="n">
        <f aca="false">IF(M688=0,0,P688/M688)</f>
        <v>0</v>
      </c>
      <c r="W688" s="40" t="n">
        <f aca="false">IF(L688=0,0,Q688/L688)</f>
        <v>0</v>
      </c>
    </row>
    <row r="689" customFormat="false" ht="15" hidden="false" customHeight="false" outlineLevel="0" collapsed="false">
      <c r="A689" s="37" t="s">
        <v>2009</v>
      </c>
      <c r="B689" s="38" t="n">
        <v>46034.0002662037</v>
      </c>
      <c r="C689" s="37" t="s">
        <v>1201</v>
      </c>
      <c r="D689" s="37" t="s">
        <v>1372</v>
      </c>
      <c r="E689" s="37" t="s">
        <v>1373</v>
      </c>
      <c r="F689" s="37" t="s">
        <v>537</v>
      </c>
      <c r="G689" s="37"/>
      <c r="H689" s="37" t="s">
        <v>63</v>
      </c>
      <c r="I689" s="37"/>
      <c r="J689" s="37" t="s">
        <v>296</v>
      </c>
      <c r="K689" s="37" t="s">
        <v>1202</v>
      </c>
      <c r="L689" s="39" t="n">
        <v>2</v>
      </c>
      <c r="M689" s="39" t="n">
        <v>2</v>
      </c>
      <c r="N689" s="39" t="n">
        <v>2</v>
      </c>
      <c r="O689" s="39" t="n">
        <v>0</v>
      </c>
      <c r="P689" s="39" t="n">
        <v>0</v>
      </c>
      <c r="Q689" s="39" t="n">
        <v>0</v>
      </c>
      <c r="R689" s="39" t="n">
        <v>0</v>
      </c>
      <c r="S689" s="39" t="n">
        <v>0</v>
      </c>
      <c r="T689" s="40" t="n">
        <f aca="false">IF(M689=0,0,N689/M689)</f>
        <v>1</v>
      </c>
      <c r="U689" s="40" t="n">
        <f aca="false">IF(M689=0,0,O689/M689)</f>
        <v>0</v>
      </c>
      <c r="V689" s="41" t="n">
        <f aca="false">IF(M689=0,0,P689/M689)</f>
        <v>0</v>
      </c>
      <c r="W689" s="40" t="n">
        <f aca="false">IF(L689=0,0,Q689/L689)</f>
        <v>0</v>
      </c>
    </row>
    <row r="690" customFormat="false" ht="15" hidden="false" customHeight="false" outlineLevel="0" collapsed="false">
      <c r="A690" s="37" t="s">
        <v>2010</v>
      </c>
      <c r="B690" s="38" t="n">
        <v>46033.375625</v>
      </c>
      <c r="C690" s="37" t="s">
        <v>1201</v>
      </c>
      <c r="D690" s="37" t="s">
        <v>1372</v>
      </c>
      <c r="E690" s="37" t="s">
        <v>1373</v>
      </c>
      <c r="F690" s="37" t="s">
        <v>537</v>
      </c>
      <c r="G690" s="37"/>
      <c r="H690" s="37" t="s">
        <v>63</v>
      </c>
      <c r="I690" s="37"/>
      <c r="J690" s="37" t="s">
        <v>296</v>
      </c>
      <c r="K690" s="37" t="s">
        <v>1202</v>
      </c>
      <c r="L690" s="39" t="n">
        <v>2</v>
      </c>
      <c r="M690" s="39" t="n">
        <v>2</v>
      </c>
      <c r="N690" s="39" t="n">
        <v>2</v>
      </c>
      <c r="O690" s="39" t="n">
        <v>0</v>
      </c>
      <c r="P690" s="39" t="n">
        <v>0</v>
      </c>
      <c r="Q690" s="39" t="n">
        <v>0</v>
      </c>
      <c r="R690" s="39" t="n">
        <v>0</v>
      </c>
      <c r="S690" s="39" t="n">
        <v>0</v>
      </c>
      <c r="T690" s="40" t="n">
        <f aca="false">IF(M690=0,0,N690/M690)</f>
        <v>1</v>
      </c>
      <c r="U690" s="40" t="n">
        <f aca="false">IF(M690=0,0,O690/M690)</f>
        <v>0</v>
      </c>
      <c r="V690" s="41" t="n">
        <f aca="false">IF(M690=0,0,P690/M690)</f>
        <v>0</v>
      </c>
      <c r="W690" s="40" t="n">
        <f aca="false">IF(L690=0,0,Q690/L690)</f>
        <v>0</v>
      </c>
    </row>
    <row r="691" customFormat="false" ht="15" hidden="false" customHeight="false" outlineLevel="0" collapsed="false">
      <c r="A691" s="37" t="s">
        <v>2011</v>
      </c>
      <c r="B691" s="38" t="n">
        <v>46032.3752083333</v>
      </c>
      <c r="C691" s="37" t="s">
        <v>1201</v>
      </c>
      <c r="D691" s="37" t="s">
        <v>1372</v>
      </c>
      <c r="E691" s="37" t="s">
        <v>1373</v>
      </c>
      <c r="F691" s="37" t="s">
        <v>537</v>
      </c>
      <c r="G691" s="37"/>
      <c r="H691" s="37" t="s">
        <v>63</v>
      </c>
      <c r="I691" s="37"/>
      <c r="J691" s="37" t="s">
        <v>296</v>
      </c>
      <c r="K691" s="37" t="s">
        <v>1202</v>
      </c>
      <c r="L691" s="39" t="n">
        <v>2</v>
      </c>
      <c r="M691" s="39" t="n">
        <v>2</v>
      </c>
      <c r="N691" s="39" t="n">
        <v>2</v>
      </c>
      <c r="O691" s="39" t="n">
        <v>0</v>
      </c>
      <c r="P691" s="39" t="n">
        <v>0</v>
      </c>
      <c r="Q691" s="39" t="n">
        <v>0</v>
      </c>
      <c r="R691" s="39" t="n">
        <v>0</v>
      </c>
      <c r="S691" s="39" t="n">
        <v>0</v>
      </c>
      <c r="T691" s="40" t="n">
        <f aca="false">IF(M691=0,0,N691/M691)</f>
        <v>1</v>
      </c>
      <c r="U691" s="40" t="n">
        <f aca="false">IF(M691=0,0,O691/M691)</f>
        <v>0</v>
      </c>
      <c r="V691" s="41" t="n">
        <f aca="false">IF(M691=0,0,P691/M691)</f>
        <v>0</v>
      </c>
      <c r="W691" s="40" t="n">
        <f aca="false">IF(L691=0,0,Q691/L691)</f>
        <v>0</v>
      </c>
    </row>
    <row r="692" customFormat="false" ht="15" hidden="false" customHeight="false" outlineLevel="0" collapsed="false">
      <c r="A692" s="37" t="s">
        <v>2012</v>
      </c>
      <c r="B692" s="38" t="n">
        <v>46031.3859722222</v>
      </c>
      <c r="C692" s="37" t="s">
        <v>1201</v>
      </c>
      <c r="D692" s="37" t="s">
        <v>1372</v>
      </c>
      <c r="E692" s="37" t="s">
        <v>1373</v>
      </c>
      <c r="F692" s="37" t="s">
        <v>537</v>
      </c>
      <c r="G692" s="37"/>
      <c r="H692" s="37" t="s">
        <v>63</v>
      </c>
      <c r="I692" s="37"/>
      <c r="J692" s="37" t="s">
        <v>296</v>
      </c>
      <c r="K692" s="37" t="s">
        <v>1202</v>
      </c>
      <c r="L692" s="39" t="n">
        <v>2</v>
      </c>
      <c r="M692" s="39" t="n">
        <v>2</v>
      </c>
      <c r="N692" s="39" t="n">
        <v>2</v>
      </c>
      <c r="O692" s="39" t="n">
        <v>0</v>
      </c>
      <c r="P692" s="39" t="n">
        <v>0</v>
      </c>
      <c r="Q692" s="39" t="n">
        <v>0</v>
      </c>
      <c r="R692" s="39" t="n">
        <v>0</v>
      </c>
      <c r="S692" s="39" t="n">
        <v>0</v>
      </c>
      <c r="T692" s="40" t="n">
        <f aca="false">IF(M692=0,0,N692/M692)</f>
        <v>1</v>
      </c>
      <c r="U692" s="40" t="n">
        <f aca="false">IF(M692=0,0,O692/M692)</f>
        <v>0</v>
      </c>
      <c r="V692" s="41" t="n">
        <f aca="false">IF(M692=0,0,P692/M692)</f>
        <v>0</v>
      </c>
      <c r="W692" s="40" t="n">
        <f aca="false">IF(L692=0,0,Q692/L692)</f>
        <v>0</v>
      </c>
    </row>
    <row r="693" customFormat="false" ht="15" hidden="false" customHeight="false" outlineLevel="0" collapsed="false">
      <c r="A693" s="37" t="s">
        <v>2013</v>
      </c>
      <c r="B693" s="38" t="n">
        <v>46030.6228356482</v>
      </c>
      <c r="C693" s="37" t="s">
        <v>1201</v>
      </c>
      <c r="D693" s="37" t="s">
        <v>2014</v>
      </c>
      <c r="E693" s="37" t="s">
        <v>2015</v>
      </c>
      <c r="F693" s="37" t="s">
        <v>650</v>
      </c>
      <c r="G693" s="37"/>
      <c r="H693" s="37" t="s">
        <v>60</v>
      </c>
      <c r="I693" s="37"/>
      <c r="J693" s="37" t="s">
        <v>382</v>
      </c>
      <c r="K693" s="37" t="s">
        <v>1202</v>
      </c>
      <c r="L693" s="39" t="n">
        <v>640</v>
      </c>
      <c r="M693" s="39" t="n">
        <v>638</v>
      </c>
      <c r="N693" s="39" t="n">
        <v>211</v>
      </c>
      <c r="O693" s="39" t="n">
        <v>36</v>
      </c>
      <c r="P693" s="39" t="n">
        <v>3</v>
      </c>
      <c r="Q693" s="39" t="n">
        <v>2</v>
      </c>
      <c r="R693" s="39" t="n">
        <v>1</v>
      </c>
      <c r="S693" s="39" t="n">
        <v>0</v>
      </c>
      <c r="T693" s="40" t="n">
        <f aca="false">IF(M693=0,0,N693/M693)</f>
        <v>0.330721003134796</v>
      </c>
      <c r="U693" s="40" t="n">
        <f aca="false">IF(M693=0,0,O693/M693)</f>
        <v>0.0564263322884013</v>
      </c>
      <c r="V693" s="41" t="n">
        <f aca="false">IF(M693=0,0,P693/M693)</f>
        <v>0.00470219435736677</v>
      </c>
      <c r="W693" s="40" t="n">
        <f aca="false">IF(L693=0,0,Q693/L693)</f>
        <v>0.003125</v>
      </c>
    </row>
    <row r="694" customFormat="false" ht="15" hidden="false" customHeight="false" outlineLevel="0" collapsed="false">
      <c r="A694" s="37" t="s">
        <v>2016</v>
      </c>
      <c r="B694" s="38" t="n">
        <v>46030.343900463</v>
      </c>
      <c r="C694" s="37" t="s">
        <v>1252</v>
      </c>
      <c r="D694" s="37" t="s">
        <v>166</v>
      </c>
      <c r="E694" s="37" t="s">
        <v>166</v>
      </c>
      <c r="F694" s="37" t="s">
        <v>623</v>
      </c>
      <c r="G694" s="37" t="s">
        <v>1878</v>
      </c>
      <c r="H694" s="37" t="s">
        <v>61</v>
      </c>
      <c r="I694" s="37" t="s">
        <v>284</v>
      </c>
      <c r="J694" s="37" t="s">
        <v>164</v>
      </c>
      <c r="K694" s="37" t="s">
        <v>1202</v>
      </c>
      <c r="L694" s="39" t="n">
        <v>31</v>
      </c>
      <c r="M694" s="39" t="n">
        <v>31</v>
      </c>
      <c r="N694" s="39" t="n">
        <v>21</v>
      </c>
      <c r="O694" s="39" t="n">
        <v>8</v>
      </c>
      <c r="P694" s="39" t="n">
        <v>0</v>
      </c>
      <c r="Q694" s="39" t="n">
        <v>0</v>
      </c>
      <c r="R694" s="39" t="n">
        <v>0</v>
      </c>
      <c r="S694" s="39" t="n">
        <v>0</v>
      </c>
      <c r="T694" s="40" t="n">
        <f aca="false">IF(M694=0,0,N694/M694)</f>
        <v>0.67741935483871</v>
      </c>
      <c r="U694" s="40" t="n">
        <f aca="false">IF(M694=0,0,O694/M694)</f>
        <v>0.258064516129032</v>
      </c>
      <c r="V694" s="41" t="n">
        <f aca="false">IF(M694=0,0,P694/M694)</f>
        <v>0</v>
      </c>
      <c r="W694" s="40" t="n">
        <f aca="false">IF(L694=0,0,Q694/L694)</f>
        <v>0</v>
      </c>
    </row>
    <row r="695" customFormat="false" ht="15" hidden="false" customHeight="false" outlineLevel="0" collapsed="false">
      <c r="A695" s="37" t="s">
        <v>2017</v>
      </c>
      <c r="B695" s="38" t="n">
        <v>46030.2960069445</v>
      </c>
      <c r="C695" s="37" t="s">
        <v>1201</v>
      </c>
      <c r="D695" s="37" t="s">
        <v>1392</v>
      </c>
      <c r="E695" s="37" t="s">
        <v>166</v>
      </c>
      <c r="F695" s="37" t="s">
        <v>671</v>
      </c>
      <c r="G695" s="37" t="s">
        <v>1734</v>
      </c>
      <c r="H695" s="37" t="s">
        <v>60</v>
      </c>
      <c r="I695" s="37" t="s">
        <v>260</v>
      </c>
      <c r="J695" s="37" t="s">
        <v>164</v>
      </c>
      <c r="K695" s="37" t="s">
        <v>1202</v>
      </c>
      <c r="L695" s="39" t="n">
        <v>23</v>
      </c>
      <c r="M695" s="39" t="n">
        <v>23</v>
      </c>
      <c r="N695" s="39" t="n">
        <v>13</v>
      </c>
      <c r="O695" s="39" t="n">
        <v>2</v>
      </c>
      <c r="P695" s="39" t="n">
        <v>0</v>
      </c>
      <c r="Q695" s="39" t="n">
        <v>0</v>
      </c>
      <c r="R695" s="39" t="n">
        <v>0</v>
      </c>
      <c r="S695" s="39" t="n">
        <v>0</v>
      </c>
      <c r="T695" s="40" t="n">
        <f aca="false">IF(M695=0,0,N695/M695)</f>
        <v>0.565217391304348</v>
      </c>
      <c r="U695" s="40" t="n">
        <f aca="false">IF(M695=0,0,O695/M695)</f>
        <v>0.0869565217391304</v>
      </c>
      <c r="V695" s="41" t="n">
        <f aca="false">IF(M695=0,0,P695/M695)</f>
        <v>0</v>
      </c>
      <c r="W695" s="40" t="n">
        <f aca="false">IF(L695=0,0,Q695/L695)</f>
        <v>0</v>
      </c>
    </row>
    <row r="696" customFormat="false" ht="15" hidden="false" customHeight="false" outlineLevel="0" collapsed="false">
      <c r="A696" s="37" t="s">
        <v>2018</v>
      </c>
      <c r="B696" s="38" t="n">
        <v>46030.2877662037</v>
      </c>
      <c r="C696" s="37" t="s">
        <v>1201</v>
      </c>
      <c r="D696" s="37" t="s">
        <v>635</v>
      </c>
      <c r="E696" s="37" t="s">
        <v>166</v>
      </c>
      <c r="F696" s="37" t="s">
        <v>623</v>
      </c>
      <c r="G696" s="37" t="s">
        <v>1880</v>
      </c>
      <c r="H696" s="37" t="s">
        <v>61</v>
      </c>
      <c r="I696" s="37" t="s">
        <v>255</v>
      </c>
      <c r="J696" s="37" t="s">
        <v>164</v>
      </c>
      <c r="K696" s="37" t="s">
        <v>1202</v>
      </c>
      <c r="L696" s="39" t="n">
        <v>28</v>
      </c>
      <c r="M696" s="39" t="n">
        <v>28</v>
      </c>
      <c r="N696" s="39" t="n">
        <v>15</v>
      </c>
      <c r="O696" s="39" t="n">
        <v>1</v>
      </c>
      <c r="P696" s="39" t="n">
        <v>0</v>
      </c>
      <c r="Q696" s="39" t="n">
        <v>0</v>
      </c>
      <c r="R696" s="39" t="n">
        <v>0</v>
      </c>
      <c r="S696" s="39" t="n">
        <v>0</v>
      </c>
      <c r="T696" s="40" t="n">
        <f aca="false">IF(M696=0,0,N696/M696)</f>
        <v>0.535714285714286</v>
      </c>
      <c r="U696" s="40" t="n">
        <f aca="false">IF(M696=0,0,O696/M696)</f>
        <v>0.0357142857142857</v>
      </c>
      <c r="V696" s="41" t="n">
        <f aca="false">IF(M696=0,0,P696/M696)</f>
        <v>0</v>
      </c>
      <c r="W696" s="40" t="n">
        <f aca="false">IF(L696=0,0,Q696/L696)</f>
        <v>0</v>
      </c>
    </row>
    <row r="697" customFormat="false" ht="15" hidden="false" customHeight="false" outlineLevel="0" collapsed="false">
      <c r="A697" s="37" t="s">
        <v>2019</v>
      </c>
      <c r="B697" s="38" t="n">
        <v>46030.0836689815</v>
      </c>
      <c r="C697" s="37" t="s">
        <v>1201</v>
      </c>
      <c r="D697" s="37" t="s">
        <v>251</v>
      </c>
      <c r="E697" s="37" t="s">
        <v>252</v>
      </c>
      <c r="F697" s="37" t="s">
        <v>667</v>
      </c>
      <c r="G697" s="37"/>
      <c r="H697" s="37" t="s">
        <v>60</v>
      </c>
      <c r="I697" s="37"/>
      <c r="J697" s="37" t="s">
        <v>109</v>
      </c>
      <c r="K697" s="37" t="s">
        <v>1202</v>
      </c>
      <c r="L697" s="39" t="n">
        <v>318</v>
      </c>
      <c r="M697" s="39" t="n">
        <v>316</v>
      </c>
      <c r="N697" s="39" t="n">
        <v>92</v>
      </c>
      <c r="O697" s="39" t="n">
        <v>17</v>
      </c>
      <c r="P697" s="39" t="n">
        <v>2</v>
      </c>
      <c r="Q697" s="39" t="n">
        <v>2</v>
      </c>
      <c r="R697" s="39" t="n">
        <v>2</v>
      </c>
      <c r="S697" s="39" t="n">
        <v>0</v>
      </c>
      <c r="T697" s="40" t="n">
        <f aca="false">IF(M697=0,0,N697/M697)</f>
        <v>0.291139240506329</v>
      </c>
      <c r="U697" s="40" t="n">
        <f aca="false">IF(M697=0,0,O697/M697)</f>
        <v>0.0537974683544304</v>
      </c>
      <c r="V697" s="41" t="n">
        <f aca="false">IF(M697=0,0,P697/M697)</f>
        <v>0.00632911392405063</v>
      </c>
      <c r="W697" s="40" t="n">
        <f aca="false">IF(L697=0,0,Q697/L697)</f>
        <v>0.00628930817610063</v>
      </c>
    </row>
    <row r="698" customFormat="false" ht="15" hidden="false" customHeight="false" outlineLevel="0" collapsed="false">
      <c r="A698" s="37" t="s">
        <v>2020</v>
      </c>
      <c r="B698" s="38" t="n">
        <v>46029.4355092593</v>
      </c>
      <c r="C698" s="37" t="s">
        <v>1201</v>
      </c>
      <c r="D698" s="37" t="s">
        <v>166</v>
      </c>
      <c r="E698" s="37" t="s">
        <v>166</v>
      </c>
      <c r="F698" s="37" t="s">
        <v>671</v>
      </c>
      <c r="G698" s="37" t="s">
        <v>1656</v>
      </c>
      <c r="H698" s="37" t="s">
        <v>61</v>
      </c>
      <c r="I698" s="37" t="s">
        <v>270</v>
      </c>
      <c r="J698" s="37" t="s">
        <v>164</v>
      </c>
      <c r="K698" s="37" t="s">
        <v>1202</v>
      </c>
      <c r="L698" s="39" t="n">
        <v>53</v>
      </c>
      <c r="M698" s="39" t="n">
        <v>52</v>
      </c>
      <c r="N698" s="39" t="n">
        <v>28</v>
      </c>
      <c r="O698" s="39" t="n">
        <v>3</v>
      </c>
      <c r="P698" s="39" t="n">
        <v>0</v>
      </c>
      <c r="Q698" s="39" t="n">
        <v>1</v>
      </c>
      <c r="R698" s="39" t="n">
        <v>1</v>
      </c>
      <c r="S698" s="39" t="n">
        <v>0</v>
      </c>
      <c r="T698" s="40" t="n">
        <f aca="false">IF(M698=0,0,N698/M698)</f>
        <v>0.538461538461538</v>
      </c>
      <c r="U698" s="40" t="n">
        <f aca="false">IF(M698=0,0,O698/M698)</f>
        <v>0.0576923076923077</v>
      </c>
      <c r="V698" s="41" t="n">
        <f aca="false">IF(M698=0,0,P698/M698)</f>
        <v>0</v>
      </c>
      <c r="W698" s="40" t="n">
        <f aca="false">IF(L698=0,0,Q698/L698)</f>
        <v>0.0188679245283019</v>
      </c>
    </row>
    <row r="699" customFormat="false" ht="15" hidden="false" customHeight="false" outlineLevel="0" collapsed="false">
      <c r="A699" s="37" t="s">
        <v>2020</v>
      </c>
      <c r="B699" s="38" t="n">
        <v>46029.4329976852</v>
      </c>
      <c r="C699" s="37" t="s">
        <v>1201</v>
      </c>
      <c r="D699" s="37" t="s">
        <v>166</v>
      </c>
      <c r="E699" s="37" t="s">
        <v>166</v>
      </c>
      <c r="F699" s="37" t="s">
        <v>671</v>
      </c>
      <c r="G699" s="37" t="s">
        <v>1656</v>
      </c>
      <c r="H699" s="37" t="s">
        <v>61</v>
      </c>
      <c r="I699" s="37" t="s">
        <v>270</v>
      </c>
      <c r="J699" s="37" t="s">
        <v>164</v>
      </c>
      <c r="K699" s="37" t="s">
        <v>1202</v>
      </c>
      <c r="L699" s="39" t="n">
        <v>17</v>
      </c>
      <c r="M699" s="39" t="n">
        <v>17</v>
      </c>
      <c r="N699" s="39" t="n">
        <v>7</v>
      </c>
      <c r="O699" s="39" t="n">
        <v>2</v>
      </c>
      <c r="P699" s="39" t="n">
        <v>0</v>
      </c>
      <c r="Q699" s="39" t="n">
        <v>0</v>
      </c>
      <c r="R699" s="39" t="n">
        <v>0</v>
      </c>
      <c r="S699" s="39" t="n">
        <v>0</v>
      </c>
      <c r="T699" s="40" t="n">
        <f aca="false">IF(M699=0,0,N699/M699)</f>
        <v>0.411764705882353</v>
      </c>
      <c r="U699" s="40" t="n">
        <f aca="false">IF(M699=0,0,O699/M699)</f>
        <v>0.117647058823529</v>
      </c>
      <c r="V699" s="41" t="n">
        <f aca="false">IF(M699=0,0,P699/M699)</f>
        <v>0</v>
      </c>
      <c r="W699" s="40" t="n">
        <f aca="false">IF(L699=0,0,Q699/L699)</f>
        <v>0</v>
      </c>
    </row>
    <row r="700" customFormat="false" ht="15" hidden="false" customHeight="false" outlineLevel="0" collapsed="false">
      <c r="A700" s="37" t="s">
        <v>2021</v>
      </c>
      <c r="B700" s="38" t="n">
        <v>46029.3797222222</v>
      </c>
      <c r="C700" s="37" t="s">
        <v>1201</v>
      </c>
      <c r="D700" s="37" t="s">
        <v>2022</v>
      </c>
      <c r="E700" s="37" t="s">
        <v>2022</v>
      </c>
      <c r="F700" s="37" t="s">
        <v>601</v>
      </c>
      <c r="G700" s="37"/>
      <c r="H700" s="37" t="s">
        <v>61</v>
      </c>
      <c r="I700" s="37"/>
      <c r="J700" s="37" t="s">
        <v>423</v>
      </c>
      <c r="K700" s="37" t="s">
        <v>1202</v>
      </c>
      <c r="L700" s="39" t="n">
        <v>736</v>
      </c>
      <c r="M700" s="39" t="n">
        <v>718</v>
      </c>
      <c r="N700" s="39" t="n">
        <v>241</v>
      </c>
      <c r="O700" s="39" t="n">
        <v>13</v>
      </c>
      <c r="P700" s="39" t="n">
        <v>11</v>
      </c>
      <c r="Q700" s="39" t="n">
        <v>18</v>
      </c>
      <c r="R700" s="39" t="n">
        <v>17</v>
      </c>
      <c r="S700" s="39" t="n">
        <v>0</v>
      </c>
      <c r="T700" s="40" t="n">
        <f aca="false">IF(M700=0,0,N700/M700)</f>
        <v>0.335654596100279</v>
      </c>
      <c r="U700" s="40" t="n">
        <f aca="false">IF(M700=0,0,O700/M700)</f>
        <v>0.0181058495821727</v>
      </c>
      <c r="V700" s="41" t="n">
        <f aca="false">IF(M700=0,0,P700/M700)</f>
        <v>0.0153203342618384</v>
      </c>
      <c r="W700" s="40" t="n">
        <f aca="false">IF(L700=0,0,Q700/L700)</f>
        <v>0.0244565217391304</v>
      </c>
    </row>
    <row r="701" customFormat="false" ht="15" hidden="false" customHeight="false" outlineLevel="0" collapsed="false">
      <c r="A701" s="37" t="s">
        <v>2023</v>
      </c>
      <c r="B701" s="38" t="n">
        <v>46028.8927546296</v>
      </c>
      <c r="C701" s="37" t="s">
        <v>1246</v>
      </c>
      <c r="D701" s="37" t="s">
        <v>152</v>
      </c>
      <c r="E701" s="37" t="s">
        <v>1344</v>
      </c>
      <c r="F701" s="37" t="s">
        <v>152</v>
      </c>
      <c r="G701" s="37"/>
      <c r="H701" s="37" t="s">
        <v>61</v>
      </c>
      <c r="I701" s="37" t="s">
        <v>150</v>
      </c>
      <c r="J701" s="37" t="s">
        <v>151</v>
      </c>
      <c r="K701" s="37" t="s">
        <v>1202</v>
      </c>
      <c r="L701" s="39" t="n">
        <v>4405</v>
      </c>
      <c r="M701" s="39" t="n">
        <v>4388</v>
      </c>
      <c r="N701" s="39" t="n">
        <v>843</v>
      </c>
      <c r="O701" s="39" t="n">
        <v>159</v>
      </c>
      <c r="P701" s="39" t="n">
        <v>7</v>
      </c>
      <c r="Q701" s="39" t="n">
        <v>17</v>
      </c>
      <c r="R701" s="39" t="n">
        <v>16</v>
      </c>
      <c r="S701" s="39" t="n">
        <v>0</v>
      </c>
      <c r="T701" s="40" t="n">
        <f aca="false">IF(M701=0,0,N701/M701)</f>
        <v>0.192114858705561</v>
      </c>
      <c r="U701" s="40" t="n">
        <f aca="false">IF(M701=0,0,O701/M701)</f>
        <v>0.0362351868732908</v>
      </c>
      <c r="V701" s="41" t="n">
        <f aca="false">IF(M701=0,0,P701/M701)</f>
        <v>0.00159525979945305</v>
      </c>
      <c r="W701" s="40" t="n">
        <f aca="false">IF(L701=0,0,Q701/L701)</f>
        <v>0.00385925085130533</v>
      </c>
    </row>
    <row r="702" customFormat="false" ht="15" hidden="false" customHeight="false" outlineLevel="0" collapsed="false">
      <c r="A702" s="37" t="s">
        <v>2024</v>
      </c>
      <c r="B702" s="38" t="n">
        <v>46028.365787037</v>
      </c>
      <c r="C702" s="37" t="s">
        <v>1201</v>
      </c>
      <c r="D702" s="37" t="s">
        <v>1600</v>
      </c>
      <c r="E702" s="37" t="s">
        <v>288</v>
      </c>
      <c r="F702" s="37" t="s">
        <v>505</v>
      </c>
      <c r="G702" s="37"/>
      <c r="H702" s="37" t="s">
        <v>60</v>
      </c>
      <c r="I702" s="37"/>
      <c r="J702" s="37" t="s">
        <v>287</v>
      </c>
      <c r="K702" s="37" t="s">
        <v>1213</v>
      </c>
      <c r="L702" s="39" t="n">
        <v>382</v>
      </c>
      <c r="M702" s="39" t="n">
        <v>378</v>
      </c>
      <c r="N702" s="39" t="n">
        <v>52</v>
      </c>
      <c r="O702" s="39" t="n">
        <v>7</v>
      </c>
      <c r="P702" s="39" t="n">
        <v>1</v>
      </c>
      <c r="Q702" s="39" t="n">
        <v>4</v>
      </c>
      <c r="R702" s="39" t="n">
        <v>1</v>
      </c>
      <c r="S702" s="39" t="n">
        <v>0</v>
      </c>
      <c r="T702" s="40" t="n">
        <f aca="false">IF(M702=0,0,N702/M702)</f>
        <v>0.137566137566138</v>
      </c>
      <c r="U702" s="40" t="n">
        <f aca="false">IF(M702=0,0,O702/M702)</f>
        <v>0.0185185185185185</v>
      </c>
      <c r="V702" s="41" t="n">
        <f aca="false">IF(M702=0,0,P702/M702)</f>
        <v>0.00264550264550265</v>
      </c>
      <c r="W702" s="40" t="n">
        <f aca="false">IF(L702=0,0,Q702/L702)</f>
        <v>0.0104712041884817</v>
      </c>
    </row>
    <row r="703" customFormat="false" ht="15" hidden="false" customHeight="false" outlineLevel="0" collapsed="false">
      <c r="A703" s="37" t="s">
        <v>2025</v>
      </c>
      <c r="B703" s="38" t="n">
        <v>46028.3383101852</v>
      </c>
      <c r="C703" s="37" t="s">
        <v>1201</v>
      </c>
      <c r="D703" s="37" t="s">
        <v>1211</v>
      </c>
      <c r="E703" s="37" t="s">
        <v>1212</v>
      </c>
      <c r="F703" s="37" t="s">
        <v>544</v>
      </c>
      <c r="G703" s="37"/>
      <c r="H703" s="37" t="s">
        <v>60</v>
      </c>
      <c r="I703" s="37"/>
      <c r="J703" s="37" t="s">
        <v>100</v>
      </c>
      <c r="K703" s="37" t="s">
        <v>1213</v>
      </c>
      <c r="L703" s="39" t="n">
        <v>129</v>
      </c>
      <c r="M703" s="39" t="n">
        <v>129</v>
      </c>
      <c r="N703" s="39" t="n">
        <v>71</v>
      </c>
      <c r="O703" s="39" t="n">
        <v>0</v>
      </c>
      <c r="P703" s="39" t="n">
        <v>0</v>
      </c>
      <c r="Q703" s="39" t="n">
        <v>0</v>
      </c>
      <c r="R703" s="39" t="n">
        <v>0</v>
      </c>
      <c r="S703" s="39" t="n">
        <v>0</v>
      </c>
      <c r="T703" s="40" t="n">
        <f aca="false">IF(M703=0,0,N703/M703)</f>
        <v>0.550387596899225</v>
      </c>
      <c r="U703" s="40" t="n">
        <f aca="false">IF(M703=0,0,O703/M703)</f>
        <v>0</v>
      </c>
      <c r="V703" s="41" t="n">
        <f aca="false">IF(M703=0,0,P703/M703)</f>
        <v>0</v>
      </c>
      <c r="W703" s="40" t="n">
        <f aca="false">IF(L703=0,0,Q703/L703)</f>
        <v>0</v>
      </c>
    </row>
    <row r="704" customFormat="false" ht="15" hidden="false" customHeight="false" outlineLevel="0" collapsed="false">
      <c r="A704" s="37" t="s">
        <v>2026</v>
      </c>
      <c r="B704" s="38" t="n">
        <v>46022.4662962963</v>
      </c>
      <c r="C704" s="37" t="s">
        <v>1201</v>
      </c>
      <c r="D704" s="37" t="s">
        <v>243</v>
      </c>
      <c r="E704" s="37" t="s">
        <v>243</v>
      </c>
      <c r="F704" s="37" t="s">
        <v>546</v>
      </c>
      <c r="G704" s="37" t="s">
        <v>546</v>
      </c>
      <c r="H704" s="37" t="s">
        <v>61</v>
      </c>
      <c r="I704" s="37" t="s">
        <v>241</v>
      </c>
      <c r="J704" s="37" t="s">
        <v>242</v>
      </c>
      <c r="K704" s="37" t="s">
        <v>1202</v>
      </c>
      <c r="L704" s="39" t="n">
        <v>690</v>
      </c>
      <c r="M704" s="39" t="n">
        <v>687</v>
      </c>
      <c r="N704" s="39" t="n">
        <v>244</v>
      </c>
      <c r="O704" s="39" t="n">
        <v>11</v>
      </c>
      <c r="P704" s="39" t="n">
        <v>10</v>
      </c>
      <c r="Q704" s="39" t="n">
        <v>3</v>
      </c>
      <c r="R704" s="39" t="n">
        <v>0</v>
      </c>
      <c r="S704" s="39" t="n">
        <v>0</v>
      </c>
      <c r="T704" s="40" t="n">
        <f aca="false">IF(M704=0,0,N704/M704)</f>
        <v>0.355167394468705</v>
      </c>
      <c r="U704" s="40" t="n">
        <f aca="false">IF(M704=0,0,O704/M704)</f>
        <v>0.0160116448326055</v>
      </c>
      <c r="V704" s="41" t="n">
        <f aca="false">IF(M704=0,0,P704/M704)</f>
        <v>0.0145560407569141</v>
      </c>
      <c r="W704" s="40" t="n">
        <f aca="false">IF(L704=0,0,Q704/L704)</f>
        <v>0.00434782608695652</v>
      </c>
    </row>
    <row r="705" customFormat="false" ht="15" hidden="false" customHeight="false" outlineLevel="0" collapsed="false">
      <c r="A705" s="37" t="s">
        <v>2027</v>
      </c>
      <c r="B705" s="38" t="n">
        <v>46016.0691782407</v>
      </c>
      <c r="C705" s="37" t="s">
        <v>1201</v>
      </c>
      <c r="D705" s="37" t="s">
        <v>171</v>
      </c>
      <c r="E705" s="37" t="s">
        <v>172</v>
      </c>
      <c r="F705" s="37" t="s">
        <v>625</v>
      </c>
      <c r="G705" s="37" t="s">
        <v>1132</v>
      </c>
      <c r="H705" s="37" t="s">
        <v>61</v>
      </c>
      <c r="I705" s="37" t="s">
        <v>169</v>
      </c>
      <c r="J705" s="37" t="s">
        <v>170</v>
      </c>
      <c r="K705" s="37" t="s">
        <v>1202</v>
      </c>
      <c r="L705" s="39" t="n">
        <v>608</v>
      </c>
      <c r="M705" s="39" t="n">
        <v>593</v>
      </c>
      <c r="N705" s="39" t="n">
        <v>154</v>
      </c>
      <c r="O705" s="39" t="n">
        <v>16</v>
      </c>
      <c r="P705" s="39" t="n">
        <v>5</v>
      </c>
      <c r="Q705" s="39" t="n">
        <v>15</v>
      </c>
      <c r="R705" s="39" t="n">
        <v>14</v>
      </c>
      <c r="S705" s="39" t="n">
        <v>0</v>
      </c>
      <c r="T705" s="40" t="n">
        <f aca="false">IF(M705=0,0,N705/M705)</f>
        <v>0.259696458684654</v>
      </c>
      <c r="U705" s="40" t="n">
        <f aca="false">IF(M705=0,0,O705/M705)</f>
        <v>0.0269814502529511</v>
      </c>
      <c r="V705" s="41" t="n">
        <f aca="false">IF(M705=0,0,P705/M705)</f>
        <v>0.00843170320404722</v>
      </c>
      <c r="W705" s="40" t="n">
        <f aca="false">IF(L705=0,0,Q705/L705)</f>
        <v>0.0246710526315789</v>
      </c>
    </row>
    <row r="706" customFormat="false" ht="15" hidden="false" customHeight="false" outlineLevel="0" collapsed="false">
      <c r="A706" s="37" t="s">
        <v>2028</v>
      </c>
      <c r="B706" s="38" t="n">
        <v>46014.3013888889</v>
      </c>
      <c r="C706" s="37" t="s">
        <v>1201</v>
      </c>
      <c r="D706" s="37" t="s">
        <v>1526</v>
      </c>
      <c r="E706" s="37" t="s">
        <v>1527</v>
      </c>
      <c r="F706" s="37" t="s">
        <v>544</v>
      </c>
      <c r="G706" s="37"/>
      <c r="H706" s="37" t="s">
        <v>61</v>
      </c>
      <c r="I706" s="37"/>
      <c r="J706" s="37" t="s">
        <v>364</v>
      </c>
      <c r="K706" s="37" t="s">
        <v>1202</v>
      </c>
      <c r="L706" s="39" t="n">
        <v>1057</v>
      </c>
      <c r="M706" s="39" t="n">
        <v>1055</v>
      </c>
      <c r="N706" s="39" t="n">
        <v>436</v>
      </c>
      <c r="O706" s="39" t="n">
        <v>1</v>
      </c>
      <c r="P706" s="39" t="n">
        <v>8</v>
      </c>
      <c r="Q706" s="39" t="n">
        <v>2</v>
      </c>
      <c r="R706" s="39" t="n">
        <v>1</v>
      </c>
      <c r="S706" s="39" t="n">
        <v>0</v>
      </c>
      <c r="T706" s="40" t="n">
        <f aca="false">IF(M706=0,0,N706/M706)</f>
        <v>0.413270142180095</v>
      </c>
      <c r="U706" s="40" t="n">
        <f aca="false">IF(M706=0,0,O706/M706)</f>
        <v>0.000947867298578199</v>
      </c>
      <c r="V706" s="41" t="n">
        <f aca="false">IF(M706=0,0,P706/M706)</f>
        <v>0.00758293838862559</v>
      </c>
      <c r="W706" s="40" t="n">
        <f aca="false">IF(L706=0,0,Q706/L706)</f>
        <v>0.00189214758751183</v>
      </c>
    </row>
    <row r="707" customFormat="false" ht="15" hidden="false" customHeight="false" outlineLevel="0" collapsed="false">
      <c r="A707" s="37" t="s">
        <v>2029</v>
      </c>
      <c r="B707" s="38" t="n">
        <v>46014.2625</v>
      </c>
      <c r="C707" s="37" t="s">
        <v>1201</v>
      </c>
      <c r="D707" s="37" t="s">
        <v>185</v>
      </c>
      <c r="E707" s="37" t="s">
        <v>186</v>
      </c>
      <c r="F707" s="37" t="s">
        <v>597</v>
      </c>
      <c r="G707" s="37"/>
      <c r="H707" s="37" t="s">
        <v>61</v>
      </c>
      <c r="I707" s="37"/>
      <c r="J707" s="37" t="s">
        <v>184</v>
      </c>
      <c r="K707" s="37" t="s">
        <v>1202</v>
      </c>
      <c r="L707" s="39" t="n">
        <v>288</v>
      </c>
      <c r="M707" s="39" t="n">
        <v>285</v>
      </c>
      <c r="N707" s="39" t="n">
        <v>112</v>
      </c>
      <c r="O707" s="39" t="n">
        <v>14</v>
      </c>
      <c r="P707" s="39" t="n">
        <v>1</v>
      </c>
      <c r="Q707" s="39" t="n">
        <v>3</v>
      </c>
      <c r="R707" s="39" t="n">
        <v>2</v>
      </c>
      <c r="S707" s="39" t="n">
        <v>0</v>
      </c>
      <c r="T707" s="40" t="n">
        <f aca="false">IF(M707=0,0,N707/M707)</f>
        <v>0.392982456140351</v>
      </c>
      <c r="U707" s="40" t="n">
        <f aca="false">IF(M707=0,0,O707/M707)</f>
        <v>0.0491228070175439</v>
      </c>
      <c r="V707" s="41" t="n">
        <f aca="false">IF(M707=0,0,P707/M707)</f>
        <v>0.00350877192982456</v>
      </c>
      <c r="W707" s="40" t="n">
        <f aca="false">IF(L707=0,0,Q707/L707)</f>
        <v>0.0104166666666667</v>
      </c>
    </row>
    <row r="708" customFormat="false" ht="15" hidden="false" customHeight="false" outlineLevel="0" collapsed="false">
      <c r="A708" s="37" t="s">
        <v>2030</v>
      </c>
      <c r="B708" s="38" t="n">
        <v>46013.3756365741</v>
      </c>
      <c r="C708" s="37" t="s">
        <v>1201</v>
      </c>
      <c r="D708" s="37" t="s">
        <v>297</v>
      </c>
      <c r="E708" s="37" t="s">
        <v>1209</v>
      </c>
      <c r="F708" s="37" t="s">
        <v>537</v>
      </c>
      <c r="G708" s="37"/>
      <c r="H708" s="37" t="s">
        <v>61</v>
      </c>
      <c r="I708" s="37" t="s">
        <v>294</v>
      </c>
      <c r="J708" s="37" t="s">
        <v>296</v>
      </c>
      <c r="K708" s="37" t="s">
        <v>1202</v>
      </c>
      <c r="L708" s="39" t="n">
        <v>662</v>
      </c>
      <c r="M708" s="39" t="n">
        <v>662</v>
      </c>
      <c r="N708" s="39" t="n">
        <v>471</v>
      </c>
      <c r="O708" s="39" t="n">
        <v>38</v>
      </c>
      <c r="P708" s="39" t="n">
        <v>0</v>
      </c>
      <c r="Q708" s="39" t="n">
        <v>0</v>
      </c>
      <c r="R708" s="39" t="n">
        <v>0</v>
      </c>
      <c r="S708" s="39" t="n">
        <v>0</v>
      </c>
      <c r="T708" s="40" t="n">
        <f aca="false">IF(M708=0,0,N708/M708)</f>
        <v>0.711480362537764</v>
      </c>
      <c r="U708" s="40" t="n">
        <f aca="false">IF(M708=0,0,O708/M708)</f>
        <v>0.0574018126888218</v>
      </c>
      <c r="V708" s="41" t="n">
        <f aca="false">IF(M708=0,0,P708/M708)</f>
        <v>0</v>
      </c>
      <c r="W708" s="40" t="n">
        <f aca="false">IF(L708=0,0,Q708/L708)</f>
        <v>0</v>
      </c>
    </row>
    <row r="709" customFormat="false" ht="15" hidden="false" customHeight="false" outlineLevel="0" collapsed="false">
      <c r="A709" s="37" t="s">
        <v>2031</v>
      </c>
      <c r="B709" s="38" t="n">
        <v>46012.9795601852</v>
      </c>
      <c r="C709" s="37" t="s">
        <v>1201</v>
      </c>
      <c r="D709" s="37" t="s">
        <v>237</v>
      </c>
      <c r="E709" s="37" t="s">
        <v>238</v>
      </c>
      <c r="F709" s="37" t="s">
        <v>559</v>
      </c>
      <c r="G709" s="37" t="s">
        <v>1135</v>
      </c>
      <c r="H709" s="37" t="s">
        <v>61</v>
      </c>
      <c r="I709" s="37"/>
      <c r="J709" s="37" t="s">
        <v>236</v>
      </c>
      <c r="K709" s="37" t="s">
        <v>1202</v>
      </c>
      <c r="L709" s="39" t="n">
        <v>2467</v>
      </c>
      <c r="M709" s="39" t="n">
        <v>2462</v>
      </c>
      <c r="N709" s="39" t="n">
        <v>756</v>
      </c>
      <c r="O709" s="39" t="n">
        <v>82</v>
      </c>
      <c r="P709" s="39" t="n">
        <v>5</v>
      </c>
      <c r="Q709" s="39" t="n">
        <v>5</v>
      </c>
      <c r="R709" s="39" t="n">
        <v>2</v>
      </c>
      <c r="S709" s="39" t="n">
        <v>0</v>
      </c>
      <c r="T709" s="40" t="n">
        <f aca="false">IF(M709=0,0,N709/M709)</f>
        <v>0.307067424857839</v>
      </c>
      <c r="U709" s="40" t="n">
        <f aca="false">IF(M709=0,0,O709/M709)</f>
        <v>0.033306255077173</v>
      </c>
      <c r="V709" s="41" t="n">
        <f aca="false">IF(M709=0,0,P709/M709)</f>
        <v>0.00203086921202275</v>
      </c>
      <c r="W709" s="40" t="n">
        <f aca="false">IF(L709=0,0,Q709/L709)</f>
        <v>0.00202675314146737</v>
      </c>
    </row>
    <row r="710" customFormat="false" ht="15" hidden="false" customHeight="false" outlineLevel="0" collapsed="false">
      <c r="A710" s="37" t="s">
        <v>2032</v>
      </c>
      <c r="B710" s="38" t="n">
        <v>46012.8334143519</v>
      </c>
      <c r="C710" s="37" t="s">
        <v>1201</v>
      </c>
      <c r="D710" s="37" t="s">
        <v>1665</v>
      </c>
      <c r="E710" s="37" t="s">
        <v>238</v>
      </c>
      <c r="F710" s="37" t="s">
        <v>605</v>
      </c>
      <c r="G710" s="37" t="s">
        <v>1132</v>
      </c>
      <c r="H710" s="37" t="s">
        <v>61</v>
      </c>
      <c r="I710" s="37" t="s">
        <v>143</v>
      </c>
      <c r="J710" s="37" t="s">
        <v>144</v>
      </c>
      <c r="K710" s="37" t="s">
        <v>1202</v>
      </c>
      <c r="L710" s="39" t="n">
        <v>2425</v>
      </c>
      <c r="M710" s="39" t="n">
        <v>2365</v>
      </c>
      <c r="N710" s="39" t="n">
        <v>494</v>
      </c>
      <c r="O710" s="39" t="n">
        <v>39</v>
      </c>
      <c r="P710" s="39" t="n">
        <v>33</v>
      </c>
      <c r="Q710" s="39" t="n">
        <v>60</v>
      </c>
      <c r="R710" s="39" t="n">
        <v>7</v>
      </c>
      <c r="S710" s="39" t="n">
        <v>0</v>
      </c>
      <c r="T710" s="40" t="n">
        <f aca="false">IF(M710=0,0,N710/M710)</f>
        <v>0.208879492600423</v>
      </c>
      <c r="U710" s="40" t="n">
        <f aca="false">IF(M710=0,0,O710/M710)</f>
        <v>0.0164904862579281</v>
      </c>
      <c r="V710" s="41" t="n">
        <f aca="false">IF(M710=0,0,P710/M710)</f>
        <v>0.013953488372093</v>
      </c>
      <c r="W710" s="40" t="n">
        <f aca="false">IF(L710=0,0,Q710/L710)</f>
        <v>0.0247422680412371</v>
      </c>
    </row>
    <row r="711" customFormat="false" ht="15" hidden="false" customHeight="false" outlineLevel="0" collapsed="false">
      <c r="A711" s="37" t="s">
        <v>2033</v>
      </c>
      <c r="B711" s="38" t="n">
        <v>46012.0316319445</v>
      </c>
      <c r="C711" s="37" t="s">
        <v>1201</v>
      </c>
      <c r="D711" s="37" t="s">
        <v>1372</v>
      </c>
      <c r="E711" s="37" t="s">
        <v>1373</v>
      </c>
      <c r="F711" s="37" t="s">
        <v>537</v>
      </c>
      <c r="G711" s="37"/>
      <c r="H711" s="37" t="s">
        <v>60</v>
      </c>
      <c r="I711" s="37"/>
      <c r="J711" s="37" t="s">
        <v>296</v>
      </c>
      <c r="K711" s="37" t="s">
        <v>1202</v>
      </c>
      <c r="L711" s="39" t="n">
        <v>2</v>
      </c>
      <c r="M711" s="39" t="n">
        <v>2</v>
      </c>
      <c r="N711" s="39" t="n">
        <v>1</v>
      </c>
      <c r="O711" s="39" t="n">
        <v>0</v>
      </c>
      <c r="P711" s="39" t="n">
        <v>0</v>
      </c>
      <c r="Q711" s="39" t="n">
        <v>0</v>
      </c>
      <c r="R711" s="39" t="n">
        <v>0</v>
      </c>
      <c r="S711" s="39" t="n">
        <v>0</v>
      </c>
      <c r="T711" s="40" t="n">
        <f aca="false">IF(M711=0,0,N711/M711)</f>
        <v>0.5</v>
      </c>
      <c r="U711" s="40" t="n">
        <f aca="false">IF(M711=0,0,O711/M711)</f>
        <v>0</v>
      </c>
      <c r="V711" s="41" t="n">
        <f aca="false">IF(M711=0,0,P711/M711)</f>
        <v>0</v>
      </c>
      <c r="W711" s="40" t="n">
        <f aca="false">IF(L711=0,0,Q711/L711)</f>
        <v>0</v>
      </c>
    </row>
    <row r="712" customFormat="false" ht="15" hidden="false" customHeight="false" outlineLevel="0" collapsed="false">
      <c r="A712" s="37" t="s">
        <v>2034</v>
      </c>
      <c r="B712" s="38" t="n">
        <v>46012.011087963</v>
      </c>
      <c r="C712" s="37" t="s">
        <v>1201</v>
      </c>
      <c r="D712" s="37" t="s">
        <v>1372</v>
      </c>
      <c r="E712" s="37" t="s">
        <v>1373</v>
      </c>
      <c r="F712" s="37" t="s">
        <v>537</v>
      </c>
      <c r="G712" s="37"/>
      <c r="H712" s="37" t="s">
        <v>60</v>
      </c>
      <c r="I712" s="37"/>
      <c r="J712" s="37" t="s">
        <v>296</v>
      </c>
      <c r="K712" s="37" t="s">
        <v>1202</v>
      </c>
      <c r="L712" s="39" t="n">
        <v>2</v>
      </c>
      <c r="M712" s="39" t="n">
        <v>2</v>
      </c>
      <c r="N712" s="39" t="n">
        <v>1</v>
      </c>
      <c r="O712" s="39" t="n">
        <v>0</v>
      </c>
      <c r="P712" s="39" t="n">
        <v>0</v>
      </c>
      <c r="Q712" s="39" t="n">
        <v>0</v>
      </c>
      <c r="R712" s="39" t="n">
        <v>0</v>
      </c>
      <c r="S712" s="39" t="n">
        <v>0</v>
      </c>
      <c r="T712" s="40" t="n">
        <f aca="false">IF(M712=0,0,N712/M712)</f>
        <v>0.5</v>
      </c>
      <c r="U712" s="40" t="n">
        <f aca="false">IF(M712=0,0,O712/M712)</f>
        <v>0</v>
      </c>
      <c r="V712" s="41" t="n">
        <f aca="false">IF(M712=0,0,P712/M712)</f>
        <v>0</v>
      </c>
      <c r="W712" s="40" t="n">
        <f aca="false">IF(L712=0,0,Q712/L712)</f>
        <v>0</v>
      </c>
    </row>
    <row r="713" customFormat="false" ht="15" hidden="false" customHeight="false" outlineLevel="0" collapsed="false">
      <c r="A713" s="37" t="s">
        <v>2035</v>
      </c>
      <c r="B713" s="38" t="n">
        <v>46012.0109837963</v>
      </c>
      <c r="C713" s="37" t="s">
        <v>1201</v>
      </c>
      <c r="D713" s="37" t="s">
        <v>1372</v>
      </c>
      <c r="E713" s="37" t="s">
        <v>1373</v>
      </c>
      <c r="F713" s="37" t="s">
        <v>537</v>
      </c>
      <c r="G713" s="37"/>
      <c r="H713" s="37" t="s">
        <v>63</v>
      </c>
      <c r="I713" s="37"/>
      <c r="J713" s="37" t="s">
        <v>296</v>
      </c>
      <c r="K713" s="37" t="s">
        <v>1202</v>
      </c>
      <c r="L713" s="39" t="n">
        <v>2</v>
      </c>
      <c r="M713" s="39" t="n">
        <v>2</v>
      </c>
      <c r="N713" s="39" t="n">
        <v>1</v>
      </c>
      <c r="O713" s="39" t="n">
        <v>0</v>
      </c>
      <c r="P713" s="39" t="n">
        <v>0</v>
      </c>
      <c r="Q713" s="39" t="n">
        <v>0</v>
      </c>
      <c r="R713" s="39" t="n">
        <v>0</v>
      </c>
      <c r="S713" s="39" t="n">
        <v>0</v>
      </c>
      <c r="T713" s="40" t="n">
        <f aca="false">IF(M713=0,0,N713/M713)</f>
        <v>0.5</v>
      </c>
      <c r="U713" s="40" t="n">
        <f aca="false">IF(M713=0,0,O713/M713)</f>
        <v>0</v>
      </c>
      <c r="V713" s="41" t="n">
        <f aca="false">IF(M713=0,0,P713/M713)</f>
        <v>0</v>
      </c>
      <c r="W713" s="40" t="n">
        <f aca="false">IF(L713=0,0,Q713/L713)</f>
        <v>0</v>
      </c>
    </row>
    <row r="714" customFormat="false" ht="15" hidden="false" customHeight="false" outlineLevel="0" collapsed="false">
      <c r="A714" s="37" t="s">
        <v>2036</v>
      </c>
      <c r="B714" s="38" t="n">
        <v>46010.5200925926</v>
      </c>
      <c r="C714" s="37" t="s">
        <v>1201</v>
      </c>
      <c r="D714" s="37" t="s">
        <v>133</v>
      </c>
      <c r="E714" s="37" t="s">
        <v>134</v>
      </c>
      <c r="F714" s="37" t="s">
        <v>544</v>
      </c>
      <c r="G714" s="37" t="s">
        <v>1132</v>
      </c>
      <c r="H714" s="37" t="s">
        <v>61</v>
      </c>
      <c r="I714" s="37" t="s">
        <v>131</v>
      </c>
      <c r="J714" s="37" t="s">
        <v>132</v>
      </c>
      <c r="K714" s="37" t="s">
        <v>1202</v>
      </c>
      <c r="L714" s="39" t="n">
        <v>3588</v>
      </c>
      <c r="M714" s="39" t="n">
        <v>3582</v>
      </c>
      <c r="N714" s="39" t="n">
        <v>421</v>
      </c>
      <c r="O714" s="39" t="n">
        <v>68</v>
      </c>
      <c r="P714" s="39" t="n">
        <v>15</v>
      </c>
      <c r="Q714" s="39" t="n">
        <v>6</v>
      </c>
      <c r="R714" s="39" t="n">
        <v>4</v>
      </c>
      <c r="S714" s="39" t="n">
        <v>0</v>
      </c>
      <c r="T714" s="40" t="n">
        <f aca="false">IF(M714=0,0,N714/M714)</f>
        <v>0.117532104969291</v>
      </c>
      <c r="U714" s="40" t="n">
        <f aca="false">IF(M714=0,0,O714/M714)</f>
        <v>0.0189838079285315</v>
      </c>
      <c r="V714" s="41" t="n">
        <f aca="false">IF(M714=0,0,P714/M714)</f>
        <v>0.00418760469011725</v>
      </c>
      <c r="W714" s="40" t="n">
        <f aca="false">IF(L714=0,0,Q714/L714)</f>
        <v>0.00167224080267559</v>
      </c>
    </row>
    <row r="715" customFormat="false" ht="15" hidden="false" customHeight="false" outlineLevel="0" collapsed="false">
      <c r="A715" s="37" t="s">
        <v>2037</v>
      </c>
      <c r="B715" s="38" t="n">
        <v>46010.3825810185</v>
      </c>
      <c r="C715" s="37" t="s">
        <v>1201</v>
      </c>
      <c r="D715" s="37" t="s">
        <v>635</v>
      </c>
      <c r="E715" s="37" t="s">
        <v>166</v>
      </c>
      <c r="F715" s="37" t="s">
        <v>623</v>
      </c>
      <c r="G715" s="37" t="s">
        <v>1880</v>
      </c>
      <c r="H715" s="37" t="s">
        <v>61</v>
      </c>
      <c r="I715" s="37" t="s">
        <v>255</v>
      </c>
      <c r="J715" s="37" t="s">
        <v>164</v>
      </c>
      <c r="K715" s="37" t="s">
        <v>1202</v>
      </c>
      <c r="L715" s="39" t="n">
        <v>28</v>
      </c>
      <c r="M715" s="39" t="n">
        <v>28</v>
      </c>
      <c r="N715" s="39" t="n">
        <v>16</v>
      </c>
      <c r="O715" s="39" t="n">
        <v>3</v>
      </c>
      <c r="P715" s="39" t="n">
        <v>0</v>
      </c>
      <c r="Q715" s="39" t="n">
        <v>0</v>
      </c>
      <c r="R715" s="39" t="n">
        <v>0</v>
      </c>
      <c r="S715" s="39" t="n">
        <v>0</v>
      </c>
      <c r="T715" s="40" t="n">
        <f aca="false">IF(M715=0,0,N715/M715)</f>
        <v>0.571428571428571</v>
      </c>
      <c r="U715" s="40" t="n">
        <f aca="false">IF(M715=0,0,O715/M715)</f>
        <v>0.107142857142857</v>
      </c>
      <c r="V715" s="41" t="n">
        <f aca="false">IF(M715=0,0,P715/M715)</f>
        <v>0</v>
      </c>
      <c r="W715" s="40" t="n">
        <f aca="false">IF(L715=0,0,Q715/L715)</f>
        <v>0</v>
      </c>
    </row>
    <row r="716" customFormat="false" ht="15" hidden="false" customHeight="false" outlineLevel="0" collapsed="false">
      <c r="A716" s="37" t="s">
        <v>2038</v>
      </c>
      <c r="B716" s="38" t="n">
        <v>46010.3763541667</v>
      </c>
      <c r="C716" s="37" t="s">
        <v>1201</v>
      </c>
      <c r="D716" s="37" t="s">
        <v>1392</v>
      </c>
      <c r="E716" s="37" t="s">
        <v>166</v>
      </c>
      <c r="F716" s="37" t="s">
        <v>671</v>
      </c>
      <c r="G716" s="37" t="s">
        <v>1734</v>
      </c>
      <c r="H716" s="37" t="s">
        <v>61</v>
      </c>
      <c r="I716" s="37" t="s">
        <v>260</v>
      </c>
      <c r="J716" s="37" t="s">
        <v>164</v>
      </c>
      <c r="K716" s="37" t="s">
        <v>1202</v>
      </c>
      <c r="L716" s="39" t="n">
        <v>24</v>
      </c>
      <c r="M716" s="39" t="n">
        <v>24</v>
      </c>
      <c r="N716" s="39" t="n">
        <v>15</v>
      </c>
      <c r="O716" s="39" t="n">
        <v>2</v>
      </c>
      <c r="P716" s="39" t="n">
        <v>0</v>
      </c>
      <c r="Q716" s="39" t="n">
        <v>0</v>
      </c>
      <c r="R716" s="39" t="n">
        <v>0</v>
      </c>
      <c r="S716" s="39" t="n">
        <v>0</v>
      </c>
      <c r="T716" s="40" t="n">
        <f aca="false">IF(M716=0,0,N716/M716)</f>
        <v>0.625</v>
      </c>
      <c r="U716" s="40" t="n">
        <f aca="false">IF(M716=0,0,O716/M716)</f>
        <v>0.0833333333333333</v>
      </c>
      <c r="V716" s="41" t="n">
        <f aca="false">IF(M716=0,0,P716/M716)</f>
        <v>0</v>
      </c>
      <c r="W716" s="40" t="n">
        <f aca="false">IF(L716=0,0,Q716/L716)</f>
        <v>0</v>
      </c>
    </row>
    <row r="717" customFormat="false" ht="15" hidden="false" customHeight="false" outlineLevel="0" collapsed="false">
      <c r="A717" s="37" t="s">
        <v>2039</v>
      </c>
      <c r="B717" s="38" t="n">
        <v>46010.0106597222</v>
      </c>
      <c r="C717" s="37" t="s">
        <v>1201</v>
      </c>
      <c r="D717" s="37" t="s">
        <v>1372</v>
      </c>
      <c r="E717" s="37" t="s">
        <v>1373</v>
      </c>
      <c r="F717" s="37" t="s">
        <v>537</v>
      </c>
      <c r="G717" s="37"/>
      <c r="H717" s="37" t="s">
        <v>63</v>
      </c>
      <c r="I717" s="37"/>
      <c r="J717" s="37" t="s">
        <v>296</v>
      </c>
      <c r="K717" s="37" t="s">
        <v>1202</v>
      </c>
      <c r="L717" s="39" t="n">
        <v>2</v>
      </c>
      <c r="M717" s="39" t="n">
        <v>2</v>
      </c>
      <c r="N717" s="39" t="n">
        <v>2</v>
      </c>
      <c r="O717" s="39" t="n">
        <v>0</v>
      </c>
      <c r="P717" s="39" t="n">
        <v>0</v>
      </c>
      <c r="Q717" s="39" t="n">
        <v>0</v>
      </c>
      <c r="R717" s="39" t="n">
        <v>0</v>
      </c>
      <c r="S717" s="39" t="n">
        <v>0</v>
      </c>
      <c r="T717" s="40" t="n">
        <f aca="false">IF(M717=0,0,N717/M717)</f>
        <v>1</v>
      </c>
      <c r="U717" s="40" t="n">
        <f aca="false">IF(M717=0,0,O717/M717)</f>
        <v>0</v>
      </c>
      <c r="V717" s="41" t="n">
        <f aca="false">IF(M717=0,0,P717/M717)</f>
        <v>0</v>
      </c>
      <c r="W717" s="40" t="n">
        <f aca="false">IF(L717=0,0,Q717/L717)</f>
        <v>0</v>
      </c>
    </row>
    <row r="718" customFormat="false" ht="15" hidden="false" customHeight="false" outlineLevel="0" collapsed="false">
      <c r="A718" s="37" t="s">
        <v>2040</v>
      </c>
      <c r="B718" s="38" t="n">
        <v>46010.0105555556</v>
      </c>
      <c r="C718" s="37" t="s">
        <v>1201</v>
      </c>
      <c r="D718" s="37" t="s">
        <v>110</v>
      </c>
      <c r="E718" s="37" t="s">
        <v>252</v>
      </c>
      <c r="F718" s="37" t="s">
        <v>667</v>
      </c>
      <c r="G718" s="37" t="s">
        <v>1132</v>
      </c>
      <c r="H718" s="37" t="s">
        <v>61</v>
      </c>
      <c r="I718" s="37"/>
      <c r="J718" s="37" t="s">
        <v>109</v>
      </c>
      <c r="K718" s="37" t="s">
        <v>1202</v>
      </c>
      <c r="L718" s="39" t="n">
        <v>1930</v>
      </c>
      <c r="M718" s="39" t="n">
        <v>1918</v>
      </c>
      <c r="N718" s="39" t="n">
        <v>730</v>
      </c>
      <c r="O718" s="39" t="n">
        <v>21</v>
      </c>
      <c r="P718" s="39" t="n">
        <v>14</v>
      </c>
      <c r="Q718" s="39" t="n">
        <v>12</v>
      </c>
      <c r="R718" s="39" t="n">
        <v>4</v>
      </c>
      <c r="S718" s="39" t="n">
        <v>0</v>
      </c>
      <c r="T718" s="40" t="n">
        <f aca="false">IF(M718=0,0,N718/M718)</f>
        <v>0.380604796663191</v>
      </c>
      <c r="U718" s="40" t="n">
        <f aca="false">IF(M718=0,0,O718/M718)</f>
        <v>0.0109489051094891</v>
      </c>
      <c r="V718" s="41" t="n">
        <f aca="false">IF(M718=0,0,P718/M718)</f>
        <v>0.0072992700729927</v>
      </c>
      <c r="W718" s="40" t="n">
        <f aca="false">IF(L718=0,0,Q718/L718)</f>
        <v>0.00621761658031088</v>
      </c>
    </row>
    <row r="719" customFormat="false" ht="15" hidden="false" customHeight="false" outlineLevel="0" collapsed="false">
      <c r="A719" s="37" t="s">
        <v>2041</v>
      </c>
      <c r="B719" s="38" t="n">
        <v>46010.0005671296</v>
      </c>
      <c r="C719" s="37" t="s">
        <v>1201</v>
      </c>
      <c r="D719" s="37" t="s">
        <v>1372</v>
      </c>
      <c r="E719" s="37" t="s">
        <v>1373</v>
      </c>
      <c r="F719" s="37" t="s">
        <v>537</v>
      </c>
      <c r="G719" s="37"/>
      <c r="H719" s="37" t="s">
        <v>64</v>
      </c>
      <c r="I719" s="37"/>
      <c r="J719" s="37" t="s">
        <v>296</v>
      </c>
      <c r="K719" s="37" t="s">
        <v>1202</v>
      </c>
      <c r="L719" s="39" t="n">
        <v>2</v>
      </c>
      <c r="M719" s="39" t="n">
        <v>2</v>
      </c>
      <c r="N719" s="39" t="n">
        <v>2</v>
      </c>
      <c r="O719" s="39" t="n">
        <v>0</v>
      </c>
      <c r="P719" s="39" t="n">
        <v>0</v>
      </c>
      <c r="Q719" s="39" t="n">
        <v>0</v>
      </c>
      <c r="R719" s="39" t="n">
        <v>0</v>
      </c>
      <c r="S719" s="39" t="n">
        <v>0</v>
      </c>
      <c r="T719" s="40" t="n">
        <f aca="false">IF(M719=0,0,N719/M719)</f>
        <v>1</v>
      </c>
      <c r="U719" s="40" t="n">
        <f aca="false">IF(M719=0,0,O719/M719)</f>
        <v>0</v>
      </c>
      <c r="V719" s="41" t="n">
        <f aca="false">IF(M719=0,0,P719/M719)</f>
        <v>0</v>
      </c>
      <c r="W719" s="40" t="n">
        <f aca="false">IF(L719=0,0,Q719/L719)</f>
        <v>0</v>
      </c>
    </row>
    <row r="720" customFormat="false" ht="15" hidden="false" customHeight="false" outlineLevel="0" collapsed="false">
      <c r="A720" s="37" t="s">
        <v>2042</v>
      </c>
      <c r="B720" s="38" t="n">
        <v>46010.0003125</v>
      </c>
      <c r="C720" s="37" t="s">
        <v>1201</v>
      </c>
      <c r="D720" s="37" t="s">
        <v>171</v>
      </c>
      <c r="E720" s="37" t="s">
        <v>172</v>
      </c>
      <c r="F720" s="37" t="s">
        <v>544</v>
      </c>
      <c r="G720" s="37"/>
      <c r="H720" s="37" t="s">
        <v>60</v>
      </c>
      <c r="I720" s="37"/>
      <c r="J720" s="37" t="s">
        <v>170</v>
      </c>
      <c r="K720" s="37" t="s">
        <v>1202</v>
      </c>
      <c r="L720" s="39" t="n">
        <v>74</v>
      </c>
      <c r="M720" s="39" t="n">
        <v>73</v>
      </c>
      <c r="N720" s="39" t="n">
        <v>33</v>
      </c>
      <c r="O720" s="39" t="n">
        <v>7</v>
      </c>
      <c r="P720" s="39" t="n">
        <v>0</v>
      </c>
      <c r="Q720" s="39" t="n">
        <v>1</v>
      </c>
      <c r="R720" s="39" t="n">
        <v>1</v>
      </c>
      <c r="S720" s="39" t="n">
        <v>0</v>
      </c>
      <c r="T720" s="40" t="n">
        <f aca="false">IF(M720=0,0,N720/M720)</f>
        <v>0.452054794520548</v>
      </c>
      <c r="U720" s="40" t="n">
        <f aca="false">IF(M720=0,0,O720/M720)</f>
        <v>0.0958904109589041</v>
      </c>
      <c r="V720" s="41" t="n">
        <f aca="false">IF(M720=0,0,P720/M720)</f>
        <v>0</v>
      </c>
      <c r="W720" s="40" t="n">
        <f aca="false">IF(L720=0,0,Q720/L720)</f>
        <v>0.0135135135135135</v>
      </c>
    </row>
    <row r="721" customFormat="false" ht="15" hidden="false" customHeight="false" outlineLevel="0" collapsed="false">
      <c r="A721" s="37" t="s">
        <v>2043</v>
      </c>
      <c r="B721" s="38" t="n">
        <v>46009.7399652778</v>
      </c>
      <c r="C721" s="37" t="s">
        <v>1252</v>
      </c>
      <c r="D721" s="37" t="s">
        <v>2044</v>
      </c>
      <c r="E721" s="37" t="s">
        <v>193</v>
      </c>
      <c r="F721" s="37" t="s">
        <v>555</v>
      </c>
      <c r="G721" s="37" t="s">
        <v>1134</v>
      </c>
      <c r="H721" s="37" t="s">
        <v>61</v>
      </c>
      <c r="I721" s="37"/>
      <c r="J721" s="37" t="s">
        <v>430</v>
      </c>
      <c r="K721" s="37" t="s">
        <v>8</v>
      </c>
      <c r="L721" s="39" t="n">
        <v>5702</v>
      </c>
      <c r="M721" s="39" t="n">
        <v>5615</v>
      </c>
      <c r="N721" s="39" t="n">
        <v>1679</v>
      </c>
      <c r="O721" s="39" t="n">
        <v>56</v>
      </c>
      <c r="P721" s="39" t="n">
        <v>80</v>
      </c>
      <c r="Q721" s="39" t="n">
        <v>87</v>
      </c>
      <c r="R721" s="39" t="n">
        <v>60</v>
      </c>
      <c r="S721" s="39" t="n">
        <v>0</v>
      </c>
      <c r="T721" s="40" t="n">
        <f aca="false">IF(M721=0,0,N721/M721)</f>
        <v>0.299020480854853</v>
      </c>
      <c r="U721" s="40" t="n">
        <f aca="false">IF(M721=0,0,O721/M721)</f>
        <v>0.00997328584149599</v>
      </c>
      <c r="V721" s="41" t="n">
        <f aca="false">IF(M721=0,0,P721/M721)</f>
        <v>0.0142475512021371</v>
      </c>
      <c r="W721" s="40" t="n">
        <f aca="false">IF(L721=0,0,Q721/L721)</f>
        <v>0.0152578042792003</v>
      </c>
    </row>
    <row r="722" customFormat="false" ht="15" hidden="false" customHeight="false" outlineLevel="0" collapsed="false">
      <c r="A722" s="37" t="s">
        <v>2045</v>
      </c>
      <c r="B722" s="38" t="n">
        <v>46009.7190740741</v>
      </c>
      <c r="C722" s="37" t="s">
        <v>1252</v>
      </c>
      <c r="D722" s="37" t="s">
        <v>166</v>
      </c>
      <c r="E722" s="37" t="s">
        <v>166</v>
      </c>
      <c r="F722" s="37" t="s">
        <v>623</v>
      </c>
      <c r="G722" s="37"/>
      <c r="H722" s="37" t="s">
        <v>61</v>
      </c>
      <c r="I722" s="37"/>
      <c r="J722" s="37" t="s">
        <v>164</v>
      </c>
      <c r="K722" s="37" t="s">
        <v>1202</v>
      </c>
      <c r="L722" s="39" t="n">
        <v>1034</v>
      </c>
      <c r="M722" s="39" t="n">
        <v>1032</v>
      </c>
      <c r="N722" s="39" t="n">
        <v>438</v>
      </c>
      <c r="O722" s="39" t="n">
        <v>12</v>
      </c>
      <c r="P722" s="39" t="n">
        <v>10</v>
      </c>
      <c r="Q722" s="39" t="n">
        <v>2</v>
      </c>
      <c r="R722" s="39" t="n">
        <v>1</v>
      </c>
      <c r="S722" s="39" t="n">
        <v>0</v>
      </c>
      <c r="T722" s="40" t="n">
        <f aca="false">IF(M722=0,0,N722/M722)</f>
        <v>0.424418604651163</v>
      </c>
      <c r="U722" s="40" t="n">
        <f aca="false">IF(M722=0,0,O722/M722)</f>
        <v>0.0116279069767442</v>
      </c>
      <c r="V722" s="41" t="n">
        <f aca="false">IF(M722=0,0,P722/M722)</f>
        <v>0.00968992248062016</v>
      </c>
      <c r="W722" s="40" t="n">
        <f aca="false">IF(L722=0,0,Q722/L722)</f>
        <v>0.00193423597678917</v>
      </c>
    </row>
    <row r="723" customFormat="false" ht="15" hidden="false" customHeight="false" outlineLevel="0" collapsed="false">
      <c r="A723" s="37" t="s">
        <v>2046</v>
      </c>
      <c r="B723" s="38" t="n">
        <v>46009.6878009259</v>
      </c>
      <c r="C723" s="37" t="s">
        <v>1252</v>
      </c>
      <c r="D723" s="37" t="s">
        <v>166</v>
      </c>
      <c r="E723" s="37" t="s">
        <v>166</v>
      </c>
      <c r="F723" s="37" t="s">
        <v>623</v>
      </c>
      <c r="G723" s="37"/>
      <c r="H723" s="37" t="s">
        <v>61</v>
      </c>
      <c r="I723" s="37"/>
      <c r="J723" s="37" t="s">
        <v>164</v>
      </c>
      <c r="K723" s="37" t="s">
        <v>1202</v>
      </c>
      <c r="L723" s="39" t="n">
        <v>125</v>
      </c>
      <c r="M723" s="39" t="n">
        <v>125</v>
      </c>
      <c r="N723" s="39" t="n">
        <v>58</v>
      </c>
      <c r="O723" s="39" t="n">
        <v>0</v>
      </c>
      <c r="P723" s="39" t="n">
        <v>1</v>
      </c>
      <c r="Q723" s="39" t="n">
        <v>0</v>
      </c>
      <c r="R723" s="39" t="n">
        <v>0</v>
      </c>
      <c r="S723" s="39" t="n">
        <v>0</v>
      </c>
      <c r="T723" s="40" t="n">
        <f aca="false">IF(M723=0,0,N723/M723)</f>
        <v>0.464</v>
      </c>
      <c r="U723" s="40" t="n">
        <f aca="false">IF(M723=0,0,O723/M723)</f>
        <v>0</v>
      </c>
      <c r="V723" s="41" t="n">
        <f aca="false">IF(M723=0,0,P723/M723)</f>
        <v>0.008</v>
      </c>
      <c r="W723" s="40" t="n">
        <f aca="false">IF(L723=0,0,Q723/L723)</f>
        <v>0</v>
      </c>
    </row>
    <row r="724" customFormat="false" ht="15" hidden="false" customHeight="false" outlineLevel="0" collapsed="false">
      <c r="A724" s="37" t="s">
        <v>2047</v>
      </c>
      <c r="B724" s="38" t="n">
        <v>46009.4215972222</v>
      </c>
      <c r="C724" s="37" t="s">
        <v>1201</v>
      </c>
      <c r="D724" s="37" t="s">
        <v>101</v>
      </c>
      <c r="E724" s="37" t="s">
        <v>1222</v>
      </c>
      <c r="F724" s="37" t="s">
        <v>548</v>
      </c>
      <c r="G724" s="37" t="s">
        <v>2048</v>
      </c>
      <c r="H724" s="37" t="s">
        <v>61</v>
      </c>
      <c r="I724" s="37" t="s">
        <v>98</v>
      </c>
      <c r="J724" s="37" t="s">
        <v>100</v>
      </c>
      <c r="K724" s="37" t="s">
        <v>1202</v>
      </c>
      <c r="L724" s="39" t="n">
        <v>5787</v>
      </c>
      <c r="M724" s="39" t="n">
        <v>5769</v>
      </c>
      <c r="N724" s="39" t="n">
        <v>1081</v>
      </c>
      <c r="O724" s="39" t="n">
        <v>135</v>
      </c>
      <c r="P724" s="39" t="n">
        <v>38</v>
      </c>
      <c r="Q724" s="39" t="n">
        <v>18</v>
      </c>
      <c r="R724" s="39" t="n">
        <v>10</v>
      </c>
      <c r="S724" s="39" t="n">
        <v>1</v>
      </c>
      <c r="T724" s="40" t="n">
        <f aca="false">IF(M724=0,0,N724/M724)</f>
        <v>0.187380828566476</v>
      </c>
      <c r="U724" s="40" t="n">
        <f aca="false">IF(M724=0,0,O724/M724)</f>
        <v>0.0234009360374415</v>
      </c>
      <c r="V724" s="41" t="n">
        <f aca="false">IF(M724=0,0,P724/M724)</f>
        <v>0.00658693014387242</v>
      </c>
      <c r="W724" s="40" t="n">
        <f aca="false">IF(L724=0,0,Q724/L724)</f>
        <v>0.0031104199066874</v>
      </c>
    </row>
    <row r="725" customFormat="false" ht="15" hidden="false" customHeight="false" outlineLevel="0" collapsed="false">
      <c r="A725" s="37" t="s">
        <v>2049</v>
      </c>
      <c r="B725" s="38" t="n">
        <v>46009.4077314815</v>
      </c>
      <c r="C725" s="37" t="s">
        <v>1201</v>
      </c>
      <c r="D725" s="37" t="s">
        <v>2050</v>
      </c>
      <c r="E725" s="37" t="s">
        <v>1764</v>
      </c>
      <c r="F725" s="37" t="s">
        <v>616</v>
      </c>
      <c r="G725" s="37"/>
      <c r="H725" s="37" t="s">
        <v>61</v>
      </c>
      <c r="I725" s="37"/>
      <c r="J725" s="37" t="s">
        <v>430</v>
      </c>
      <c r="K725" s="37" t="s">
        <v>8</v>
      </c>
      <c r="L725" s="39" t="n">
        <v>450</v>
      </c>
      <c r="M725" s="39" t="n">
        <v>448</v>
      </c>
      <c r="N725" s="39" t="n">
        <v>118</v>
      </c>
      <c r="O725" s="39" t="n">
        <v>2</v>
      </c>
      <c r="P725" s="39" t="n">
        <v>7</v>
      </c>
      <c r="Q725" s="39" t="n">
        <v>2</v>
      </c>
      <c r="R725" s="39" t="n">
        <v>1</v>
      </c>
      <c r="S725" s="39" t="n">
        <v>0</v>
      </c>
      <c r="T725" s="40" t="n">
        <f aca="false">IF(M725=0,0,N725/M725)</f>
        <v>0.263392857142857</v>
      </c>
      <c r="U725" s="40" t="n">
        <f aca="false">IF(M725=0,0,O725/M725)</f>
        <v>0.00446428571428571</v>
      </c>
      <c r="V725" s="41" t="n">
        <f aca="false">IF(M725=0,0,P725/M725)</f>
        <v>0.015625</v>
      </c>
      <c r="W725" s="40" t="n">
        <f aca="false">IF(L725=0,0,Q725/L725)</f>
        <v>0.00444444444444444</v>
      </c>
    </row>
    <row r="726" customFormat="false" ht="15" hidden="false" customHeight="false" outlineLevel="0" collapsed="false">
      <c r="A726" s="37" t="s">
        <v>2051</v>
      </c>
      <c r="B726" s="38" t="n">
        <v>46009.3337962963</v>
      </c>
      <c r="C726" s="37" t="s">
        <v>1252</v>
      </c>
      <c r="D726" s="37" t="s">
        <v>1562</v>
      </c>
      <c r="E726" s="37" t="s">
        <v>288</v>
      </c>
      <c r="F726" s="37" t="s">
        <v>505</v>
      </c>
      <c r="G726" s="37"/>
      <c r="H726" s="37" t="s">
        <v>61</v>
      </c>
      <c r="I726" s="37"/>
      <c r="J726" s="37" t="s">
        <v>287</v>
      </c>
      <c r="K726" s="37" t="s">
        <v>1202</v>
      </c>
      <c r="L726" s="39" t="n">
        <v>78</v>
      </c>
      <c r="M726" s="39" t="n">
        <v>78</v>
      </c>
      <c r="N726" s="39" t="n">
        <v>42</v>
      </c>
      <c r="O726" s="39" t="n">
        <v>7</v>
      </c>
      <c r="P726" s="39" t="n">
        <v>0</v>
      </c>
      <c r="Q726" s="39" t="n">
        <v>0</v>
      </c>
      <c r="R726" s="39" t="n">
        <v>0</v>
      </c>
      <c r="S726" s="39" t="n">
        <v>0</v>
      </c>
      <c r="T726" s="40" t="n">
        <f aca="false">IF(M726=0,0,N726/M726)</f>
        <v>0.538461538461538</v>
      </c>
      <c r="U726" s="40" t="n">
        <f aca="false">IF(M726=0,0,O726/M726)</f>
        <v>0.0897435897435897</v>
      </c>
      <c r="V726" s="41" t="n">
        <f aca="false">IF(M726=0,0,P726/M726)</f>
        <v>0</v>
      </c>
      <c r="W726" s="40" t="n">
        <f aca="false">IF(L726=0,0,Q726/L726)</f>
        <v>0</v>
      </c>
    </row>
    <row r="727" customFormat="false" ht="15" hidden="false" customHeight="false" outlineLevel="0" collapsed="false">
      <c r="A727" s="37" t="s">
        <v>2052</v>
      </c>
      <c r="B727" s="38" t="n">
        <v>46009.2465625</v>
      </c>
      <c r="C727" s="37" t="s">
        <v>1201</v>
      </c>
      <c r="D727" s="37" t="s">
        <v>122</v>
      </c>
      <c r="E727" s="37" t="s">
        <v>1255</v>
      </c>
      <c r="F727" s="37" t="s">
        <v>629</v>
      </c>
      <c r="G727" s="37"/>
      <c r="H727" s="37" t="s">
        <v>61</v>
      </c>
      <c r="I727" s="37" t="s">
        <v>120</v>
      </c>
      <c r="J727" s="37" t="s">
        <v>121</v>
      </c>
      <c r="K727" s="37" t="s">
        <v>1202</v>
      </c>
      <c r="L727" s="39" t="n">
        <v>1276</v>
      </c>
      <c r="M727" s="39" t="n">
        <v>1271</v>
      </c>
      <c r="N727" s="39" t="n">
        <v>325</v>
      </c>
      <c r="O727" s="39" t="n">
        <v>15</v>
      </c>
      <c r="P727" s="39" t="n">
        <v>8</v>
      </c>
      <c r="Q727" s="39" t="n">
        <v>5</v>
      </c>
      <c r="R727" s="39" t="n">
        <v>4</v>
      </c>
      <c r="S727" s="39" t="n">
        <v>0</v>
      </c>
      <c r="T727" s="40" t="n">
        <f aca="false">IF(M727=0,0,N727/M727)</f>
        <v>0.255704169944925</v>
      </c>
      <c r="U727" s="40" t="n">
        <f aca="false">IF(M727=0,0,O727/M727)</f>
        <v>0.011801730920535</v>
      </c>
      <c r="V727" s="41" t="n">
        <f aca="false">IF(M727=0,0,P727/M727)</f>
        <v>0.00629425649095201</v>
      </c>
      <c r="W727" s="40" t="n">
        <f aca="false">IF(L727=0,0,Q727/L727)</f>
        <v>0.00391849529780564</v>
      </c>
    </row>
    <row r="728" customFormat="false" ht="15" hidden="false" customHeight="false" outlineLevel="0" collapsed="false">
      <c r="A728" s="37" t="s">
        <v>2053</v>
      </c>
      <c r="B728" s="38" t="n">
        <v>46009.069837963</v>
      </c>
      <c r="C728" s="37" t="s">
        <v>1241</v>
      </c>
      <c r="D728" s="37" t="s">
        <v>1324</v>
      </c>
      <c r="E728" s="37" t="s">
        <v>1546</v>
      </c>
      <c r="F728" s="37" t="s">
        <v>544</v>
      </c>
      <c r="G728" s="37" t="s">
        <v>1037</v>
      </c>
      <c r="H728" s="37" t="s">
        <v>60</v>
      </c>
      <c r="I728" s="37"/>
      <c r="J728" s="37" t="s">
        <v>357</v>
      </c>
      <c r="K728" s="37" t="s">
        <v>1202</v>
      </c>
      <c r="L728" s="39" t="n">
        <v>92</v>
      </c>
      <c r="M728" s="39" t="n">
        <v>92</v>
      </c>
      <c r="N728" s="39" t="n">
        <v>55</v>
      </c>
      <c r="O728" s="39" t="n">
        <v>34</v>
      </c>
      <c r="P728" s="39" t="n">
        <v>1</v>
      </c>
      <c r="Q728" s="39" t="n">
        <v>0</v>
      </c>
      <c r="R728" s="39" t="n">
        <v>0</v>
      </c>
      <c r="S728" s="39" t="n">
        <v>0</v>
      </c>
      <c r="T728" s="40" t="n">
        <f aca="false">IF(M728=0,0,N728/M728)</f>
        <v>0.597826086956522</v>
      </c>
      <c r="U728" s="40" t="n">
        <f aca="false">IF(M728=0,0,O728/M728)</f>
        <v>0.369565217391304</v>
      </c>
      <c r="V728" s="41" t="n">
        <f aca="false">IF(M728=0,0,P728/M728)</f>
        <v>0.0108695652173913</v>
      </c>
      <c r="W728" s="40" t="n">
        <f aca="false">IF(L728=0,0,Q728/L728)</f>
        <v>0</v>
      </c>
    </row>
    <row r="729" customFormat="false" ht="15" hidden="false" customHeight="false" outlineLevel="0" collapsed="false">
      <c r="A729" s="37" t="s">
        <v>2054</v>
      </c>
      <c r="B729" s="38" t="n">
        <v>46008.9585300926</v>
      </c>
      <c r="C729" s="37" t="s">
        <v>1201</v>
      </c>
      <c r="D729" s="37" t="s">
        <v>237</v>
      </c>
      <c r="E729" s="37" t="s">
        <v>238</v>
      </c>
      <c r="F729" s="37" t="s">
        <v>559</v>
      </c>
      <c r="G729" s="37" t="s">
        <v>1135</v>
      </c>
      <c r="H729" s="37" t="s">
        <v>60</v>
      </c>
      <c r="I729" s="37"/>
      <c r="J729" s="37" t="s">
        <v>236</v>
      </c>
      <c r="K729" s="37" t="s">
        <v>1202</v>
      </c>
      <c r="L729" s="39" t="n">
        <v>3196</v>
      </c>
      <c r="M729" s="39" t="n">
        <v>3159</v>
      </c>
      <c r="N729" s="39" t="n">
        <v>694</v>
      </c>
      <c r="O729" s="39" t="n">
        <v>176</v>
      </c>
      <c r="P729" s="39" t="n">
        <v>7</v>
      </c>
      <c r="Q729" s="39" t="n">
        <v>37</v>
      </c>
      <c r="R729" s="39" t="n">
        <v>32</v>
      </c>
      <c r="S729" s="39" t="n">
        <v>0</v>
      </c>
      <c r="T729" s="40" t="n">
        <f aca="false">IF(M729=0,0,N729/M729)</f>
        <v>0.219689775245331</v>
      </c>
      <c r="U729" s="40" t="n">
        <f aca="false">IF(M729=0,0,O729/M729)</f>
        <v>0.0557138334916113</v>
      </c>
      <c r="V729" s="41" t="n">
        <f aca="false">IF(M729=0,0,P729/M729)</f>
        <v>0.00221589110477999</v>
      </c>
      <c r="W729" s="40" t="n">
        <f aca="false">IF(L729=0,0,Q729/L729)</f>
        <v>0.0115769712140175</v>
      </c>
    </row>
    <row r="730" customFormat="false" ht="15" hidden="false" customHeight="false" outlineLevel="0" collapsed="false">
      <c r="A730" s="37" t="s">
        <v>2055</v>
      </c>
      <c r="B730" s="38" t="n">
        <v>46008.6213194444</v>
      </c>
      <c r="C730" s="37" t="s">
        <v>1201</v>
      </c>
      <c r="D730" s="37" t="s">
        <v>160</v>
      </c>
      <c r="E730" s="37" t="s">
        <v>160</v>
      </c>
      <c r="F730" s="37" t="s">
        <v>189</v>
      </c>
      <c r="G730" s="37" t="s">
        <v>1132</v>
      </c>
      <c r="H730" s="37" t="s">
        <v>61</v>
      </c>
      <c r="I730" s="37" t="s">
        <v>157</v>
      </c>
      <c r="J730" s="37" t="s">
        <v>158</v>
      </c>
      <c r="K730" s="37" t="s">
        <v>1202</v>
      </c>
      <c r="L730" s="39" t="n">
        <v>1220</v>
      </c>
      <c r="M730" s="39" t="n">
        <v>1214</v>
      </c>
      <c r="N730" s="39" t="n">
        <v>530</v>
      </c>
      <c r="O730" s="39" t="n">
        <v>33</v>
      </c>
      <c r="P730" s="39" t="n">
        <v>6</v>
      </c>
      <c r="Q730" s="39" t="n">
        <v>6</v>
      </c>
      <c r="R730" s="39" t="n">
        <v>4</v>
      </c>
      <c r="S730" s="39" t="n">
        <v>0</v>
      </c>
      <c r="T730" s="40" t="n">
        <f aca="false">IF(M730=0,0,N730/M730)</f>
        <v>0.436573311367381</v>
      </c>
      <c r="U730" s="40" t="n">
        <f aca="false">IF(M730=0,0,O730/M730)</f>
        <v>0.0271828665568369</v>
      </c>
      <c r="V730" s="41" t="n">
        <f aca="false">IF(M730=0,0,P730/M730)</f>
        <v>0.00494233937397035</v>
      </c>
      <c r="W730" s="40" t="n">
        <f aca="false">IF(L730=0,0,Q730/L730)</f>
        <v>0.00491803278688525</v>
      </c>
    </row>
    <row r="731" customFormat="false" ht="15" hidden="false" customHeight="false" outlineLevel="0" collapsed="false">
      <c r="A731" s="37" t="s">
        <v>2056</v>
      </c>
      <c r="B731" s="38" t="n">
        <v>46008.4718981482</v>
      </c>
      <c r="C731" s="37" t="s">
        <v>1201</v>
      </c>
      <c r="D731" s="37" t="s">
        <v>2014</v>
      </c>
      <c r="E731" s="37" t="s">
        <v>2015</v>
      </c>
      <c r="F731" s="37" t="s">
        <v>650</v>
      </c>
      <c r="G731" s="37"/>
      <c r="H731" s="37" t="s">
        <v>60</v>
      </c>
      <c r="I731" s="37"/>
      <c r="J731" s="37" t="s">
        <v>382</v>
      </c>
      <c r="K731" s="37" t="s">
        <v>1202</v>
      </c>
      <c r="L731" s="39" t="n">
        <v>649</v>
      </c>
      <c r="M731" s="39" t="n">
        <v>647</v>
      </c>
      <c r="N731" s="39" t="n">
        <v>200</v>
      </c>
      <c r="O731" s="39" t="n">
        <v>38</v>
      </c>
      <c r="P731" s="39" t="n">
        <v>4</v>
      </c>
      <c r="Q731" s="39" t="n">
        <v>2</v>
      </c>
      <c r="R731" s="39" t="n">
        <v>1</v>
      </c>
      <c r="S731" s="39" t="n">
        <v>0</v>
      </c>
      <c r="T731" s="40" t="n">
        <f aca="false">IF(M731=0,0,N731/M731)</f>
        <v>0.309119010819165</v>
      </c>
      <c r="U731" s="40" t="n">
        <f aca="false">IF(M731=0,0,O731/M731)</f>
        <v>0.0587326120556414</v>
      </c>
      <c r="V731" s="41" t="n">
        <f aca="false">IF(M731=0,0,P731/M731)</f>
        <v>0.00618238021638331</v>
      </c>
      <c r="W731" s="40" t="n">
        <f aca="false">IF(L731=0,0,Q731/L731)</f>
        <v>0.00308166409861325</v>
      </c>
    </row>
    <row r="732" customFormat="false" ht="15" hidden="false" customHeight="false" outlineLevel="0" collapsed="false">
      <c r="A732" s="37" t="s">
        <v>2057</v>
      </c>
      <c r="B732" s="38" t="n">
        <v>46008.3465046296</v>
      </c>
      <c r="C732" s="37" t="s">
        <v>1201</v>
      </c>
      <c r="D732" s="37" t="s">
        <v>1600</v>
      </c>
      <c r="E732" s="37" t="s">
        <v>288</v>
      </c>
      <c r="F732" s="37" t="s">
        <v>505</v>
      </c>
      <c r="G732" s="37"/>
      <c r="H732" s="37" t="s">
        <v>60</v>
      </c>
      <c r="I732" s="37"/>
      <c r="J732" s="37" t="s">
        <v>287</v>
      </c>
      <c r="K732" s="37" t="s">
        <v>1213</v>
      </c>
      <c r="L732" s="39" t="n">
        <v>391</v>
      </c>
      <c r="M732" s="39" t="n">
        <v>381</v>
      </c>
      <c r="N732" s="39" t="n">
        <v>53</v>
      </c>
      <c r="O732" s="39" t="n">
        <v>7</v>
      </c>
      <c r="P732" s="39" t="n">
        <v>1</v>
      </c>
      <c r="Q732" s="39" t="n">
        <v>10</v>
      </c>
      <c r="R732" s="39" t="n">
        <v>10</v>
      </c>
      <c r="S732" s="39" t="n">
        <v>0</v>
      </c>
      <c r="T732" s="40" t="n">
        <f aca="false">IF(M732=0,0,N732/M732)</f>
        <v>0.139107611548556</v>
      </c>
      <c r="U732" s="40" t="n">
        <f aca="false">IF(M732=0,0,O732/M732)</f>
        <v>0.0183727034120735</v>
      </c>
      <c r="V732" s="41" t="n">
        <f aca="false">IF(M732=0,0,P732/M732)</f>
        <v>0.0026246719160105</v>
      </c>
      <c r="W732" s="40" t="n">
        <f aca="false">IF(L732=0,0,Q732/L732)</f>
        <v>0.0255754475703325</v>
      </c>
    </row>
    <row r="733" customFormat="false" ht="15" hidden="false" customHeight="false" outlineLevel="0" collapsed="false">
      <c r="A733" s="37" t="s">
        <v>2058</v>
      </c>
      <c r="B733" s="38" t="n">
        <v>46008.2706134259</v>
      </c>
      <c r="C733" s="37" t="s">
        <v>1241</v>
      </c>
      <c r="D733" s="37" t="s">
        <v>1324</v>
      </c>
      <c r="E733" s="37" t="s">
        <v>1546</v>
      </c>
      <c r="F733" s="37" t="s">
        <v>555</v>
      </c>
      <c r="G733" s="37" t="s">
        <v>1037</v>
      </c>
      <c r="H733" s="37" t="s">
        <v>60</v>
      </c>
      <c r="I733" s="37"/>
      <c r="J733" s="37" t="s">
        <v>357</v>
      </c>
      <c r="K733" s="37" t="s">
        <v>1202</v>
      </c>
      <c r="L733" s="39" t="n">
        <v>596</v>
      </c>
      <c r="M733" s="39" t="n">
        <v>585</v>
      </c>
      <c r="N733" s="39" t="n">
        <v>137</v>
      </c>
      <c r="O733" s="39" t="n">
        <v>0</v>
      </c>
      <c r="P733" s="39" t="n">
        <v>1</v>
      </c>
      <c r="Q733" s="39" t="n">
        <v>11</v>
      </c>
      <c r="R733" s="39" t="n">
        <v>10</v>
      </c>
      <c r="S733" s="39" t="n">
        <v>0</v>
      </c>
      <c r="T733" s="40" t="n">
        <f aca="false">IF(M733=0,0,N733/M733)</f>
        <v>0.234188034188034</v>
      </c>
      <c r="U733" s="40" t="n">
        <f aca="false">IF(M733=0,0,O733/M733)</f>
        <v>0</v>
      </c>
      <c r="V733" s="41" t="n">
        <f aca="false">IF(M733=0,0,P733/M733)</f>
        <v>0.00170940170940171</v>
      </c>
      <c r="W733" s="40" t="n">
        <f aca="false">IF(L733=0,0,Q733/L733)</f>
        <v>0.0184563758389262</v>
      </c>
    </row>
    <row r="734" customFormat="false" ht="15" hidden="false" customHeight="false" outlineLevel="0" collapsed="false">
      <c r="A734" s="37" t="s">
        <v>2059</v>
      </c>
      <c r="B734" s="38" t="n">
        <v>46008.2697800926</v>
      </c>
      <c r="C734" s="37" t="s">
        <v>1241</v>
      </c>
      <c r="D734" s="37" t="s">
        <v>1324</v>
      </c>
      <c r="E734" s="37" t="s">
        <v>1546</v>
      </c>
      <c r="F734" s="37" t="s">
        <v>555</v>
      </c>
      <c r="G734" s="37" t="s">
        <v>1037</v>
      </c>
      <c r="H734" s="37" t="s">
        <v>60</v>
      </c>
      <c r="I734" s="37"/>
      <c r="J734" s="37" t="s">
        <v>357</v>
      </c>
      <c r="K734" s="37" t="s">
        <v>1202</v>
      </c>
      <c r="L734" s="39" t="n">
        <v>126</v>
      </c>
      <c r="M734" s="39" t="n">
        <v>126</v>
      </c>
      <c r="N734" s="39" t="n">
        <v>38</v>
      </c>
      <c r="O734" s="39" t="n">
        <v>0</v>
      </c>
      <c r="P734" s="39" t="n">
        <v>0</v>
      </c>
      <c r="Q734" s="39" t="n">
        <v>0</v>
      </c>
      <c r="R734" s="39" t="n">
        <v>0</v>
      </c>
      <c r="S734" s="39" t="n">
        <v>0</v>
      </c>
      <c r="T734" s="40" t="n">
        <f aca="false">IF(M734=0,0,N734/M734)</f>
        <v>0.301587301587302</v>
      </c>
      <c r="U734" s="40" t="n">
        <f aca="false">IF(M734=0,0,O734/M734)</f>
        <v>0</v>
      </c>
      <c r="V734" s="41" t="n">
        <f aca="false">IF(M734=0,0,P734/M734)</f>
        <v>0</v>
      </c>
      <c r="W734" s="40" t="n">
        <f aca="false">IF(L734=0,0,Q734/L734)</f>
        <v>0</v>
      </c>
    </row>
    <row r="735" customFormat="false" ht="15" hidden="false" customHeight="false" outlineLevel="0" collapsed="false">
      <c r="A735" s="37" t="s">
        <v>2060</v>
      </c>
      <c r="B735" s="38" t="n">
        <v>46008.1256712963</v>
      </c>
      <c r="C735" s="37" t="s">
        <v>1201</v>
      </c>
      <c r="D735" s="37" t="s">
        <v>1526</v>
      </c>
      <c r="E735" s="37" t="s">
        <v>1995</v>
      </c>
      <c r="F735" s="37" t="s">
        <v>544</v>
      </c>
      <c r="G735" s="37"/>
      <c r="H735" s="37" t="s">
        <v>60</v>
      </c>
      <c r="I735" s="37"/>
      <c r="J735" s="37" t="s">
        <v>364</v>
      </c>
      <c r="K735" s="37" t="s">
        <v>1202</v>
      </c>
      <c r="L735" s="39" t="n">
        <v>357</v>
      </c>
      <c r="M735" s="39" t="n">
        <v>356</v>
      </c>
      <c r="N735" s="39" t="n">
        <v>262</v>
      </c>
      <c r="O735" s="39" t="n">
        <v>78</v>
      </c>
      <c r="P735" s="39" t="n">
        <v>1</v>
      </c>
      <c r="Q735" s="39" t="n">
        <v>1</v>
      </c>
      <c r="R735" s="39" t="n">
        <v>0</v>
      </c>
      <c r="S735" s="39" t="n">
        <v>0</v>
      </c>
      <c r="T735" s="40" t="n">
        <f aca="false">IF(M735=0,0,N735/M735)</f>
        <v>0.735955056179775</v>
      </c>
      <c r="U735" s="40" t="n">
        <f aca="false">IF(M735=0,0,O735/M735)</f>
        <v>0.219101123595506</v>
      </c>
      <c r="V735" s="41" t="n">
        <f aca="false">IF(M735=0,0,P735/M735)</f>
        <v>0.00280898876404494</v>
      </c>
      <c r="W735" s="40" t="n">
        <f aca="false">IF(L735=0,0,Q735/L735)</f>
        <v>0.00280112044817927</v>
      </c>
    </row>
    <row r="736" customFormat="false" ht="15" hidden="false" customHeight="false" outlineLevel="0" collapsed="false">
      <c r="A736" s="37" t="s">
        <v>2061</v>
      </c>
      <c r="B736" s="38" t="n">
        <v>46008.0695833333</v>
      </c>
      <c r="C736" s="37" t="s">
        <v>1201</v>
      </c>
      <c r="D736" s="37" t="s">
        <v>656</v>
      </c>
      <c r="E736" s="37" t="s">
        <v>1546</v>
      </c>
      <c r="F736" s="37" t="s">
        <v>544</v>
      </c>
      <c r="G736" s="37"/>
      <c r="H736" s="37" t="s">
        <v>65</v>
      </c>
      <c r="I736" s="37"/>
      <c r="J736" s="37" t="s">
        <v>399</v>
      </c>
      <c r="K736" s="37" t="s">
        <v>1202</v>
      </c>
      <c r="L736" s="39" t="n">
        <v>179</v>
      </c>
      <c r="M736" s="39" t="n">
        <v>179</v>
      </c>
      <c r="N736" s="39" t="n">
        <v>56</v>
      </c>
      <c r="O736" s="39" t="n">
        <v>19</v>
      </c>
      <c r="P736" s="39" t="n">
        <v>1</v>
      </c>
      <c r="Q736" s="39" t="n">
        <v>0</v>
      </c>
      <c r="R736" s="39" t="n">
        <v>0</v>
      </c>
      <c r="S736" s="39" t="n">
        <v>0</v>
      </c>
      <c r="T736" s="40" t="n">
        <f aca="false">IF(M736=0,0,N736/M736)</f>
        <v>0.312849162011173</v>
      </c>
      <c r="U736" s="40" t="n">
        <f aca="false">IF(M736=0,0,O736/M736)</f>
        <v>0.106145251396648</v>
      </c>
      <c r="V736" s="41" t="n">
        <f aca="false">IF(M736=0,0,P736/M736)</f>
        <v>0.00558659217877095</v>
      </c>
      <c r="W736" s="40" t="n">
        <f aca="false">IF(L736=0,0,Q736/L736)</f>
        <v>0</v>
      </c>
    </row>
    <row r="737" customFormat="false" ht="15" hidden="false" customHeight="false" outlineLevel="0" collapsed="false">
      <c r="A737" s="37" t="s">
        <v>2062</v>
      </c>
      <c r="B737" s="38" t="n">
        <v>46008.000625</v>
      </c>
      <c r="C737" s="37" t="s">
        <v>1201</v>
      </c>
      <c r="D737" s="37" t="s">
        <v>1372</v>
      </c>
      <c r="E737" s="37" t="s">
        <v>1373</v>
      </c>
      <c r="F737" s="37" t="s">
        <v>537</v>
      </c>
      <c r="G737" s="37"/>
      <c r="H737" s="37" t="s">
        <v>63</v>
      </c>
      <c r="I737" s="37"/>
      <c r="J737" s="37" t="s">
        <v>296</v>
      </c>
      <c r="K737" s="37" t="s">
        <v>1202</v>
      </c>
      <c r="L737" s="39" t="n">
        <v>2</v>
      </c>
      <c r="M737" s="39" t="n">
        <v>2</v>
      </c>
      <c r="N737" s="39" t="n">
        <v>2</v>
      </c>
      <c r="O737" s="39" t="n">
        <v>0</v>
      </c>
      <c r="P737" s="39" t="n">
        <v>0</v>
      </c>
      <c r="Q737" s="39" t="n">
        <v>0</v>
      </c>
      <c r="R737" s="39" t="n">
        <v>0</v>
      </c>
      <c r="S737" s="39" t="n">
        <v>0</v>
      </c>
      <c r="T737" s="40" t="n">
        <f aca="false">IF(M737=0,0,N737/M737)</f>
        <v>1</v>
      </c>
      <c r="U737" s="40" t="n">
        <f aca="false">IF(M737=0,0,O737/M737)</f>
        <v>0</v>
      </c>
      <c r="V737" s="41" t="n">
        <f aca="false">IF(M737=0,0,P737/M737)</f>
        <v>0</v>
      </c>
      <c r="W737" s="40" t="n">
        <f aca="false">IF(L737=0,0,Q737/L737)</f>
        <v>0</v>
      </c>
    </row>
    <row r="738" customFormat="false" ht="15" hidden="false" customHeight="false" outlineLevel="0" collapsed="false">
      <c r="A738" s="37" t="s">
        <v>2063</v>
      </c>
      <c r="B738" s="38" t="n">
        <v>46007.8752777778</v>
      </c>
      <c r="C738" s="37" t="s">
        <v>1201</v>
      </c>
      <c r="D738" s="37" t="s">
        <v>152</v>
      </c>
      <c r="E738" s="37" t="s">
        <v>1344</v>
      </c>
      <c r="F738" s="37" t="s">
        <v>152</v>
      </c>
      <c r="G738" s="37"/>
      <c r="H738" s="37" t="s">
        <v>61</v>
      </c>
      <c r="I738" s="37" t="s">
        <v>150</v>
      </c>
      <c r="J738" s="37" t="s">
        <v>151</v>
      </c>
      <c r="K738" s="37" t="s">
        <v>1202</v>
      </c>
      <c r="L738" s="39" t="n">
        <v>4422</v>
      </c>
      <c r="M738" s="39" t="n">
        <v>4420</v>
      </c>
      <c r="N738" s="39" t="n">
        <v>988</v>
      </c>
      <c r="O738" s="39" t="n">
        <v>151</v>
      </c>
      <c r="P738" s="39" t="n">
        <v>14</v>
      </c>
      <c r="Q738" s="39" t="n">
        <v>2</v>
      </c>
      <c r="R738" s="39" t="n">
        <v>1</v>
      </c>
      <c r="S738" s="39" t="n">
        <v>0</v>
      </c>
      <c r="T738" s="40" t="n">
        <f aca="false">IF(M738=0,0,N738/M738)</f>
        <v>0.223529411764706</v>
      </c>
      <c r="U738" s="40" t="n">
        <f aca="false">IF(M738=0,0,O738/M738)</f>
        <v>0.0341628959276018</v>
      </c>
      <c r="V738" s="41" t="n">
        <f aca="false">IF(M738=0,0,P738/M738)</f>
        <v>0.00316742081447964</v>
      </c>
      <c r="W738" s="40" t="n">
        <f aca="false">IF(L738=0,0,Q738/L738)</f>
        <v>0.000452284034373587</v>
      </c>
    </row>
    <row r="739" customFormat="false" ht="15" hidden="false" customHeight="false" outlineLevel="0" collapsed="false">
      <c r="A739" s="37" t="s">
        <v>2064</v>
      </c>
      <c r="B739" s="38" t="n">
        <v>46007.2893055556</v>
      </c>
      <c r="C739" s="37" t="s">
        <v>1201</v>
      </c>
      <c r="D739" s="37" t="s">
        <v>1372</v>
      </c>
      <c r="E739" s="37" t="s">
        <v>1373</v>
      </c>
      <c r="F739" s="37" t="s">
        <v>537</v>
      </c>
      <c r="G739" s="37"/>
      <c r="H739" s="37" t="s">
        <v>63</v>
      </c>
      <c r="I739" s="37"/>
      <c r="J739" s="37" t="s">
        <v>296</v>
      </c>
      <c r="K739" s="37" t="s">
        <v>1202</v>
      </c>
      <c r="L739" s="39" t="n">
        <v>2</v>
      </c>
      <c r="M739" s="39" t="n">
        <v>2</v>
      </c>
      <c r="N739" s="39" t="n">
        <v>2</v>
      </c>
      <c r="O739" s="39" t="n">
        <v>0</v>
      </c>
      <c r="P739" s="39" t="n">
        <v>0</v>
      </c>
      <c r="Q739" s="39" t="n">
        <v>0</v>
      </c>
      <c r="R739" s="39" t="n">
        <v>0</v>
      </c>
      <c r="S739" s="39" t="n">
        <v>0</v>
      </c>
      <c r="T739" s="40" t="n">
        <f aca="false">IF(M739=0,0,N739/M739)</f>
        <v>1</v>
      </c>
      <c r="U739" s="40" t="n">
        <f aca="false">IF(M739=0,0,O739/M739)</f>
        <v>0</v>
      </c>
      <c r="V739" s="41" t="n">
        <f aca="false">IF(M739=0,0,P739/M739)</f>
        <v>0</v>
      </c>
      <c r="W739" s="40" t="n">
        <f aca="false">IF(L739=0,0,Q739/L739)</f>
        <v>0</v>
      </c>
    </row>
    <row r="740" customFormat="false" ht="15" hidden="false" customHeight="false" outlineLevel="0" collapsed="false">
      <c r="A740" s="37" t="s">
        <v>2065</v>
      </c>
      <c r="B740" s="38" t="n">
        <v>46006.6878472222</v>
      </c>
      <c r="C740" s="37" t="s">
        <v>1252</v>
      </c>
      <c r="D740" s="37" t="s">
        <v>166</v>
      </c>
      <c r="E740" s="37" t="s">
        <v>166</v>
      </c>
      <c r="F740" s="37" t="s">
        <v>623</v>
      </c>
      <c r="G740" s="37" t="s">
        <v>2002</v>
      </c>
      <c r="H740" s="37" t="s">
        <v>61</v>
      </c>
      <c r="I740" s="37" t="s">
        <v>180</v>
      </c>
      <c r="J740" s="37" t="s">
        <v>164</v>
      </c>
      <c r="K740" s="37" t="s">
        <v>1202</v>
      </c>
      <c r="L740" s="39" t="n">
        <v>124</v>
      </c>
      <c r="M740" s="39" t="n">
        <v>124</v>
      </c>
      <c r="N740" s="39" t="n">
        <v>60</v>
      </c>
      <c r="O740" s="39" t="n">
        <v>7</v>
      </c>
      <c r="P740" s="39" t="n">
        <v>0</v>
      </c>
      <c r="Q740" s="39" t="n">
        <v>0</v>
      </c>
      <c r="R740" s="39" t="n">
        <v>0</v>
      </c>
      <c r="S740" s="39" t="n">
        <v>0</v>
      </c>
      <c r="T740" s="40" t="n">
        <f aca="false">IF(M740=0,0,N740/M740)</f>
        <v>0.483870967741936</v>
      </c>
      <c r="U740" s="40" t="n">
        <f aca="false">IF(M740=0,0,O740/M740)</f>
        <v>0.0564516129032258</v>
      </c>
      <c r="V740" s="41" t="n">
        <f aca="false">IF(M740=0,0,P740/M740)</f>
        <v>0</v>
      </c>
      <c r="W740" s="40" t="n">
        <f aca="false">IF(L740=0,0,Q740/L740)</f>
        <v>0</v>
      </c>
    </row>
    <row r="741" customFormat="false" ht="15" hidden="false" customHeight="false" outlineLevel="0" collapsed="false">
      <c r="A741" s="37" t="s">
        <v>2066</v>
      </c>
      <c r="B741" s="38" t="n">
        <v>46006.3750694445</v>
      </c>
      <c r="C741" s="37" t="s">
        <v>1201</v>
      </c>
      <c r="D741" s="37" t="s">
        <v>1372</v>
      </c>
      <c r="E741" s="37" t="s">
        <v>1373</v>
      </c>
      <c r="F741" s="37" t="s">
        <v>537</v>
      </c>
      <c r="G741" s="37"/>
      <c r="H741" s="37" t="s">
        <v>64</v>
      </c>
      <c r="I741" s="37"/>
      <c r="J741" s="37" t="s">
        <v>296</v>
      </c>
      <c r="K741" s="37" t="s">
        <v>1202</v>
      </c>
      <c r="L741" s="39" t="n">
        <v>2</v>
      </c>
      <c r="M741" s="39" t="n">
        <v>2</v>
      </c>
      <c r="N741" s="39" t="n">
        <v>2</v>
      </c>
      <c r="O741" s="39" t="n">
        <v>0</v>
      </c>
      <c r="P741" s="39" t="n">
        <v>0</v>
      </c>
      <c r="Q741" s="39" t="n">
        <v>0</v>
      </c>
      <c r="R741" s="39" t="n">
        <v>0</v>
      </c>
      <c r="S741" s="39" t="n">
        <v>0</v>
      </c>
      <c r="T741" s="40" t="n">
        <f aca="false">IF(M741=0,0,N741/M741)</f>
        <v>1</v>
      </c>
      <c r="U741" s="40" t="n">
        <f aca="false">IF(M741=0,0,O741/M741)</f>
        <v>0</v>
      </c>
      <c r="V741" s="41" t="n">
        <f aca="false">IF(M741=0,0,P741/M741)</f>
        <v>0</v>
      </c>
      <c r="W741" s="40" t="n">
        <f aca="false">IF(L741=0,0,Q741/L741)</f>
        <v>0</v>
      </c>
    </row>
    <row r="742" customFormat="false" ht="15" hidden="false" customHeight="false" outlineLevel="0" collapsed="false">
      <c r="A742" s="37" t="s">
        <v>2067</v>
      </c>
      <c r="B742" s="38" t="n">
        <v>46006.3337384259</v>
      </c>
      <c r="C742" s="37" t="s">
        <v>1252</v>
      </c>
      <c r="D742" s="37" t="s">
        <v>166</v>
      </c>
      <c r="E742" s="37" t="s">
        <v>166</v>
      </c>
      <c r="F742" s="37" t="s">
        <v>671</v>
      </c>
      <c r="G742" s="37" t="s">
        <v>1997</v>
      </c>
      <c r="H742" s="37" t="s">
        <v>61</v>
      </c>
      <c r="I742" s="37" t="s">
        <v>174</v>
      </c>
      <c r="J742" s="37" t="s">
        <v>164</v>
      </c>
      <c r="K742" s="37" t="s">
        <v>1202</v>
      </c>
      <c r="L742" s="39" t="n">
        <v>903</v>
      </c>
      <c r="M742" s="39" t="n">
        <v>895</v>
      </c>
      <c r="N742" s="39" t="n">
        <v>446</v>
      </c>
      <c r="O742" s="39" t="n">
        <v>16</v>
      </c>
      <c r="P742" s="39" t="n">
        <v>5</v>
      </c>
      <c r="Q742" s="39" t="n">
        <v>8</v>
      </c>
      <c r="R742" s="39" t="n">
        <v>2</v>
      </c>
      <c r="S742" s="39" t="n">
        <v>0</v>
      </c>
      <c r="T742" s="40" t="n">
        <f aca="false">IF(M742=0,0,N742/M742)</f>
        <v>0.498324022346369</v>
      </c>
      <c r="U742" s="40" t="n">
        <f aca="false">IF(M742=0,0,O742/M742)</f>
        <v>0.017877094972067</v>
      </c>
      <c r="V742" s="41" t="n">
        <f aca="false">IF(M742=0,0,P742/M742)</f>
        <v>0.00558659217877095</v>
      </c>
      <c r="W742" s="40" t="n">
        <f aca="false">IF(L742=0,0,Q742/L742)</f>
        <v>0.008859357696567</v>
      </c>
    </row>
    <row r="743" customFormat="false" ht="15" hidden="false" customHeight="false" outlineLevel="0" collapsed="false">
      <c r="A743" s="37" t="s">
        <v>2068</v>
      </c>
      <c r="B743" s="38" t="n">
        <v>46006.268125</v>
      </c>
      <c r="C743" s="37" t="s">
        <v>1201</v>
      </c>
      <c r="D743" s="37" t="s">
        <v>1211</v>
      </c>
      <c r="E743" s="37" t="s">
        <v>1212</v>
      </c>
      <c r="F743" s="37" t="s">
        <v>544</v>
      </c>
      <c r="G743" s="37"/>
      <c r="H743" s="37" t="s">
        <v>60</v>
      </c>
      <c r="I743" s="37"/>
      <c r="J743" s="37" t="s">
        <v>100</v>
      </c>
      <c r="K743" s="37" t="s">
        <v>1213</v>
      </c>
      <c r="L743" s="39" t="n">
        <v>130</v>
      </c>
      <c r="M743" s="39" t="n">
        <v>130</v>
      </c>
      <c r="N743" s="39" t="n">
        <v>74</v>
      </c>
      <c r="O743" s="39" t="n">
        <v>5</v>
      </c>
      <c r="P743" s="39" t="n">
        <v>0</v>
      </c>
      <c r="Q743" s="39" t="n">
        <v>0</v>
      </c>
      <c r="R743" s="39" t="n">
        <v>0</v>
      </c>
      <c r="S743" s="39" t="n">
        <v>0</v>
      </c>
      <c r="T743" s="40" t="n">
        <f aca="false">IF(M743=0,0,N743/M743)</f>
        <v>0.569230769230769</v>
      </c>
      <c r="U743" s="40" t="n">
        <f aca="false">IF(M743=0,0,O743/M743)</f>
        <v>0.0384615384615385</v>
      </c>
      <c r="V743" s="41" t="n">
        <f aca="false">IF(M743=0,0,P743/M743)</f>
        <v>0</v>
      </c>
      <c r="W743" s="40" t="n">
        <f aca="false">IF(L743=0,0,Q743/L743)</f>
        <v>0</v>
      </c>
    </row>
    <row r="744" customFormat="false" ht="15" hidden="false" customHeight="false" outlineLevel="0" collapsed="false">
      <c r="A744" s="37" t="s">
        <v>2069</v>
      </c>
      <c r="B744" s="38" t="n">
        <v>46006.2502199074</v>
      </c>
      <c r="C744" s="37" t="s">
        <v>1201</v>
      </c>
      <c r="D744" s="37" t="s">
        <v>251</v>
      </c>
      <c r="E744" s="37" t="s">
        <v>252</v>
      </c>
      <c r="F744" s="37" t="s">
        <v>667</v>
      </c>
      <c r="G744" s="37"/>
      <c r="H744" s="37" t="s">
        <v>60</v>
      </c>
      <c r="I744" s="37"/>
      <c r="J744" s="37" t="s">
        <v>109</v>
      </c>
      <c r="K744" s="37" t="s">
        <v>1202</v>
      </c>
      <c r="L744" s="39" t="n">
        <v>277</v>
      </c>
      <c r="M744" s="39" t="n">
        <v>277</v>
      </c>
      <c r="N744" s="39" t="n">
        <v>92</v>
      </c>
      <c r="O744" s="39" t="n">
        <v>14</v>
      </c>
      <c r="P744" s="39" t="n">
        <v>0</v>
      </c>
      <c r="Q744" s="39" t="n">
        <v>0</v>
      </c>
      <c r="R744" s="39" t="n">
        <v>0</v>
      </c>
      <c r="S744" s="39" t="n">
        <v>0</v>
      </c>
      <c r="T744" s="40" t="n">
        <f aca="false">IF(M744=0,0,N744/M744)</f>
        <v>0.332129963898917</v>
      </c>
      <c r="U744" s="40" t="n">
        <f aca="false">IF(M744=0,0,O744/M744)</f>
        <v>0.0505415162454874</v>
      </c>
      <c r="V744" s="41" t="n">
        <f aca="false">IF(M744=0,0,P744/M744)</f>
        <v>0</v>
      </c>
      <c r="W744" s="40" t="n">
        <f aca="false">IF(L744=0,0,Q744/L744)</f>
        <v>0</v>
      </c>
    </row>
    <row r="745" customFormat="false" ht="15" hidden="false" customHeight="false" outlineLevel="0" collapsed="false">
      <c r="A745" s="37" t="s">
        <v>2070</v>
      </c>
      <c r="B745" s="38" t="n">
        <v>46006.0108564815</v>
      </c>
      <c r="C745" s="37" t="s">
        <v>1201</v>
      </c>
      <c r="D745" s="37" t="s">
        <v>1372</v>
      </c>
      <c r="E745" s="37" t="s">
        <v>1373</v>
      </c>
      <c r="F745" s="37" t="s">
        <v>537</v>
      </c>
      <c r="G745" s="37"/>
      <c r="H745" s="37" t="s">
        <v>63</v>
      </c>
      <c r="I745" s="37"/>
      <c r="J745" s="37" t="s">
        <v>296</v>
      </c>
      <c r="K745" s="37" t="s">
        <v>1202</v>
      </c>
      <c r="L745" s="39" t="n">
        <v>2</v>
      </c>
      <c r="M745" s="39" t="n">
        <v>2</v>
      </c>
      <c r="N745" s="39" t="n">
        <v>2</v>
      </c>
      <c r="O745" s="39" t="n">
        <v>0</v>
      </c>
      <c r="P745" s="39" t="n">
        <v>0</v>
      </c>
      <c r="Q745" s="39" t="n">
        <v>0</v>
      </c>
      <c r="R745" s="39" t="n">
        <v>0</v>
      </c>
      <c r="S745" s="39" t="n">
        <v>0</v>
      </c>
      <c r="T745" s="40" t="n">
        <f aca="false">IF(M745=0,0,N745/M745)</f>
        <v>1</v>
      </c>
      <c r="U745" s="40" t="n">
        <f aca="false">IF(M745=0,0,O745/M745)</f>
        <v>0</v>
      </c>
      <c r="V745" s="41" t="n">
        <f aca="false">IF(M745=0,0,P745/M745)</f>
        <v>0</v>
      </c>
      <c r="W745" s="40" t="n">
        <f aca="false">IF(L745=0,0,Q745/L745)</f>
        <v>0</v>
      </c>
    </row>
    <row r="746" customFormat="false" ht="15" hidden="false" customHeight="false" outlineLevel="0" collapsed="false">
      <c r="A746" s="37" t="s">
        <v>2071</v>
      </c>
      <c r="B746" s="38" t="n">
        <v>46005.3960648148</v>
      </c>
      <c r="C746" s="37" t="s">
        <v>1201</v>
      </c>
      <c r="D746" s="37" t="s">
        <v>1372</v>
      </c>
      <c r="E746" s="37" t="s">
        <v>1373</v>
      </c>
      <c r="F746" s="37" t="s">
        <v>537</v>
      </c>
      <c r="G746" s="37"/>
      <c r="H746" s="37" t="s">
        <v>60</v>
      </c>
      <c r="I746" s="37"/>
      <c r="J746" s="37" t="s">
        <v>296</v>
      </c>
      <c r="K746" s="37" t="s">
        <v>1202</v>
      </c>
      <c r="L746" s="39" t="n">
        <v>1</v>
      </c>
      <c r="M746" s="39" t="n">
        <v>1</v>
      </c>
      <c r="N746" s="39" t="n">
        <v>1</v>
      </c>
      <c r="O746" s="39" t="n">
        <v>0</v>
      </c>
      <c r="P746" s="39" t="n">
        <v>0</v>
      </c>
      <c r="Q746" s="39" t="n">
        <v>0</v>
      </c>
      <c r="R746" s="39" t="n">
        <v>0</v>
      </c>
      <c r="S746" s="39" t="n">
        <v>0</v>
      </c>
      <c r="T746" s="40" t="n">
        <f aca="false">IF(M746=0,0,N746/M746)</f>
        <v>1</v>
      </c>
      <c r="U746" s="40" t="n">
        <f aca="false">IF(M746=0,0,O746/M746)</f>
        <v>0</v>
      </c>
      <c r="V746" s="41" t="n">
        <f aca="false">IF(M746=0,0,P746/M746)</f>
        <v>0</v>
      </c>
      <c r="W746" s="40" t="n">
        <f aca="false">IF(L746=0,0,Q746/L746)</f>
        <v>0</v>
      </c>
    </row>
    <row r="747" customFormat="false" ht="15" hidden="false" customHeight="false" outlineLevel="0" collapsed="false">
      <c r="A747" s="37" t="s">
        <v>2072</v>
      </c>
      <c r="B747" s="38" t="n">
        <v>46005.0110532407</v>
      </c>
      <c r="C747" s="37" t="s">
        <v>1201</v>
      </c>
      <c r="D747" s="37" t="s">
        <v>1372</v>
      </c>
      <c r="E747" s="37" t="s">
        <v>1373</v>
      </c>
      <c r="F747" s="37" t="s">
        <v>537</v>
      </c>
      <c r="G747" s="37"/>
      <c r="H747" s="37" t="s">
        <v>63</v>
      </c>
      <c r="I747" s="37"/>
      <c r="J747" s="37" t="s">
        <v>296</v>
      </c>
      <c r="K747" s="37" t="s">
        <v>1202</v>
      </c>
      <c r="L747" s="39" t="n">
        <v>2</v>
      </c>
      <c r="M747" s="39" t="n">
        <v>2</v>
      </c>
      <c r="N747" s="39" t="n">
        <v>2</v>
      </c>
      <c r="O747" s="39" t="n">
        <v>0</v>
      </c>
      <c r="P747" s="39" t="n">
        <v>0</v>
      </c>
      <c r="Q747" s="39" t="n">
        <v>0</v>
      </c>
      <c r="R747" s="39" t="n">
        <v>0</v>
      </c>
      <c r="S747" s="39" t="n">
        <v>0</v>
      </c>
      <c r="T747" s="40" t="n">
        <f aca="false">IF(M747=0,0,N747/M747)</f>
        <v>1</v>
      </c>
      <c r="U747" s="40" t="n">
        <f aca="false">IF(M747=0,0,O747/M747)</f>
        <v>0</v>
      </c>
      <c r="V747" s="41" t="n">
        <f aca="false">IF(M747=0,0,P747/M747)</f>
        <v>0</v>
      </c>
      <c r="W747" s="40" t="n">
        <f aca="false">IF(L747=0,0,Q747/L747)</f>
        <v>0</v>
      </c>
    </row>
    <row r="748" customFormat="false" ht="15" hidden="false" customHeight="false" outlineLevel="0" collapsed="false">
      <c r="A748" s="37" t="s">
        <v>2073</v>
      </c>
      <c r="B748" s="38" t="n">
        <v>46004.3544212963</v>
      </c>
      <c r="C748" s="37" t="s">
        <v>1201</v>
      </c>
      <c r="D748" s="37" t="s">
        <v>1372</v>
      </c>
      <c r="E748" s="37" t="s">
        <v>1373</v>
      </c>
      <c r="F748" s="37" t="s">
        <v>537</v>
      </c>
      <c r="G748" s="37"/>
      <c r="H748" s="37" t="s">
        <v>63</v>
      </c>
      <c r="I748" s="37"/>
      <c r="J748" s="37" t="s">
        <v>296</v>
      </c>
      <c r="K748" s="37" t="s">
        <v>1202</v>
      </c>
      <c r="L748" s="39" t="n">
        <v>2</v>
      </c>
      <c r="M748" s="39" t="n">
        <v>2</v>
      </c>
      <c r="N748" s="39" t="n">
        <v>2</v>
      </c>
      <c r="O748" s="39" t="n">
        <v>0</v>
      </c>
      <c r="P748" s="39" t="n">
        <v>0</v>
      </c>
      <c r="Q748" s="39" t="n">
        <v>0</v>
      </c>
      <c r="R748" s="39" t="n">
        <v>0</v>
      </c>
      <c r="S748" s="39" t="n">
        <v>0</v>
      </c>
      <c r="T748" s="40" t="n">
        <f aca="false">IF(M748=0,0,N748/M748)</f>
        <v>1</v>
      </c>
      <c r="U748" s="40" t="n">
        <f aca="false">IF(M748=0,0,O748/M748)</f>
        <v>0</v>
      </c>
      <c r="V748" s="41" t="n">
        <f aca="false">IF(M748=0,0,P748/M748)</f>
        <v>0</v>
      </c>
      <c r="W748" s="40" t="n">
        <f aca="false">IF(L748=0,0,Q748/L748)</f>
        <v>0</v>
      </c>
    </row>
    <row r="749" customFormat="false" ht="15" hidden="false" customHeight="false" outlineLevel="0" collapsed="false">
      <c r="A749" s="37" t="s">
        <v>2074</v>
      </c>
      <c r="B749" s="38" t="n">
        <v>46003.8754166667</v>
      </c>
      <c r="C749" s="37" t="s">
        <v>1201</v>
      </c>
      <c r="D749" s="37" t="s">
        <v>1372</v>
      </c>
      <c r="E749" s="37" t="s">
        <v>1373</v>
      </c>
      <c r="F749" s="37" t="s">
        <v>537</v>
      </c>
      <c r="G749" s="37"/>
      <c r="H749" s="37" t="s">
        <v>60</v>
      </c>
      <c r="I749" s="37"/>
      <c r="J749" s="37" t="s">
        <v>296</v>
      </c>
      <c r="K749" s="37" t="s">
        <v>1202</v>
      </c>
      <c r="L749" s="39" t="n">
        <v>2</v>
      </c>
      <c r="M749" s="39" t="n">
        <v>2</v>
      </c>
      <c r="N749" s="39" t="n">
        <v>2</v>
      </c>
      <c r="O749" s="39" t="n">
        <v>0</v>
      </c>
      <c r="P749" s="39" t="n">
        <v>0</v>
      </c>
      <c r="Q749" s="39" t="n">
        <v>0</v>
      </c>
      <c r="R749" s="39" t="n">
        <v>0</v>
      </c>
      <c r="S749" s="39" t="n">
        <v>0</v>
      </c>
      <c r="T749" s="40" t="n">
        <f aca="false">IF(M749=0,0,N749/M749)</f>
        <v>1</v>
      </c>
      <c r="U749" s="40" t="n">
        <f aca="false">IF(M749=0,0,O749/M749)</f>
        <v>0</v>
      </c>
      <c r="V749" s="41" t="n">
        <f aca="false">IF(M749=0,0,P749/M749)</f>
        <v>0</v>
      </c>
      <c r="W749" s="40" t="n">
        <f aca="false">IF(L749=0,0,Q749/L749)</f>
        <v>0</v>
      </c>
    </row>
    <row r="750" customFormat="false" ht="15" hidden="false" customHeight="false" outlineLevel="0" collapsed="false">
      <c r="A750" s="37" t="s">
        <v>2075</v>
      </c>
      <c r="B750" s="38" t="n">
        <v>46003.3547685185</v>
      </c>
      <c r="C750" s="37" t="s">
        <v>1201</v>
      </c>
      <c r="D750" s="37" t="s">
        <v>1372</v>
      </c>
      <c r="E750" s="37" t="s">
        <v>1373</v>
      </c>
      <c r="F750" s="37" t="s">
        <v>537</v>
      </c>
      <c r="G750" s="37"/>
      <c r="H750" s="37" t="s">
        <v>60</v>
      </c>
      <c r="I750" s="37"/>
      <c r="J750" s="37" t="s">
        <v>296</v>
      </c>
      <c r="K750" s="37" t="s">
        <v>1202</v>
      </c>
      <c r="L750" s="39" t="n">
        <v>2</v>
      </c>
      <c r="M750" s="39" t="n">
        <v>2</v>
      </c>
      <c r="N750" s="39" t="n">
        <v>2</v>
      </c>
      <c r="O750" s="39" t="n">
        <v>0</v>
      </c>
      <c r="P750" s="39" t="n">
        <v>0</v>
      </c>
      <c r="Q750" s="39" t="n">
        <v>0</v>
      </c>
      <c r="R750" s="39" t="n">
        <v>0</v>
      </c>
      <c r="S750" s="39" t="n">
        <v>0</v>
      </c>
      <c r="T750" s="40" t="n">
        <f aca="false">IF(M750=0,0,N750/M750)</f>
        <v>1</v>
      </c>
      <c r="U750" s="40" t="n">
        <f aca="false">IF(M750=0,0,O750/M750)</f>
        <v>0</v>
      </c>
      <c r="V750" s="41" t="n">
        <f aca="false">IF(M750=0,0,P750/M750)</f>
        <v>0</v>
      </c>
      <c r="W750" s="40" t="n">
        <f aca="false">IF(L750=0,0,Q750/L750)</f>
        <v>0</v>
      </c>
    </row>
    <row r="751" customFormat="false" ht="15" hidden="false" customHeight="false" outlineLevel="0" collapsed="false">
      <c r="A751" s="37" t="s">
        <v>2076</v>
      </c>
      <c r="B751" s="38" t="n">
        <v>46003.0006712963</v>
      </c>
      <c r="C751" s="37" t="s">
        <v>1201</v>
      </c>
      <c r="D751" s="37" t="s">
        <v>1372</v>
      </c>
      <c r="E751" s="37" t="s">
        <v>1373</v>
      </c>
      <c r="F751" s="37" t="s">
        <v>537</v>
      </c>
      <c r="G751" s="37"/>
      <c r="H751" s="37" t="s">
        <v>60</v>
      </c>
      <c r="I751" s="37"/>
      <c r="J751" s="37" t="s">
        <v>296</v>
      </c>
      <c r="K751" s="37" t="s">
        <v>1202</v>
      </c>
      <c r="L751" s="39" t="n">
        <v>2</v>
      </c>
      <c r="M751" s="39" t="n">
        <v>2</v>
      </c>
      <c r="N751" s="39" t="n">
        <v>1</v>
      </c>
      <c r="O751" s="39" t="n">
        <v>0</v>
      </c>
      <c r="P751" s="39" t="n">
        <v>0</v>
      </c>
      <c r="Q751" s="39" t="n">
        <v>0</v>
      </c>
      <c r="R751" s="39" t="n">
        <v>0</v>
      </c>
      <c r="S751" s="39" t="n">
        <v>0</v>
      </c>
      <c r="T751" s="40" t="n">
        <f aca="false">IF(M751=0,0,N751/M751)</f>
        <v>0.5</v>
      </c>
      <c r="U751" s="40" t="n">
        <f aca="false">IF(M751=0,0,O751/M751)</f>
        <v>0</v>
      </c>
      <c r="V751" s="41" t="n">
        <f aca="false">IF(M751=0,0,P751/M751)</f>
        <v>0</v>
      </c>
      <c r="W751" s="40" t="n">
        <f aca="false">IF(L751=0,0,Q751/L751)</f>
        <v>0</v>
      </c>
    </row>
    <row r="752" customFormat="false" ht="15" hidden="false" customHeight="false" outlineLevel="0" collapsed="false">
      <c r="A752" s="37" t="s">
        <v>2077</v>
      </c>
      <c r="B752" s="38" t="n">
        <v>46002.7506018519</v>
      </c>
      <c r="C752" s="37" t="s">
        <v>1252</v>
      </c>
      <c r="D752" s="37" t="s">
        <v>635</v>
      </c>
      <c r="E752" s="37" t="s">
        <v>166</v>
      </c>
      <c r="F752" s="37" t="s">
        <v>623</v>
      </c>
      <c r="G752" s="37" t="s">
        <v>1880</v>
      </c>
      <c r="H752" s="37" t="s">
        <v>61</v>
      </c>
      <c r="I752" s="37" t="s">
        <v>255</v>
      </c>
      <c r="J752" s="37" t="s">
        <v>164</v>
      </c>
      <c r="K752" s="37" t="s">
        <v>1202</v>
      </c>
      <c r="L752" s="39" t="n">
        <v>28</v>
      </c>
      <c r="M752" s="39" t="n">
        <v>28</v>
      </c>
      <c r="N752" s="39" t="n">
        <v>14</v>
      </c>
      <c r="O752" s="39" t="n">
        <v>0</v>
      </c>
      <c r="P752" s="39" t="n">
        <v>0</v>
      </c>
      <c r="Q752" s="39" t="n">
        <v>0</v>
      </c>
      <c r="R752" s="39" t="n">
        <v>0</v>
      </c>
      <c r="S752" s="39" t="n">
        <v>0</v>
      </c>
      <c r="T752" s="40" t="n">
        <f aca="false">IF(M752=0,0,N752/M752)</f>
        <v>0.5</v>
      </c>
      <c r="U752" s="40" t="n">
        <f aca="false">IF(M752=0,0,O752/M752)</f>
        <v>0</v>
      </c>
      <c r="V752" s="41" t="n">
        <f aca="false">IF(M752=0,0,P752/M752)</f>
        <v>0</v>
      </c>
      <c r="W752" s="40" t="n">
        <f aca="false">IF(L752=0,0,Q752/L752)</f>
        <v>0</v>
      </c>
    </row>
    <row r="753" customFormat="false" ht="15" hidden="false" customHeight="false" outlineLevel="0" collapsed="false">
      <c r="A753" s="37" t="s">
        <v>2078</v>
      </c>
      <c r="B753" s="38" t="n">
        <v>46002.6880787037</v>
      </c>
      <c r="C753" s="37" t="s">
        <v>1252</v>
      </c>
      <c r="D753" s="37" t="s">
        <v>1392</v>
      </c>
      <c r="E753" s="37" t="s">
        <v>166</v>
      </c>
      <c r="F753" s="37" t="s">
        <v>671</v>
      </c>
      <c r="G753" s="37" t="s">
        <v>1734</v>
      </c>
      <c r="H753" s="37" t="s">
        <v>61</v>
      </c>
      <c r="I753" s="37" t="s">
        <v>260</v>
      </c>
      <c r="J753" s="37" t="s">
        <v>164</v>
      </c>
      <c r="K753" s="37" t="s">
        <v>1202</v>
      </c>
      <c r="L753" s="39" t="n">
        <v>24</v>
      </c>
      <c r="M753" s="39" t="n">
        <v>24</v>
      </c>
      <c r="N753" s="39" t="n">
        <v>16</v>
      </c>
      <c r="O753" s="39" t="n">
        <v>0</v>
      </c>
      <c r="P753" s="39" t="n">
        <v>0</v>
      </c>
      <c r="Q753" s="39" t="n">
        <v>0</v>
      </c>
      <c r="R753" s="39" t="n">
        <v>0</v>
      </c>
      <c r="S753" s="39" t="n">
        <v>0</v>
      </c>
      <c r="T753" s="40" t="n">
        <f aca="false">IF(M753=0,0,N753/M753)</f>
        <v>0.666666666666667</v>
      </c>
      <c r="U753" s="40" t="n">
        <f aca="false">IF(M753=0,0,O753/M753)</f>
        <v>0</v>
      </c>
      <c r="V753" s="41" t="n">
        <f aca="false">IF(M753=0,0,P753/M753)</f>
        <v>0</v>
      </c>
      <c r="W753" s="40" t="n">
        <f aca="false">IF(L753=0,0,Q753/L753)</f>
        <v>0</v>
      </c>
    </row>
    <row r="754" customFormat="false" ht="15" hidden="false" customHeight="false" outlineLevel="0" collapsed="false">
      <c r="A754" s="37" t="s">
        <v>2079</v>
      </c>
      <c r="B754" s="38" t="n">
        <v>46002.3421412037</v>
      </c>
      <c r="C754" s="37" t="s">
        <v>1201</v>
      </c>
      <c r="D754" s="37" t="s">
        <v>1372</v>
      </c>
      <c r="E754" s="37" t="s">
        <v>1373</v>
      </c>
      <c r="F754" s="37" t="s">
        <v>537</v>
      </c>
      <c r="G754" s="37"/>
      <c r="H754" s="37" t="s">
        <v>63</v>
      </c>
      <c r="I754" s="37"/>
      <c r="J754" s="37" t="s">
        <v>296</v>
      </c>
      <c r="K754" s="37" t="s">
        <v>1202</v>
      </c>
      <c r="L754" s="39" t="n">
        <v>2</v>
      </c>
      <c r="M754" s="39" t="n">
        <v>2</v>
      </c>
      <c r="N754" s="39" t="n">
        <v>2</v>
      </c>
      <c r="O754" s="39" t="n">
        <v>0</v>
      </c>
      <c r="P754" s="39" t="n">
        <v>0</v>
      </c>
      <c r="Q754" s="39" t="n">
        <v>0</v>
      </c>
      <c r="R754" s="39" t="n">
        <v>0</v>
      </c>
      <c r="S754" s="39" t="n">
        <v>0</v>
      </c>
      <c r="T754" s="40" t="n">
        <f aca="false">IF(M754=0,0,N754/M754)</f>
        <v>1</v>
      </c>
      <c r="U754" s="40" t="n">
        <f aca="false">IF(M754=0,0,O754/M754)</f>
        <v>0</v>
      </c>
      <c r="V754" s="41" t="n">
        <f aca="false">IF(M754=0,0,P754/M754)</f>
        <v>0</v>
      </c>
      <c r="W754" s="40" t="n">
        <f aca="false">IF(L754=0,0,Q754/L754)</f>
        <v>0</v>
      </c>
    </row>
    <row r="755" customFormat="false" ht="15" hidden="false" customHeight="false" outlineLevel="0" collapsed="false">
      <c r="A755" s="37" t="s">
        <v>2080</v>
      </c>
      <c r="B755" s="38" t="n">
        <v>46002.2713888889</v>
      </c>
      <c r="C755" s="37" t="s">
        <v>1201</v>
      </c>
      <c r="D755" s="37" t="s">
        <v>1372</v>
      </c>
      <c r="E755" s="37" t="s">
        <v>1373</v>
      </c>
      <c r="F755" s="37" t="s">
        <v>537</v>
      </c>
      <c r="G755" s="37"/>
      <c r="H755" s="37" t="s">
        <v>63</v>
      </c>
      <c r="I755" s="37"/>
      <c r="J755" s="37" t="s">
        <v>296</v>
      </c>
      <c r="K755" s="37" t="s">
        <v>1202</v>
      </c>
      <c r="L755" s="39" t="n">
        <v>2</v>
      </c>
      <c r="M755" s="39" t="n">
        <v>2</v>
      </c>
      <c r="N755" s="39" t="n">
        <v>2</v>
      </c>
      <c r="O755" s="39" t="n">
        <v>0</v>
      </c>
      <c r="P755" s="39" t="n">
        <v>0</v>
      </c>
      <c r="Q755" s="39" t="n">
        <v>0</v>
      </c>
      <c r="R755" s="39" t="n">
        <v>0</v>
      </c>
      <c r="S755" s="39" t="n">
        <v>0</v>
      </c>
      <c r="T755" s="40" t="n">
        <f aca="false">IF(M755=0,0,N755/M755)</f>
        <v>1</v>
      </c>
      <c r="U755" s="40" t="n">
        <f aca="false">IF(M755=0,0,O755/M755)</f>
        <v>0</v>
      </c>
      <c r="V755" s="41" t="n">
        <f aca="false">IF(M755=0,0,P755/M755)</f>
        <v>0</v>
      </c>
      <c r="W755" s="40" t="n">
        <f aca="false">IF(L755=0,0,Q755/L755)</f>
        <v>0</v>
      </c>
    </row>
    <row r="756" customFormat="false" ht="15" hidden="false" customHeight="false" outlineLevel="0" collapsed="false">
      <c r="A756" s="37" t="s">
        <v>2081</v>
      </c>
      <c r="B756" s="38" t="n">
        <v>46002.271099537</v>
      </c>
      <c r="C756" s="37" t="s">
        <v>1201</v>
      </c>
      <c r="D756" s="37" t="s">
        <v>1372</v>
      </c>
      <c r="E756" s="37" t="s">
        <v>1373</v>
      </c>
      <c r="F756" s="37" t="s">
        <v>537</v>
      </c>
      <c r="G756" s="37"/>
      <c r="H756" s="37" t="s">
        <v>60</v>
      </c>
      <c r="I756" s="37"/>
      <c r="J756" s="37" t="s">
        <v>296</v>
      </c>
      <c r="K756" s="37" t="s">
        <v>1202</v>
      </c>
      <c r="L756" s="39" t="n">
        <v>2</v>
      </c>
      <c r="M756" s="39" t="n">
        <v>2</v>
      </c>
      <c r="N756" s="39" t="n">
        <v>2</v>
      </c>
      <c r="O756" s="39" t="n">
        <v>0</v>
      </c>
      <c r="P756" s="39" t="n">
        <v>0</v>
      </c>
      <c r="Q756" s="39" t="n">
        <v>0</v>
      </c>
      <c r="R756" s="39" t="n">
        <v>0</v>
      </c>
      <c r="S756" s="39" t="n">
        <v>0</v>
      </c>
      <c r="T756" s="40" t="n">
        <f aca="false">IF(M756=0,0,N756/M756)</f>
        <v>1</v>
      </c>
      <c r="U756" s="40" t="n">
        <f aca="false">IF(M756=0,0,O756/M756)</f>
        <v>0</v>
      </c>
      <c r="V756" s="41" t="n">
        <f aca="false">IF(M756=0,0,P756/M756)</f>
        <v>0</v>
      </c>
      <c r="W756" s="40" t="n">
        <f aca="false">IF(L756=0,0,Q756/L756)</f>
        <v>0</v>
      </c>
    </row>
    <row r="757" customFormat="false" ht="15" hidden="false" customHeight="false" outlineLevel="0" collapsed="false">
      <c r="A757" s="37" t="s">
        <v>2082</v>
      </c>
      <c r="B757" s="38" t="n">
        <v>46002.0003240741</v>
      </c>
      <c r="C757" s="37" t="s">
        <v>1201</v>
      </c>
      <c r="D757" s="37" t="s">
        <v>1372</v>
      </c>
      <c r="E757" s="37" t="s">
        <v>1373</v>
      </c>
      <c r="F757" s="37" t="s">
        <v>537</v>
      </c>
      <c r="G757" s="37"/>
      <c r="H757" s="37" t="s">
        <v>60</v>
      </c>
      <c r="I757" s="37"/>
      <c r="J757" s="37" t="s">
        <v>296</v>
      </c>
      <c r="K757" s="37" t="s">
        <v>1202</v>
      </c>
      <c r="L757" s="39" t="n">
        <v>2</v>
      </c>
      <c r="M757" s="39" t="n">
        <v>2</v>
      </c>
      <c r="N757" s="39" t="n">
        <v>2</v>
      </c>
      <c r="O757" s="39" t="n">
        <v>0</v>
      </c>
      <c r="P757" s="39" t="n">
        <v>0</v>
      </c>
      <c r="Q757" s="39" t="n">
        <v>0</v>
      </c>
      <c r="R757" s="39" t="n">
        <v>0</v>
      </c>
      <c r="S757" s="39" t="n">
        <v>0</v>
      </c>
      <c r="T757" s="40" t="n">
        <f aca="false">IF(M757=0,0,N757/M757)</f>
        <v>1</v>
      </c>
      <c r="U757" s="40" t="n">
        <f aca="false">IF(M757=0,0,O757/M757)</f>
        <v>0</v>
      </c>
      <c r="V757" s="41" t="n">
        <f aca="false">IF(M757=0,0,P757/M757)</f>
        <v>0</v>
      </c>
      <c r="W757" s="40" t="n">
        <f aca="false">IF(L757=0,0,Q757/L757)</f>
        <v>0</v>
      </c>
    </row>
    <row r="758" customFormat="false" ht="15" hidden="false" customHeight="false" outlineLevel="0" collapsed="false">
      <c r="A758" s="37" t="s">
        <v>2083</v>
      </c>
      <c r="B758" s="38" t="n">
        <v>46001.7966087963</v>
      </c>
      <c r="C758" s="37" t="s">
        <v>1201</v>
      </c>
      <c r="D758" s="37" t="s">
        <v>127</v>
      </c>
      <c r="E758" s="37" t="s">
        <v>178</v>
      </c>
      <c r="F758" s="37" t="s">
        <v>127</v>
      </c>
      <c r="G758" s="37"/>
      <c r="H758" s="37" t="s">
        <v>60</v>
      </c>
      <c r="I758" s="37"/>
      <c r="J758" s="37" t="s">
        <v>126</v>
      </c>
      <c r="K758" s="37" t="s">
        <v>1202</v>
      </c>
      <c r="L758" s="39" t="n">
        <v>56</v>
      </c>
      <c r="M758" s="39" t="n">
        <v>56</v>
      </c>
      <c r="N758" s="39" t="n">
        <v>26</v>
      </c>
      <c r="O758" s="39" t="n">
        <v>13</v>
      </c>
      <c r="P758" s="39" t="n">
        <v>0</v>
      </c>
      <c r="Q758" s="39" t="n">
        <v>0</v>
      </c>
      <c r="R758" s="39" t="n">
        <v>0</v>
      </c>
      <c r="S758" s="39" t="n">
        <v>0</v>
      </c>
      <c r="T758" s="40" t="n">
        <f aca="false">IF(M758=0,0,N758/M758)</f>
        <v>0.464285714285714</v>
      </c>
      <c r="U758" s="40" t="n">
        <f aca="false">IF(M758=0,0,O758/M758)</f>
        <v>0.232142857142857</v>
      </c>
      <c r="V758" s="41" t="n">
        <f aca="false">IF(M758=0,0,P758/M758)</f>
        <v>0</v>
      </c>
      <c r="W758" s="40" t="n">
        <f aca="false">IF(L758=0,0,Q758/L758)</f>
        <v>0</v>
      </c>
    </row>
    <row r="759" customFormat="false" ht="15" hidden="false" customHeight="false" outlineLevel="0" collapsed="false">
      <c r="A759" s="37" t="s">
        <v>2084</v>
      </c>
      <c r="B759" s="38" t="n">
        <v>46001.7708680556</v>
      </c>
      <c r="C759" s="37" t="s">
        <v>1201</v>
      </c>
      <c r="D759" s="37" t="s">
        <v>1372</v>
      </c>
      <c r="E759" s="37" t="s">
        <v>1373</v>
      </c>
      <c r="F759" s="37" t="s">
        <v>537</v>
      </c>
      <c r="G759" s="37"/>
      <c r="H759" s="37" t="s">
        <v>63</v>
      </c>
      <c r="I759" s="37"/>
      <c r="J759" s="37" t="s">
        <v>296</v>
      </c>
      <c r="K759" s="37" t="s">
        <v>1202</v>
      </c>
      <c r="L759" s="39" t="n">
        <v>2</v>
      </c>
      <c r="M759" s="39" t="n">
        <v>2</v>
      </c>
      <c r="N759" s="39" t="n">
        <v>2</v>
      </c>
      <c r="O759" s="39" t="n">
        <v>0</v>
      </c>
      <c r="P759" s="39" t="n">
        <v>0</v>
      </c>
      <c r="Q759" s="39" t="n">
        <v>0</v>
      </c>
      <c r="R759" s="39" t="n">
        <v>0</v>
      </c>
      <c r="S759" s="39" t="n">
        <v>0</v>
      </c>
      <c r="T759" s="40" t="n">
        <f aca="false">IF(M759=0,0,N759/M759)</f>
        <v>1</v>
      </c>
      <c r="U759" s="40" t="n">
        <f aca="false">IF(M759=0,0,O759/M759)</f>
        <v>0</v>
      </c>
      <c r="V759" s="41" t="n">
        <f aca="false">IF(M759=0,0,P759/M759)</f>
        <v>0</v>
      </c>
      <c r="W759" s="40" t="n">
        <f aca="false">IF(L759=0,0,Q759/L759)</f>
        <v>0</v>
      </c>
    </row>
    <row r="760" customFormat="false" ht="15" hidden="false" customHeight="false" outlineLevel="0" collapsed="false">
      <c r="A760" s="37" t="s">
        <v>2085</v>
      </c>
      <c r="B760" s="38" t="n">
        <v>46001.622337963</v>
      </c>
      <c r="C760" s="37" t="s">
        <v>1201</v>
      </c>
      <c r="D760" s="37" t="s">
        <v>1211</v>
      </c>
      <c r="E760" s="37" t="s">
        <v>1212</v>
      </c>
      <c r="F760" s="37" t="s">
        <v>544</v>
      </c>
      <c r="G760" s="37"/>
      <c r="H760" s="37" t="s">
        <v>64</v>
      </c>
      <c r="I760" s="37"/>
      <c r="J760" s="37" t="s">
        <v>100</v>
      </c>
      <c r="K760" s="37" t="s">
        <v>1213</v>
      </c>
      <c r="L760" s="39" t="n">
        <v>132</v>
      </c>
      <c r="M760" s="39" t="n">
        <v>132</v>
      </c>
      <c r="N760" s="39" t="n">
        <v>85</v>
      </c>
      <c r="O760" s="39" t="n">
        <v>20</v>
      </c>
      <c r="P760" s="39" t="n">
        <v>0</v>
      </c>
      <c r="Q760" s="39" t="n">
        <v>0</v>
      </c>
      <c r="R760" s="39" t="n">
        <v>0</v>
      </c>
      <c r="S760" s="39" t="n">
        <v>0</v>
      </c>
      <c r="T760" s="40" t="n">
        <f aca="false">IF(M760=0,0,N760/M760)</f>
        <v>0.643939393939394</v>
      </c>
      <c r="U760" s="40" t="n">
        <f aca="false">IF(M760=0,0,O760/M760)</f>
        <v>0.151515151515152</v>
      </c>
      <c r="V760" s="41" t="n">
        <f aca="false">IF(M760=0,0,P760/M760)</f>
        <v>0</v>
      </c>
      <c r="W760" s="40" t="n">
        <f aca="false">IF(L760=0,0,Q760/L760)</f>
        <v>0</v>
      </c>
    </row>
    <row r="761" customFormat="false" ht="15" hidden="false" customHeight="false" outlineLevel="0" collapsed="false">
      <c r="A761" s="37" t="s">
        <v>2086</v>
      </c>
      <c r="B761" s="38" t="n">
        <v>46001.5710416667</v>
      </c>
      <c r="C761" s="37" t="s">
        <v>1241</v>
      </c>
      <c r="D761" s="37" t="s">
        <v>2087</v>
      </c>
      <c r="E761" s="37" t="s">
        <v>1250</v>
      </c>
      <c r="F761" s="37" t="s">
        <v>555</v>
      </c>
      <c r="G761" s="37"/>
      <c r="H761" s="37" t="s">
        <v>65</v>
      </c>
      <c r="I761" s="37"/>
      <c r="J761" s="37" t="s">
        <v>354</v>
      </c>
      <c r="K761" s="37" t="s">
        <v>1202</v>
      </c>
      <c r="L761" s="39" t="n">
        <v>198</v>
      </c>
      <c r="M761" s="39" t="n">
        <v>192</v>
      </c>
      <c r="N761" s="39" t="n">
        <v>103</v>
      </c>
      <c r="O761" s="39" t="n">
        <v>35</v>
      </c>
      <c r="P761" s="39" t="n">
        <v>6</v>
      </c>
      <c r="Q761" s="39" t="n">
        <v>6</v>
      </c>
      <c r="R761" s="39" t="n">
        <v>5</v>
      </c>
      <c r="S761" s="39" t="n">
        <v>0</v>
      </c>
      <c r="T761" s="40" t="n">
        <f aca="false">IF(M761=0,0,N761/M761)</f>
        <v>0.536458333333333</v>
      </c>
      <c r="U761" s="40" t="n">
        <f aca="false">IF(M761=0,0,O761/M761)</f>
        <v>0.182291666666667</v>
      </c>
      <c r="V761" s="41" t="n">
        <f aca="false">IF(M761=0,0,P761/M761)</f>
        <v>0.03125</v>
      </c>
      <c r="W761" s="40" t="n">
        <f aca="false">IF(L761=0,0,Q761/L761)</f>
        <v>0.0303030303030303</v>
      </c>
    </row>
    <row r="762" customFormat="false" ht="15" hidden="false" customHeight="false" outlineLevel="0" collapsed="false">
      <c r="A762" s="37" t="s">
        <v>2088</v>
      </c>
      <c r="B762" s="38" t="n">
        <v>46001.3546296296</v>
      </c>
      <c r="C762" s="37" t="s">
        <v>1201</v>
      </c>
      <c r="D762" s="37" t="s">
        <v>1372</v>
      </c>
      <c r="E762" s="37" t="s">
        <v>1373</v>
      </c>
      <c r="F762" s="37" t="s">
        <v>537</v>
      </c>
      <c r="G762" s="37"/>
      <c r="H762" s="37" t="s">
        <v>63</v>
      </c>
      <c r="I762" s="37"/>
      <c r="J762" s="37" t="s">
        <v>296</v>
      </c>
      <c r="K762" s="37" t="s">
        <v>1202</v>
      </c>
      <c r="L762" s="39" t="n">
        <v>2</v>
      </c>
      <c r="M762" s="39" t="n">
        <v>2</v>
      </c>
      <c r="N762" s="39" t="n">
        <v>2</v>
      </c>
      <c r="O762" s="39" t="n">
        <v>0</v>
      </c>
      <c r="P762" s="39" t="n">
        <v>0</v>
      </c>
      <c r="Q762" s="39" t="n">
        <v>0</v>
      </c>
      <c r="R762" s="39" t="n">
        <v>0</v>
      </c>
      <c r="S762" s="39" t="n">
        <v>0</v>
      </c>
      <c r="T762" s="40" t="n">
        <f aca="false">IF(M762=0,0,N762/M762)</f>
        <v>1</v>
      </c>
      <c r="U762" s="40" t="n">
        <f aca="false">IF(M762=0,0,O762/M762)</f>
        <v>0</v>
      </c>
      <c r="V762" s="41" t="n">
        <f aca="false">IF(M762=0,0,P762/M762)</f>
        <v>0</v>
      </c>
      <c r="W762" s="40" t="n">
        <f aca="false">IF(L762=0,0,Q762/L762)</f>
        <v>0</v>
      </c>
    </row>
    <row r="763" customFormat="false" ht="15" hidden="false" customHeight="false" outlineLevel="0" collapsed="false">
      <c r="A763" s="37" t="s">
        <v>2089</v>
      </c>
      <c r="B763" s="38" t="n">
        <v>46001.2502893519</v>
      </c>
      <c r="C763" s="37" t="s">
        <v>1201</v>
      </c>
      <c r="D763" s="37" t="s">
        <v>1526</v>
      </c>
      <c r="E763" s="37" t="s">
        <v>1995</v>
      </c>
      <c r="F763" s="37" t="s">
        <v>544</v>
      </c>
      <c r="G763" s="37"/>
      <c r="H763" s="37" t="s">
        <v>60</v>
      </c>
      <c r="I763" s="37"/>
      <c r="J763" s="37" t="s">
        <v>364</v>
      </c>
      <c r="K763" s="37" t="s">
        <v>1202</v>
      </c>
      <c r="L763" s="39" t="n">
        <v>912</v>
      </c>
      <c r="M763" s="39" t="n">
        <v>908</v>
      </c>
      <c r="N763" s="39" t="n">
        <v>356</v>
      </c>
      <c r="O763" s="39" t="n">
        <v>17</v>
      </c>
      <c r="P763" s="39" t="n">
        <v>3</v>
      </c>
      <c r="Q763" s="39" t="n">
        <v>4</v>
      </c>
      <c r="R763" s="39" t="n">
        <v>2</v>
      </c>
      <c r="S763" s="39" t="n">
        <v>0</v>
      </c>
      <c r="T763" s="40" t="n">
        <f aca="false">IF(M763=0,0,N763/M763)</f>
        <v>0.392070484581498</v>
      </c>
      <c r="U763" s="40" t="n">
        <f aca="false">IF(M763=0,0,O763/M763)</f>
        <v>0.0187224669603524</v>
      </c>
      <c r="V763" s="41" t="n">
        <f aca="false">IF(M763=0,0,P763/M763)</f>
        <v>0.00330396475770925</v>
      </c>
      <c r="W763" s="40" t="n">
        <f aca="false">IF(L763=0,0,Q763/L763)</f>
        <v>0.0043859649122807</v>
      </c>
    </row>
    <row r="764" customFormat="false" ht="15" hidden="false" customHeight="false" outlineLevel="0" collapsed="false">
      <c r="A764" s="37" t="s">
        <v>2090</v>
      </c>
      <c r="B764" s="38" t="n">
        <v>46001.2467592593</v>
      </c>
      <c r="C764" s="37" t="s">
        <v>1201</v>
      </c>
      <c r="D764" s="37" t="s">
        <v>1526</v>
      </c>
      <c r="E764" s="37" t="s">
        <v>1995</v>
      </c>
      <c r="F764" s="37" t="s">
        <v>544</v>
      </c>
      <c r="G764" s="37"/>
      <c r="H764" s="37" t="s">
        <v>60</v>
      </c>
      <c r="I764" s="37"/>
      <c r="J764" s="37" t="s">
        <v>364</v>
      </c>
      <c r="K764" s="37" t="s">
        <v>1202</v>
      </c>
      <c r="L764" s="39" t="n">
        <v>135</v>
      </c>
      <c r="M764" s="39" t="n">
        <v>134</v>
      </c>
      <c r="N764" s="39" t="n">
        <v>76</v>
      </c>
      <c r="O764" s="39" t="n">
        <v>7</v>
      </c>
      <c r="P764" s="39" t="n">
        <v>0</v>
      </c>
      <c r="Q764" s="39" t="n">
        <v>1</v>
      </c>
      <c r="R764" s="39" t="n">
        <v>0</v>
      </c>
      <c r="S764" s="39" t="n">
        <v>0</v>
      </c>
      <c r="T764" s="40" t="n">
        <f aca="false">IF(M764=0,0,N764/M764)</f>
        <v>0.567164179104478</v>
      </c>
      <c r="U764" s="40" t="n">
        <f aca="false">IF(M764=0,0,O764/M764)</f>
        <v>0.0522388059701493</v>
      </c>
      <c r="V764" s="41" t="n">
        <f aca="false">IF(M764=0,0,P764/M764)</f>
        <v>0</v>
      </c>
      <c r="W764" s="40" t="n">
        <f aca="false">IF(L764=0,0,Q764/L764)</f>
        <v>0.00740740740740741</v>
      </c>
    </row>
    <row r="765" customFormat="false" ht="15" hidden="false" customHeight="false" outlineLevel="0" collapsed="false">
      <c r="A765" s="37" t="s">
        <v>2091</v>
      </c>
      <c r="B765" s="38" t="n">
        <v>46001.0104166667</v>
      </c>
      <c r="C765" s="37" t="s">
        <v>1201</v>
      </c>
      <c r="D765" s="37" t="s">
        <v>1372</v>
      </c>
      <c r="E765" s="37" t="s">
        <v>1373</v>
      </c>
      <c r="F765" s="37" t="s">
        <v>537</v>
      </c>
      <c r="G765" s="37"/>
      <c r="H765" s="37" t="s">
        <v>63</v>
      </c>
      <c r="I765" s="37"/>
      <c r="J765" s="37" t="s">
        <v>296</v>
      </c>
      <c r="K765" s="37" t="s">
        <v>1202</v>
      </c>
      <c r="L765" s="39" t="n">
        <v>2</v>
      </c>
      <c r="M765" s="39" t="n">
        <v>2</v>
      </c>
      <c r="N765" s="39" t="n">
        <v>2</v>
      </c>
      <c r="O765" s="39" t="n">
        <v>0</v>
      </c>
      <c r="P765" s="39" t="n">
        <v>0</v>
      </c>
      <c r="Q765" s="39" t="n">
        <v>0</v>
      </c>
      <c r="R765" s="39" t="n">
        <v>0</v>
      </c>
      <c r="S765" s="39" t="n">
        <v>0</v>
      </c>
      <c r="T765" s="40" t="n">
        <f aca="false">IF(M765=0,0,N765/M765)</f>
        <v>1</v>
      </c>
      <c r="U765" s="40" t="n">
        <f aca="false">IF(M765=0,0,O765/M765)</f>
        <v>0</v>
      </c>
      <c r="V765" s="41" t="n">
        <f aca="false">IF(M765=0,0,P765/M765)</f>
        <v>0</v>
      </c>
      <c r="W765" s="40" t="n">
        <f aca="false">IF(L765=0,0,Q765/L765)</f>
        <v>0</v>
      </c>
    </row>
    <row r="766" customFormat="false" ht="15" hidden="false" customHeight="false" outlineLevel="0" collapsed="false">
      <c r="A766" s="37" t="s">
        <v>2092</v>
      </c>
      <c r="B766" s="38" t="n">
        <v>46000.4171875</v>
      </c>
      <c r="C766" s="37" t="s">
        <v>1252</v>
      </c>
      <c r="D766" s="37" t="s">
        <v>1862</v>
      </c>
      <c r="E766" s="37" t="s">
        <v>1115</v>
      </c>
      <c r="F766" s="37" t="s">
        <v>555</v>
      </c>
      <c r="G766" s="37"/>
      <c r="H766" s="37" t="s">
        <v>60</v>
      </c>
      <c r="I766" s="37"/>
      <c r="J766" s="37" t="s">
        <v>375</v>
      </c>
      <c r="K766" s="37" t="s">
        <v>1202</v>
      </c>
      <c r="L766" s="39" t="n">
        <v>243</v>
      </c>
      <c r="M766" s="39" t="n">
        <v>236</v>
      </c>
      <c r="N766" s="39" t="n">
        <v>68</v>
      </c>
      <c r="O766" s="39" t="n">
        <v>4</v>
      </c>
      <c r="P766" s="39" t="n">
        <v>5</v>
      </c>
      <c r="Q766" s="39" t="n">
        <v>7</v>
      </c>
      <c r="R766" s="39" t="n">
        <v>5</v>
      </c>
      <c r="S766" s="39" t="n">
        <v>0</v>
      </c>
      <c r="T766" s="40" t="n">
        <f aca="false">IF(M766=0,0,N766/M766)</f>
        <v>0.288135593220339</v>
      </c>
      <c r="U766" s="40" t="n">
        <f aca="false">IF(M766=0,0,O766/M766)</f>
        <v>0.0169491525423729</v>
      </c>
      <c r="V766" s="41" t="n">
        <f aca="false">IF(M766=0,0,P766/M766)</f>
        <v>0.0211864406779661</v>
      </c>
      <c r="W766" s="40" t="n">
        <f aca="false">IF(L766=0,0,Q766/L766)</f>
        <v>0.0288065843621399</v>
      </c>
    </row>
    <row r="767" customFormat="false" ht="15" hidden="false" customHeight="false" outlineLevel="0" collapsed="false">
      <c r="A767" s="37" t="s">
        <v>2093</v>
      </c>
      <c r="B767" s="38" t="n">
        <v>45999.3490046296</v>
      </c>
      <c r="C767" s="37" t="s">
        <v>1201</v>
      </c>
      <c r="D767" s="37" t="s">
        <v>1372</v>
      </c>
      <c r="E767" s="37" t="s">
        <v>1373</v>
      </c>
      <c r="F767" s="37" t="s">
        <v>537</v>
      </c>
      <c r="G767" s="37"/>
      <c r="H767" s="37" t="s">
        <v>64</v>
      </c>
      <c r="I767" s="37"/>
      <c r="J767" s="37" t="s">
        <v>296</v>
      </c>
      <c r="K767" s="37" t="s">
        <v>1202</v>
      </c>
      <c r="L767" s="39" t="n">
        <v>2</v>
      </c>
      <c r="M767" s="39" t="n">
        <v>2</v>
      </c>
      <c r="N767" s="39" t="n">
        <v>2</v>
      </c>
      <c r="O767" s="39" t="n">
        <v>0</v>
      </c>
      <c r="P767" s="39" t="n">
        <v>0</v>
      </c>
      <c r="Q767" s="39" t="n">
        <v>0</v>
      </c>
      <c r="R767" s="39" t="n">
        <v>0</v>
      </c>
      <c r="S767" s="39" t="n">
        <v>0</v>
      </c>
      <c r="T767" s="40" t="n">
        <f aca="false">IF(M767=0,0,N767/M767)</f>
        <v>1</v>
      </c>
      <c r="U767" s="40" t="n">
        <f aca="false">IF(M767=0,0,O767/M767)</f>
        <v>0</v>
      </c>
      <c r="V767" s="41" t="n">
        <f aca="false">IF(M767=0,0,P767/M767)</f>
        <v>0</v>
      </c>
      <c r="W767" s="40" t="n">
        <f aca="false">IF(L767=0,0,Q767/L767)</f>
        <v>0</v>
      </c>
    </row>
    <row r="768" customFormat="false" ht="15" hidden="false" customHeight="false" outlineLevel="0" collapsed="false">
      <c r="A768" s="37" t="s">
        <v>2094</v>
      </c>
      <c r="B768" s="38" t="n">
        <v>45999.2814699074</v>
      </c>
      <c r="C768" s="37" t="s">
        <v>1201</v>
      </c>
      <c r="D768" s="37" t="s">
        <v>1372</v>
      </c>
      <c r="E768" s="37" t="s">
        <v>1373</v>
      </c>
      <c r="F768" s="37" t="s">
        <v>537</v>
      </c>
      <c r="G768" s="37"/>
      <c r="H768" s="37" t="s">
        <v>63</v>
      </c>
      <c r="I768" s="37"/>
      <c r="J768" s="37" t="s">
        <v>296</v>
      </c>
      <c r="K768" s="37" t="s">
        <v>1202</v>
      </c>
      <c r="L768" s="39" t="n">
        <v>2</v>
      </c>
      <c r="M768" s="39" t="n">
        <v>2</v>
      </c>
      <c r="N768" s="39" t="n">
        <v>2</v>
      </c>
      <c r="O768" s="39" t="n">
        <v>0</v>
      </c>
      <c r="P768" s="39" t="n">
        <v>0</v>
      </c>
      <c r="Q768" s="39" t="n">
        <v>0</v>
      </c>
      <c r="R768" s="39" t="n">
        <v>0</v>
      </c>
      <c r="S768" s="39" t="n">
        <v>0</v>
      </c>
      <c r="T768" s="40" t="n">
        <f aca="false">IF(M768=0,0,N768/M768)</f>
        <v>1</v>
      </c>
      <c r="U768" s="40" t="n">
        <f aca="false">IF(M768=0,0,O768/M768)</f>
        <v>0</v>
      </c>
      <c r="V768" s="41" t="n">
        <f aca="false">IF(M768=0,0,P768/M768)</f>
        <v>0</v>
      </c>
      <c r="W768" s="40" t="n">
        <f aca="false">IF(L768=0,0,Q768/L768)</f>
        <v>0</v>
      </c>
    </row>
    <row r="769" customFormat="false" ht="15" hidden="false" customHeight="false" outlineLevel="0" collapsed="false">
      <c r="A769" s="37" t="s">
        <v>2095</v>
      </c>
      <c r="B769" s="38" t="n">
        <v>45999.2022916667</v>
      </c>
      <c r="C769" s="37" t="s">
        <v>1201</v>
      </c>
      <c r="D769" s="37" t="s">
        <v>1526</v>
      </c>
      <c r="E769" s="37" t="s">
        <v>1995</v>
      </c>
      <c r="F769" s="37" t="s">
        <v>637</v>
      </c>
      <c r="G769" s="37"/>
      <c r="H769" s="37" t="s">
        <v>60</v>
      </c>
      <c r="I769" s="37"/>
      <c r="J769" s="37" t="s">
        <v>364</v>
      </c>
      <c r="K769" s="37" t="s">
        <v>1202</v>
      </c>
      <c r="L769" s="39" t="n">
        <v>45</v>
      </c>
      <c r="M769" s="39" t="n">
        <v>45</v>
      </c>
      <c r="N769" s="39" t="n">
        <v>28</v>
      </c>
      <c r="O769" s="39" t="n">
        <v>5</v>
      </c>
      <c r="P769" s="39" t="n">
        <v>0</v>
      </c>
      <c r="Q769" s="39" t="n">
        <v>0</v>
      </c>
      <c r="R769" s="39" t="n">
        <v>0</v>
      </c>
      <c r="S769" s="39" t="n">
        <v>0</v>
      </c>
      <c r="T769" s="40" t="n">
        <f aca="false">IF(M769=0,0,N769/M769)</f>
        <v>0.622222222222222</v>
      </c>
      <c r="U769" s="40" t="n">
        <f aca="false">IF(M769=0,0,O769/M769)</f>
        <v>0.111111111111111</v>
      </c>
      <c r="V769" s="41" t="n">
        <f aca="false">IF(M769=0,0,P769/M769)</f>
        <v>0</v>
      </c>
      <c r="W769" s="40" t="n">
        <f aca="false">IF(L769=0,0,Q769/L769)</f>
        <v>0</v>
      </c>
    </row>
    <row r="770" customFormat="false" ht="15" hidden="false" customHeight="false" outlineLevel="0" collapsed="false">
      <c r="A770" s="37" t="s">
        <v>2096</v>
      </c>
      <c r="B770" s="38" t="n">
        <v>45998.9585416667</v>
      </c>
      <c r="C770" s="37" t="s">
        <v>1201</v>
      </c>
      <c r="D770" s="37" t="s">
        <v>1372</v>
      </c>
      <c r="E770" s="37" t="s">
        <v>1373</v>
      </c>
      <c r="F770" s="37" t="s">
        <v>537</v>
      </c>
      <c r="G770" s="37"/>
      <c r="H770" s="37" t="s">
        <v>64</v>
      </c>
      <c r="I770" s="37"/>
      <c r="J770" s="37" t="s">
        <v>296</v>
      </c>
      <c r="K770" s="37" t="s">
        <v>1202</v>
      </c>
      <c r="L770" s="39" t="n">
        <v>2</v>
      </c>
      <c r="M770" s="39" t="n">
        <v>2</v>
      </c>
      <c r="N770" s="39" t="n">
        <v>2</v>
      </c>
      <c r="O770" s="39" t="n">
        <v>0</v>
      </c>
      <c r="P770" s="39" t="n">
        <v>0</v>
      </c>
      <c r="Q770" s="39" t="n">
        <v>0</v>
      </c>
      <c r="R770" s="39" t="n">
        <v>0</v>
      </c>
      <c r="S770" s="39" t="n">
        <v>0</v>
      </c>
      <c r="T770" s="40" t="n">
        <f aca="false">IF(M770=0,0,N770/M770)</f>
        <v>1</v>
      </c>
      <c r="U770" s="40" t="n">
        <f aca="false">IF(M770=0,0,O770/M770)</f>
        <v>0</v>
      </c>
      <c r="V770" s="41" t="n">
        <f aca="false">IF(M770=0,0,P770/M770)</f>
        <v>0</v>
      </c>
      <c r="W770" s="40" t="n">
        <f aca="false">IF(L770=0,0,Q770/L770)</f>
        <v>0</v>
      </c>
    </row>
    <row r="771" customFormat="false" ht="15" hidden="false" customHeight="false" outlineLevel="0" collapsed="false">
      <c r="A771" s="37" t="s">
        <v>2097</v>
      </c>
      <c r="B771" s="38" t="n">
        <v>45998.854212963</v>
      </c>
      <c r="C771" s="37" t="s">
        <v>1201</v>
      </c>
      <c r="D771" s="37" t="s">
        <v>1665</v>
      </c>
      <c r="E771" s="37" t="s">
        <v>238</v>
      </c>
      <c r="F771" s="37" t="s">
        <v>605</v>
      </c>
      <c r="G771" s="37" t="s">
        <v>1132</v>
      </c>
      <c r="H771" s="37" t="s">
        <v>60</v>
      </c>
      <c r="I771" s="37"/>
      <c r="J771" s="37" t="s">
        <v>144</v>
      </c>
      <c r="K771" s="37" t="s">
        <v>1202</v>
      </c>
      <c r="L771" s="39" t="n">
        <v>2447</v>
      </c>
      <c r="M771" s="39" t="n">
        <v>2380</v>
      </c>
      <c r="N771" s="39" t="n">
        <v>674</v>
      </c>
      <c r="O771" s="39" t="n">
        <v>49</v>
      </c>
      <c r="P771" s="39" t="n">
        <v>30</v>
      </c>
      <c r="Q771" s="39" t="n">
        <v>67</v>
      </c>
      <c r="R771" s="39" t="n">
        <v>16</v>
      </c>
      <c r="S771" s="39" t="n">
        <v>0</v>
      </c>
      <c r="T771" s="40" t="n">
        <f aca="false">IF(M771=0,0,N771/M771)</f>
        <v>0.283193277310924</v>
      </c>
      <c r="U771" s="40" t="n">
        <f aca="false">IF(M771=0,0,O771/M771)</f>
        <v>0.0205882352941176</v>
      </c>
      <c r="V771" s="41" t="n">
        <f aca="false">IF(M771=0,0,P771/M771)</f>
        <v>0.0126050420168067</v>
      </c>
      <c r="W771" s="40" t="n">
        <f aca="false">IF(L771=0,0,Q771/L771)</f>
        <v>0.0273804658765836</v>
      </c>
    </row>
    <row r="772" customFormat="false" ht="15" hidden="false" customHeight="false" outlineLevel="0" collapsed="false">
      <c r="A772" s="37" t="s">
        <v>2098</v>
      </c>
      <c r="B772" s="38" t="n">
        <v>45997.7815856482</v>
      </c>
      <c r="C772" s="37" t="s">
        <v>1201</v>
      </c>
      <c r="D772" s="37" t="s">
        <v>1372</v>
      </c>
      <c r="E772" s="37" t="s">
        <v>1373</v>
      </c>
      <c r="F772" s="37" t="s">
        <v>537</v>
      </c>
      <c r="G772" s="37"/>
      <c r="H772" s="37" t="s">
        <v>63</v>
      </c>
      <c r="I772" s="37"/>
      <c r="J772" s="37" t="s">
        <v>296</v>
      </c>
      <c r="K772" s="37" t="s">
        <v>1202</v>
      </c>
      <c r="L772" s="39" t="n">
        <v>1</v>
      </c>
      <c r="M772" s="39" t="n">
        <v>1</v>
      </c>
      <c r="N772" s="39" t="n">
        <v>1</v>
      </c>
      <c r="O772" s="39" t="n">
        <v>0</v>
      </c>
      <c r="P772" s="39" t="n">
        <v>0</v>
      </c>
      <c r="Q772" s="39" t="n">
        <v>0</v>
      </c>
      <c r="R772" s="39" t="n">
        <v>0</v>
      </c>
      <c r="S772" s="39" t="n">
        <v>0</v>
      </c>
      <c r="T772" s="40" t="n">
        <f aca="false">IF(M772=0,0,N772/M772)</f>
        <v>1</v>
      </c>
      <c r="U772" s="40" t="n">
        <f aca="false">IF(M772=0,0,O772/M772)</f>
        <v>0</v>
      </c>
      <c r="V772" s="41" t="n">
        <f aca="false">IF(M772=0,0,P772/M772)</f>
        <v>0</v>
      </c>
      <c r="W772" s="40" t="n">
        <f aca="false">IF(L772=0,0,Q772/L772)</f>
        <v>0</v>
      </c>
    </row>
    <row r="773" customFormat="false" ht="15" hidden="false" customHeight="false" outlineLevel="0" collapsed="false">
      <c r="A773" s="37" t="s">
        <v>2099</v>
      </c>
      <c r="B773" s="38" t="n">
        <v>45996.3963888889</v>
      </c>
      <c r="C773" s="37" t="s">
        <v>1252</v>
      </c>
      <c r="D773" s="37" t="s">
        <v>1981</v>
      </c>
      <c r="E773" s="37" t="s">
        <v>1115</v>
      </c>
      <c r="F773" s="37" t="s">
        <v>555</v>
      </c>
      <c r="G773" s="37"/>
      <c r="H773" s="37" t="s">
        <v>63</v>
      </c>
      <c r="I773" s="37"/>
      <c r="J773" s="37" t="s">
        <v>144</v>
      </c>
      <c r="K773" s="37" t="s">
        <v>1202</v>
      </c>
      <c r="L773" s="39" t="n">
        <v>9</v>
      </c>
      <c r="M773" s="39" t="n">
        <v>9</v>
      </c>
      <c r="N773" s="39" t="n">
        <v>6</v>
      </c>
      <c r="O773" s="39" t="n">
        <v>0</v>
      </c>
      <c r="P773" s="39" t="n">
        <v>0</v>
      </c>
      <c r="Q773" s="39" t="n">
        <v>0</v>
      </c>
      <c r="R773" s="39" t="n">
        <v>0</v>
      </c>
      <c r="S773" s="39" t="n">
        <v>0</v>
      </c>
      <c r="T773" s="40" t="n">
        <f aca="false">IF(M773=0,0,N773/M773)</f>
        <v>0.666666666666667</v>
      </c>
      <c r="U773" s="40" t="n">
        <f aca="false">IF(M773=0,0,O773/M773)</f>
        <v>0</v>
      </c>
      <c r="V773" s="41" t="n">
        <f aca="false">IF(M773=0,0,P773/M773)</f>
        <v>0</v>
      </c>
      <c r="W773" s="40" t="n">
        <f aca="false">IF(L773=0,0,Q773/L773)</f>
        <v>0</v>
      </c>
    </row>
    <row r="774" customFormat="false" ht="15" hidden="false" customHeight="false" outlineLevel="0" collapsed="false">
      <c r="A774" s="37" t="s">
        <v>2100</v>
      </c>
      <c r="B774" s="38" t="n">
        <v>45996.3443055556</v>
      </c>
      <c r="C774" s="37" t="s">
        <v>1252</v>
      </c>
      <c r="D774" s="37" t="s">
        <v>635</v>
      </c>
      <c r="E774" s="37" t="s">
        <v>166</v>
      </c>
      <c r="F774" s="37" t="s">
        <v>623</v>
      </c>
      <c r="G774" s="37" t="s">
        <v>1880</v>
      </c>
      <c r="H774" s="37" t="s">
        <v>61</v>
      </c>
      <c r="I774" s="37" t="s">
        <v>255</v>
      </c>
      <c r="J774" s="37" t="s">
        <v>164</v>
      </c>
      <c r="K774" s="37" t="s">
        <v>1202</v>
      </c>
      <c r="L774" s="39" t="n">
        <v>27</v>
      </c>
      <c r="M774" s="39" t="n">
        <v>27</v>
      </c>
      <c r="N774" s="39" t="n">
        <v>13</v>
      </c>
      <c r="O774" s="39" t="n">
        <v>0</v>
      </c>
      <c r="P774" s="39" t="n">
        <v>0</v>
      </c>
      <c r="Q774" s="39" t="n">
        <v>0</v>
      </c>
      <c r="R774" s="39" t="n">
        <v>0</v>
      </c>
      <c r="S774" s="39" t="n">
        <v>0</v>
      </c>
      <c r="T774" s="40" t="n">
        <f aca="false">IF(M774=0,0,N774/M774)</f>
        <v>0.481481481481481</v>
      </c>
      <c r="U774" s="40" t="n">
        <f aca="false">IF(M774=0,0,O774/M774)</f>
        <v>0</v>
      </c>
      <c r="V774" s="41" t="n">
        <f aca="false">IF(M774=0,0,P774/M774)</f>
        <v>0</v>
      </c>
      <c r="W774" s="40" t="n">
        <f aca="false">IF(L774=0,0,Q774/L774)</f>
        <v>0</v>
      </c>
    </row>
    <row r="775" customFormat="false" ht="15" hidden="false" customHeight="false" outlineLevel="0" collapsed="false">
      <c r="A775" s="37" t="s">
        <v>2101</v>
      </c>
      <c r="B775" s="38" t="n">
        <v>45996.3337152778</v>
      </c>
      <c r="C775" s="37" t="s">
        <v>1252</v>
      </c>
      <c r="D775" s="37" t="s">
        <v>166</v>
      </c>
      <c r="E775" s="37" t="s">
        <v>166</v>
      </c>
      <c r="F775" s="37" t="s">
        <v>623</v>
      </c>
      <c r="G775" s="37"/>
      <c r="H775" s="37" t="s">
        <v>61</v>
      </c>
      <c r="I775" s="37" t="s">
        <v>284</v>
      </c>
      <c r="J775" s="37" t="s">
        <v>164</v>
      </c>
      <c r="K775" s="37" t="s">
        <v>1202</v>
      </c>
      <c r="L775" s="39" t="n">
        <v>26</v>
      </c>
      <c r="M775" s="39" t="n">
        <v>26</v>
      </c>
      <c r="N775" s="39" t="n">
        <v>14</v>
      </c>
      <c r="O775" s="39" t="n">
        <v>4</v>
      </c>
      <c r="P775" s="39" t="n">
        <v>0</v>
      </c>
      <c r="Q775" s="39" t="n">
        <v>0</v>
      </c>
      <c r="R775" s="39" t="n">
        <v>0</v>
      </c>
      <c r="S775" s="39" t="n">
        <v>0</v>
      </c>
      <c r="T775" s="40" t="n">
        <f aca="false">IF(M775=0,0,N775/M775)</f>
        <v>0.538461538461538</v>
      </c>
      <c r="U775" s="40" t="n">
        <f aca="false">IF(M775=0,0,O775/M775)</f>
        <v>0.153846153846154</v>
      </c>
      <c r="V775" s="41" t="n">
        <f aca="false">IF(M775=0,0,P775/M775)</f>
        <v>0</v>
      </c>
      <c r="W775" s="40" t="n">
        <f aca="false">IF(L775=0,0,Q775/L775)</f>
        <v>0</v>
      </c>
    </row>
    <row r="776" customFormat="false" ht="15" hidden="false" customHeight="false" outlineLevel="0" collapsed="false">
      <c r="A776" s="37" t="s">
        <v>2102</v>
      </c>
      <c r="B776" s="38" t="n">
        <v>45996.0419907407</v>
      </c>
      <c r="C776" s="37" t="s">
        <v>1201</v>
      </c>
      <c r="D776" s="37" t="s">
        <v>1862</v>
      </c>
      <c r="E776" s="37" t="s">
        <v>1396</v>
      </c>
      <c r="F776" s="37" t="s">
        <v>555</v>
      </c>
      <c r="G776" s="37"/>
      <c r="H776" s="37" t="s">
        <v>60</v>
      </c>
      <c r="I776" s="37"/>
      <c r="J776" s="37" t="s">
        <v>375</v>
      </c>
      <c r="K776" s="37" t="s">
        <v>1202</v>
      </c>
      <c r="L776" s="39" t="n">
        <v>199</v>
      </c>
      <c r="M776" s="39" t="n">
        <v>197</v>
      </c>
      <c r="N776" s="39" t="n">
        <v>80</v>
      </c>
      <c r="O776" s="39" t="n">
        <v>15</v>
      </c>
      <c r="P776" s="39" t="n">
        <v>1</v>
      </c>
      <c r="Q776" s="39" t="n">
        <v>2</v>
      </c>
      <c r="R776" s="39" t="n">
        <v>1</v>
      </c>
      <c r="S776" s="39" t="n">
        <v>0</v>
      </c>
      <c r="T776" s="40" t="n">
        <f aca="false">IF(M776=0,0,N776/M776)</f>
        <v>0.406091370558376</v>
      </c>
      <c r="U776" s="40" t="n">
        <f aca="false">IF(M776=0,0,O776/M776)</f>
        <v>0.0761421319796954</v>
      </c>
      <c r="V776" s="41" t="n">
        <f aca="false">IF(M776=0,0,P776/M776)</f>
        <v>0.0050761421319797</v>
      </c>
      <c r="W776" s="40" t="n">
        <f aca="false">IF(L776=0,0,Q776/L776)</f>
        <v>0.0100502512562814</v>
      </c>
    </row>
    <row r="777" customFormat="false" ht="15" hidden="false" customHeight="false" outlineLevel="0" collapsed="false">
      <c r="A777" s="37" t="s">
        <v>2103</v>
      </c>
      <c r="B777" s="38" t="n">
        <v>45995.6881365741</v>
      </c>
      <c r="C777" s="37" t="s">
        <v>1252</v>
      </c>
      <c r="D777" s="37" t="s">
        <v>1862</v>
      </c>
      <c r="E777" s="37" t="s">
        <v>1115</v>
      </c>
      <c r="F777" s="37" t="s">
        <v>555</v>
      </c>
      <c r="G777" s="37"/>
      <c r="H777" s="37" t="s">
        <v>63</v>
      </c>
      <c r="I777" s="37"/>
      <c r="J777" s="37" t="s">
        <v>375</v>
      </c>
      <c r="K777" s="37" t="s">
        <v>1202</v>
      </c>
      <c r="L777" s="39" t="n">
        <v>25</v>
      </c>
      <c r="M777" s="39" t="n">
        <v>25</v>
      </c>
      <c r="N777" s="39" t="n">
        <v>22</v>
      </c>
      <c r="O777" s="39" t="n">
        <v>2</v>
      </c>
      <c r="P777" s="39" t="n">
        <v>0</v>
      </c>
      <c r="Q777" s="39" t="n">
        <v>0</v>
      </c>
      <c r="R777" s="39" t="n">
        <v>0</v>
      </c>
      <c r="S777" s="39" t="n">
        <v>0</v>
      </c>
      <c r="T777" s="40" t="n">
        <f aca="false">IF(M777=0,0,N777/M777)</f>
        <v>0.88</v>
      </c>
      <c r="U777" s="40" t="n">
        <f aca="false">IF(M777=0,0,O777/M777)</f>
        <v>0.08</v>
      </c>
      <c r="V777" s="41" t="n">
        <f aca="false">IF(M777=0,0,P777/M777)</f>
        <v>0</v>
      </c>
      <c r="W777" s="40" t="n">
        <f aca="false">IF(L777=0,0,Q777/L777)</f>
        <v>0</v>
      </c>
    </row>
    <row r="778" customFormat="false" ht="15" hidden="false" customHeight="false" outlineLevel="0" collapsed="false">
      <c r="A778" s="37" t="s">
        <v>2104</v>
      </c>
      <c r="B778" s="38" t="n">
        <v>45995.3593055556</v>
      </c>
      <c r="C778" s="37" t="s">
        <v>1201</v>
      </c>
      <c r="D778" s="37" t="s">
        <v>1526</v>
      </c>
      <c r="E778" s="37" t="s">
        <v>1995</v>
      </c>
      <c r="F778" s="37" t="s">
        <v>544</v>
      </c>
      <c r="G778" s="37"/>
      <c r="H778" s="37" t="s">
        <v>60</v>
      </c>
      <c r="I778" s="37"/>
      <c r="J778" s="37" t="s">
        <v>364</v>
      </c>
      <c r="K778" s="37" t="s">
        <v>1202</v>
      </c>
      <c r="L778" s="39" t="n">
        <v>949</v>
      </c>
      <c r="M778" s="39" t="n">
        <v>946</v>
      </c>
      <c r="N778" s="39" t="n">
        <v>416</v>
      </c>
      <c r="O778" s="39" t="n">
        <v>23</v>
      </c>
      <c r="P778" s="39" t="n">
        <v>10</v>
      </c>
      <c r="Q778" s="39" t="n">
        <v>3</v>
      </c>
      <c r="R778" s="39" t="n">
        <v>0</v>
      </c>
      <c r="S778" s="39" t="n">
        <v>0</v>
      </c>
      <c r="T778" s="40" t="n">
        <f aca="false">IF(M778=0,0,N778/M778)</f>
        <v>0.439746300211417</v>
      </c>
      <c r="U778" s="40" t="n">
        <f aca="false">IF(M778=0,0,O778/M778)</f>
        <v>0.0243128964059197</v>
      </c>
      <c r="V778" s="41" t="n">
        <f aca="false">IF(M778=0,0,P778/M778)</f>
        <v>0.0105708245243129</v>
      </c>
      <c r="W778" s="40" t="n">
        <f aca="false">IF(L778=0,0,Q778/L778)</f>
        <v>0.00316122233930453</v>
      </c>
    </row>
    <row r="779" customFormat="false" ht="15" hidden="false" customHeight="false" outlineLevel="0" collapsed="false">
      <c r="A779" s="37" t="s">
        <v>2105</v>
      </c>
      <c r="B779" s="38" t="n">
        <v>45995.3364583333</v>
      </c>
      <c r="C779" s="37" t="s">
        <v>1201</v>
      </c>
      <c r="D779" s="37" t="s">
        <v>1372</v>
      </c>
      <c r="E779" s="37" t="s">
        <v>1373</v>
      </c>
      <c r="F779" s="37" t="s">
        <v>537</v>
      </c>
      <c r="G779" s="37"/>
      <c r="H779" s="37" t="s">
        <v>60</v>
      </c>
      <c r="I779" s="37"/>
      <c r="J779" s="37" t="s">
        <v>296</v>
      </c>
      <c r="K779" s="37" t="s">
        <v>1202</v>
      </c>
      <c r="L779" s="39" t="n">
        <v>2</v>
      </c>
      <c r="M779" s="39" t="n">
        <v>2</v>
      </c>
      <c r="N779" s="39" t="n">
        <v>2</v>
      </c>
      <c r="O779" s="39" t="n">
        <v>0</v>
      </c>
      <c r="P779" s="39" t="n">
        <v>0</v>
      </c>
      <c r="Q779" s="39" t="n">
        <v>0</v>
      </c>
      <c r="R779" s="39" t="n">
        <v>0</v>
      </c>
      <c r="S779" s="39" t="n">
        <v>0</v>
      </c>
      <c r="T779" s="40" t="n">
        <f aca="false">IF(M779=0,0,N779/M779)</f>
        <v>1</v>
      </c>
      <c r="U779" s="40" t="n">
        <f aca="false">IF(M779=0,0,O779/M779)</f>
        <v>0</v>
      </c>
      <c r="V779" s="41" t="n">
        <f aca="false">IF(M779=0,0,P779/M779)</f>
        <v>0</v>
      </c>
      <c r="W779" s="40" t="n">
        <f aca="false">IF(L779=0,0,Q779/L779)</f>
        <v>0</v>
      </c>
    </row>
    <row r="780" customFormat="false" ht="15" hidden="false" customHeight="false" outlineLevel="0" collapsed="false">
      <c r="A780" s="37" t="s">
        <v>2106</v>
      </c>
      <c r="B780" s="38" t="n">
        <v>45995.3235069444</v>
      </c>
      <c r="C780" s="37" t="s">
        <v>1252</v>
      </c>
      <c r="D780" s="37" t="s">
        <v>1392</v>
      </c>
      <c r="E780" s="37" t="s">
        <v>166</v>
      </c>
      <c r="F780" s="37" t="s">
        <v>671</v>
      </c>
      <c r="G780" s="37" t="s">
        <v>1734</v>
      </c>
      <c r="H780" s="37" t="s">
        <v>61</v>
      </c>
      <c r="I780" s="37" t="s">
        <v>260</v>
      </c>
      <c r="J780" s="37" t="s">
        <v>164</v>
      </c>
      <c r="K780" s="37" t="s">
        <v>1202</v>
      </c>
      <c r="L780" s="39" t="n">
        <v>23</v>
      </c>
      <c r="M780" s="39" t="n">
        <v>23</v>
      </c>
      <c r="N780" s="39" t="n">
        <v>14</v>
      </c>
      <c r="O780" s="39" t="n">
        <v>3</v>
      </c>
      <c r="P780" s="39" t="n">
        <v>0</v>
      </c>
      <c r="Q780" s="39" t="n">
        <v>0</v>
      </c>
      <c r="R780" s="39" t="n">
        <v>0</v>
      </c>
      <c r="S780" s="39" t="n">
        <v>0</v>
      </c>
      <c r="T780" s="40" t="n">
        <f aca="false">IF(M780=0,0,N780/M780)</f>
        <v>0.608695652173913</v>
      </c>
      <c r="U780" s="40" t="n">
        <f aca="false">IF(M780=0,0,O780/M780)</f>
        <v>0.130434782608696</v>
      </c>
      <c r="V780" s="41" t="n">
        <f aca="false">IF(M780=0,0,P780/M780)</f>
        <v>0</v>
      </c>
      <c r="W780" s="40" t="n">
        <f aca="false">IF(L780=0,0,Q780/L780)</f>
        <v>0</v>
      </c>
    </row>
    <row r="781" customFormat="false" ht="15" hidden="false" customHeight="false" outlineLevel="0" collapsed="false">
      <c r="A781" s="37" t="s">
        <v>2107</v>
      </c>
      <c r="B781" s="38" t="n">
        <v>45995.3232291667</v>
      </c>
      <c r="C781" s="37" t="s">
        <v>1252</v>
      </c>
      <c r="D781" s="37" t="s">
        <v>166</v>
      </c>
      <c r="E781" s="37" t="s">
        <v>166</v>
      </c>
      <c r="F781" s="37" t="s">
        <v>671</v>
      </c>
      <c r="G781" s="37"/>
      <c r="H781" s="37" t="s">
        <v>61</v>
      </c>
      <c r="I781" s="37" t="s">
        <v>272</v>
      </c>
      <c r="J781" s="37" t="s">
        <v>164</v>
      </c>
      <c r="K781" s="37" t="s">
        <v>1213</v>
      </c>
      <c r="L781" s="39" t="n">
        <v>62</v>
      </c>
      <c r="M781" s="39" t="n">
        <v>62</v>
      </c>
      <c r="N781" s="39" t="n">
        <v>40</v>
      </c>
      <c r="O781" s="39" t="n">
        <v>7</v>
      </c>
      <c r="P781" s="39" t="n">
        <v>0</v>
      </c>
      <c r="Q781" s="39" t="n">
        <v>0</v>
      </c>
      <c r="R781" s="39" t="n">
        <v>0</v>
      </c>
      <c r="S781" s="39" t="n">
        <v>0</v>
      </c>
      <c r="T781" s="40" t="n">
        <f aca="false">IF(M781=0,0,N781/M781)</f>
        <v>0.645161290322581</v>
      </c>
      <c r="U781" s="40" t="n">
        <f aca="false">IF(M781=0,0,O781/M781)</f>
        <v>0.112903225806452</v>
      </c>
      <c r="V781" s="41" t="n">
        <f aca="false">IF(M781=0,0,P781/M781)</f>
        <v>0</v>
      </c>
      <c r="W781" s="40" t="n">
        <f aca="false">IF(L781=0,0,Q781/L781)</f>
        <v>0</v>
      </c>
    </row>
    <row r="782" customFormat="false" ht="15" hidden="false" customHeight="false" outlineLevel="0" collapsed="false">
      <c r="A782" s="37" t="s">
        <v>2108</v>
      </c>
      <c r="B782" s="38" t="n">
        <v>45995.1691550926</v>
      </c>
      <c r="C782" s="37" t="s">
        <v>1201</v>
      </c>
      <c r="D782" s="37" t="s">
        <v>185</v>
      </c>
      <c r="E782" s="37" t="s">
        <v>186</v>
      </c>
      <c r="F782" s="37" t="s">
        <v>597</v>
      </c>
      <c r="G782" s="37"/>
      <c r="H782" s="37" t="s">
        <v>61</v>
      </c>
      <c r="I782" s="37" t="s">
        <v>183</v>
      </c>
      <c r="J782" s="37" t="s">
        <v>184</v>
      </c>
      <c r="K782" s="37" t="s">
        <v>1202</v>
      </c>
      <c r="L782" s="39" t="n">
        <v>75</v>
      </c>
      <c r="M782" s="39" t="n">
        <v>75</v>
      </c>
      <c r="N782" s="39" t="n">
        <v>38</v>
      </c>
      <c r="O782" s="39" t="n">
        <v>2</v>
      </c>
      <c r="P782" s="39" t="n">
        <v>0</v>
      </c>
      <c r="Q782" s="39" t="n">
        <v>0</v>
      </c>
      <c r="R782" s="39" t="n">
        <v>0</v>
      </c>
      <c r="S782" s="39" t="n">
        <v>0</v>
      </c>
      <c r="T782" s="40" t="n">
        <f aca="false">IF(M782=0,0,N782/M782)</f>
        <v>0.506666666666667</v>
      </c>
      <c r="U782" s="40" t="n">
        <f aca="false">IF(M782=0,0,O782/M782)</f>
        <v>0.0266666666666667</v>
      </c>
      <c r="V782" s="41" t="n">
        <f aca="false">IF(M782=0,0,P782/M782)</f>
        <v>0</v>
      </c>
      <c r="W782" s="40" t="n">
        <f aca="false">IF(L782=0,0,Q782/L782)</f>
        <v>0</v>
      </c>
    </row>
    <row r="783" customFormat="false" ht="15" hidden="false" customHeight="false" outlineLevel="0" collapsed="false">
      <c r="A783" s="37" t="s">
        <v>2109</v>
      </c>
      <c r="B783" s="38" t="n">
        <v>45994.3486226852</v>
      </c>
      <c r="C783" s="37" t="s">
        <v>1201</v>
      </c>
      <c r="D783" s="37" t="s">
        <v>1372</v>
      </c>
      <c r="E783" s="37" t="s">
        <v>1373</v>
      </c>
      <c r="F783" s="37" t="s">
        <v>537</v>
      </c>
      <c r="G783" s="37"/>
      <c r="H783" s="37" t="s">
        <v>60</v>
      </c>
      <c r="I783" s="37"/>
      <c r="J783" s="37" t="s">
        <v>296</v>
      </c>
      <c r="K783" s="37" t="s">
        <v>1202</v>
      </c>
      <c r="L783" s="39" t="n">
        <v>2</v>
      </c>
      <c r="M783" s="39" t="n">
        <v>2</v>
      </c>
      <c r="N783" s="39" t="n">
        <v>2</v>
      </c>
      <c r="O783" s="39" t="n">
        <v>0</v>
      </c>
      <c r="P783" s="39" t="n">
        <v>0</v>
      </c>
      <c r="Q783" s="39" t="n">
        <v>0</v>
      </c>
      <c r="R783" s="39" t="n">
        <v>0</v>
      </c>
      <c r="S783" s="39" t="n">
        <v>0</v>
      </c>
      <c r="T783" s="40" t="n">
        <f aca="false">IF(M783=0,0,N783/M783)</f>
        <v>1</v>
      </c>
      <c r="U783" s="40" t="n">
        <f aca="false">IF(M783=0,0,O783/M783)</f>
        <v>0</v>
      </c>
      <c r="V783" s="41" t="n">
        <f aca="false">IF(M783=0,0,P783/M783)</f>
        <v>0</v>
      </c>
      <c r="W783" s="40" t="n">
        <f aca="false">IF(L783=0,0,Q783/L783)</f>
        <v>0</v>
      </c>
    </row>
    <row r="784" customFormat="false" ht="15" hidden="false" customHeight="false" outlineLevel="0" collapsed="false">
      <c r="A784" s="37" t="s">
        <v>2110</v>
      </c>
      <c r="B784" s="38" t="n">
        <v>45994.2505787037</v>
      </c>
      <c r="C784" s="37" t="s">
        <v>1201</v>
      </c>
      <c r="D784" s="37" t="s">
        <v>2015</v>
      </c>
      <c r="E784" s="37" t="s">
        <v>2015</v>
      </c>
      <c r="F784" s="37" t="s">
        <v>650</v>
      </c>
      <c r="G784" s="37"/>
      <c r="H784" s="37" t="s">
        <v>60</v>
      </c>
      <c r="I784" s="37"/>
      <c r="J784" s="37" t="s">
        <v>382</v>
      </c>
      <c r="K784" s="37" t="s">
        <v>1202</v>
      </c>
      <c r="L784" s="39" t="n">
        <v>638</v>
      </c>
      <c r="M784" s="39" t="n">
        <v>634</v>
      </c>
      <c r="N784" s="39" t="n">
        <v>217</v>
      </c>
      <c r="O784" s="39" t="n">
        <v>25</v>
      </c>
      <c r="P784" s="39" t="n">
        <v>2</v>
      </c>
      <c r="Q784" s="39" t="n">
        <v>4</v>
      </c>
      <c r="R784" s="39" t="n">
        <v>3</v>
      </c>
      <c r="S784" s="39" t="n">
        <v>0</v>
      </c>
      <c r="T784" s="40" t="n">
        <f aca="false">IF(M784=0,0,N784/M784)</f>
        <v>0.342271293375394</v>
      </c>
      <c r="U784" s="40" t="n">
        <f aca="false">IF(M784=0,0,O784/M784)</f>
        <v>0.0394321766561514</v>
      </c>
      <c r="V784" s="41" t="n">
        <f aca="false">IF(M784=0,0,P784/M784)</f>
        <v>0.00315457413249211</v>
      </c>
      <c r="W784" s="40" t="n">
        <f aca="false">IF(L784=0,0,Q784/L784)</f>
        <v>0.00626959247648903</v>
      </c>
    </row>
    <row r="785" customFormat="false" ht="15" hidden="false" customHeight="false" outlineLevel="0" collapsed="false">
      <c r="A785" s="37" t="s">
        <v>2111</v>
      </c>
      <c r="B785" s="38" t="n">
        <v>45993.8750347222</v>
      </c>
      <c r="C785" s="37" t="s">
        <v>1201</v>
      </c>
      <c r="D785" s="37" t="s">
        <v>152</v>
      </c>
      <c r="E785" s="37" t="s">
        <v>1344</v>
      </c>
      <c r="F785" s="37" t="s">
        <v>152</v>
      </c>
      <c r="G785" s="37"/>
      <c r="H785" s="37" t="s">
        <v>61</v>
      </c>
      <c r="I785" s="37" t="s">
        <v>150</v>
      </c>
      <c r="J785" s="37" t="s">
        <v>151</v>
      </c>
      <c r="K785" s="37" t="s">
        <v>1202</v>
      </c>
      <c r="L785" s="39" t="n">
        <v>4480</v>
      </c>
      <c r="M785" s="39" t="n">
        <v>4432</v>
      </c>
      <c r="N785" s="39" t="n">
        <v>1231</v>
      </c>
      <c r="O785" s="39" t="n">
        <v>166</v>
      </c>
      <c r="P785" s="39" t="n">
        <v>8</v>
      </c>
      <c r="Q785" s="39" t="n">
        <v>48</v>
      </c>
      <c r="R785" s="39" t="n">
        <v>46</v>
      </c>
      <c r="S785" s="39" t="n">
        <v>0</v>
      </c>
      <c r="T785" s="40" t="n">
        <f aca="false">IF(M785=0,0,N785/M785)</f>
        <v>0.277752707581227</v>
      </c>
      <c r="U785" s="40" t="n">
        <f aca="false">IF(M785=0,0,O785/M785)</f>
        <v>0.0374548736462094</v>
      </c>
      <c r="V785" s="41" t="n">
        <f aca="false">IF(M785=0,0,P785/M785)</f>
        <v>0.00180505415162455</v>
      </c>
      <c r="W785" s="40" t="n">
        <f aca="false">IF(L785=0,0,Q785/L785)</f>
        <v>0.0107142857142857</v>
      </c>
    </row>
    <row r="786" customFormat="false" ht="15" hidden="false" customHeight="false" outlineLevel="0" collapsed="false">
      <c r="A786" s="37" t="s">
        <v>2112</v>
      </c>
      <c r="B786" s="38" t="n">
        <v>45993.8229282407</v>
      </c>
      <c r="C786" s="37" t="s">
        <v>1201</v>
      </c>
      <c r="D786" s="37" t="s">
        <v>1372</v>
      </c>
      <c r="E786" s="37" t="s">
        <v>1373</v>
      </c>
      <c r="F786" s="37" t="s">
        <v>537</v>
      </c>
      <c r="G786" s="37"/>
      <c r="H786" s="37" t="s">
        <v>63</v>
      </c>
      <c r="I786" s="37"/>
      <c r="J786" s="37" t="s">
        <v>296</v>
      </c>
      <c r="K786" s="37" t="s">
        <v>1202</v>
      </c>
      <c r="L786" s="39" t="n">
        <v>2</v>
      </c>
      <c r="M786" s="39" t="n">
        <v>2</v>
      </c>
      <c r="N786" s="39" t="n">
        <v>2</v>
      </c>
      <c r="O786" s="39" t="n">
        <v>0</v>
      </c>
      <c r="P786" s="39" t="n">
        <v>0</v>
      </c>
      <c r="Q786" s="39" t="n">
        <v>0</v>
      </c>
      <c r="R786" s="39" t="n">
        <v>0</v>
      </c>
      <c r="S786" s="39" t="n">
        <v>0</v>
      </c>
      <c r="T786" s="40" t="n">
        <f aca="false">IF(M786=0,0,N786/M786)</f>
        <v>1</v>
      </c>
      <c r="U786" s="40" t="n">
        <f aca="false">IF(M786=0,0,O786/M786)</f>
        <v>0</v>
      </c>
      <c r="V786" s="41" t="n">
        <f aca="false">IF(M786=0,0,P786/M786)</f>
        <v>0</v>
      </c>
      <c r="W786" s="40" t="n">
        <f aca="false">IF(L786=0,0,Q786/L786)</f>
        <v>0</v>
      </c>
    </row>
    <row r="787" customFormat="false" ht="15" hidden="false" customHeight="false" outlineLevel="0" collapsed="false">
      <c r="A787" s="37" t="s">
        <v>2113</v>
      </c>
      <c r="B787" s="38" t="n">
        <v>45993.6527430556</v>
      </c>
      <c r="C787" s="37" t="s">
        <v>1241</v>
      </c>
      <c r="D787" s="37" t="s">
        <v>1242</v>
      </c>
      <c r="E787" s="37" t="s">
        <v>1250</v>
      </c>
      <c r="F787" s="37" t="s">
        <v>555</v>
      </c>
      <c r="G787" s="37"/>
      <c r="H787" s="37" t="s">
        <v>65</v>
      </c>
      <c r="I787" s="37"/>
      <c r="J787" s="37" t="s">
        <v>354</v>
      </c>
      <c r="K787" s="37" t="s">
        <v>1202</v>
      </c>
      <c r="L787" s="39" t="n">
        <v>129</v>
      </c>
      <c r="M787" s="39" t="n">
        <v>128</v>
      </c>
      <c r="N787" s="39" t="n">
        <v>63</v>
      </c>
      <c r="O787" s="39" t="n">
        <v>20</v>
      </c>
      <c r="P787" s="39" t="n">
        <v>1</v>
      </c>
      <c r="Q787" s="39" t="n">
        <v>1</v>
      </c>
      <c r="R787" s="39" t="n">
        <v>1</v>
      </c>
      <c r="S787" s="39" t="n">
        <v>0</v>
      </c>
      <c r="T787" s="40" t="n">
        <f aca="false">IF(M787=0,0,N787/M787)</f>
        <v>0.4921875</v>
      </c>
      <c r="U787" s="40" t="n">
        <f aca="false">IF(M787=0,0,O787/M787)</f>
        <v>0.15625</v>
      </c>
      <c r="V787" s="41" t="n">
        <f aca="false">IF(M787=0,0,P787/M787)</f>
        <v>0.0078125</v>
      </c>
      <c r="W787" s="40" t="n">
        <f aca="false">IF(L787=0,0,Q787/L787)</f>
        <v>0.00775193798449612</v>
      </c>
    </row>
    <row r="788" customFormat="false" ht="15" hidden="false" customHeight="false" outlineLevel="0" collapsed="false">
      <c r="A788" s="37" t="s">
        <v>2114</v>
      </c>
      <c r="B788" s="38" t="n">
        <v>45993.5357986111</v>
      </c>
      <c r="C788" s="37" t="s">
        <v>1201</v>
      </c>
      <c r="D788" s="37" t="s">
        <v>2115</v>
      </c>
      <c r="E788" s="37" t="s">
        <v>2115</v>
      </c>
      <c r="F788" s="37" t="s">
        <v>2116</v>
      </c>
      <c r="G788" s="37"/>
      <c r="H788" s="37" t="s">
        <v>60</v>
      </c>
      <c r="I788" s="37"/>
      <c r="J788" s="37" t="s">
        <v>430</v>
      </c>
      <c r="K788" s="37" t="s">
        <v>8</v>
      </c>
      <c r="L788" s="39" t="n">
        <v>165</v>
      </c>
      <c r="M788" s="39" t="n">
        <v>164</v>
      </c>
      <c r="N788" s="39" t="n">
        <v>86</v>
      </c>
      <c r="O788" s="39" t="n">
        <v>15</v>
      </c>
      <c r="P788" s="39" t="n">
        <v>3</v>
      </c>
      <c r="Q788" s="39" t="n">
        <v>1</v>
      </c>
      <c r="R788" s="39" t="n">
        <v>0</v>
      </c>
      <c r="S788" s="39" t="n">
        <v>0</v>
      </c>
      <c r="T788" s="40" t="n">
        <f aca="false">IF(M788=0,0,N788/M788)</f>
        <v>0.524390243902439</v>
      </c>
      <c r="U788" s="40" t="n">
        <f aca="false">IF(M788=0,0,O788/M788)</f>
        <v>0.0914634146341463</v>
      </c>
      <c r="V788" s="41" t="n">
        <f aca="false">IF(M788=0,0,P788/M788)</f>
        <v>0.0182926829268293</v>
      </c>
      <c r="W788" s="40" t="n">
        <f aca="false">IF(L788=0,0,Q788/L788)</f>
        <v>0.00606060606060606</v>
      </c>
    </row>
    <row r="789" customFormat="false" ht="15" hidden="false" customHeight="false" outlineLevel="0" collapsed="false">
      <c r="A789" s="37" t="s">
        <v>2117</v>
      </c>
      <c r="B789" s="38" t="n">
        <v>45993.5018402778</v>
      </c>
      <c r="C789" s="37" t="s">
        <v>1201</v>
      </c>
      <c r="D789" s="37" t="s">
        <v>2118</v>
      </c>
      <c r="E789" s="37" t="s">
        <v>2015</v>
      </c>
      <c r="F789" s="37" t="s">
        <v>609</v>
      </c>
      <c r="G789" s="37"/>
      <c r="H789" s="37" t="s">
        <v>60</v>
      </c>
      <c r="I789" s="37"/>
      <c r="J789" s="37" t="s">
        <v>382</v>
      </c>
      <c r="K789" s="37" t="s">
        <v>1202</v>
      </c>
      <c r="L789" s="39" t="n">
        <v>398</v>
      </c>
      <c r="M789" s="39" t="n">
        <v>391</v>
      </c>
      <c r="N789" s="39" t="n">
        <v>132</v>
      </c>
      <c r="O789" s="39" t="n">
        <v>17</v>
      </c>
      <c r="P789" s="39" t="n">
        <v>2</v>
      </c>
      <c r="Q789" s="39" t="n">
        <v>7</v>
      </c>
      <c r="R789" s="39" t="n">
        <v>5</v>
      </c>
      <c r="S789" s="39" t="n">
        <v>0</v>
      </c>
      <c r="T789" s="40" t="n">
        <f aca="false">IF(M789=0,0,N789/M789)</f>
        <v>0.337595907928389</v>
      </c>
      <c r="U789" s="40" t="n">
        <f aca="false">IF(M789=0,0,O789/M789)</f>
        <v>0.0434782608695652</v>
      </c>
      <c r="V789" s="41" t="n">
        <f aca="false">IF(M789=0,0,P789/M789)</f>
        <v>0.0051150895140665</v>
      </c>
      <c r="W789" s="40" t="n">
        <f aca="false">IF(L789=0,0,Q789/L789)</f>
        <v>0.0175879396984925</v>
      </c>
    </row>
    <row r="790" customFormat="false" ht="15" hidden="false" customHeight="false" outlineLevel="0" collapsed="false">
      <c r="A790" s="37" t="s">
        <v>2119</v>
      </c>
      <c r="B790" s="38" t="n">
        <v>45993.4584490741</v>
      </c>
      <c r="C790" s="37" t="s">
        <v>1201</v>
      </c>
      <c r="D790" s="37" t="s">
        <v>281</v>
      </c>
      <c r="E790" s="37" t="s">
        <v>281</v>
      </c>
      <c r="F790" s="37" t="s">
        <v>280</v>
      </c>
      <c r="G790" s="37"/>
      <c r="H790" s="37" t="s">
        <v>61</v>
      </c>
      <c r="I790" s="37" t="s">
        <v>280</v>
      </c>
      <c r="J790" s="37" t="s">
        <v>223</v>
      </c>
      <c r="K790" s="37" t="s">
        <v>1202</v>
      </c>
      <c r="L790" s="39" t="n">
        <v>31</v>
      </c>
      <c r="M790" s="39" t="n">
        <v>31</v>
      </c>
      <c r="N790" s="39" t="n">
        <v>17</v>
      </c>
      <c r="O790" s="39" t="n">
        <v>4</v>
      </c>
      <c r="P790" s="39" t="n">
        <v>0</v>
      </c>
      <c r="Q790" s="39" t="n">
        <v>0</v>
      </c>
      <c r="R790" s="39" t="n">
        <v>0</v>
      </c>
      <c r="S790" s="39" t="n">
        <v>0</v>
      </c>
      <c r="T790" s="40" t="n">
        <f aca="false">IF(M790=0,0,N790/M790)</f>
        <v>0.548387096774194</v>
      </c>
      <c r="U790" s="40" t="n">
        <f aca="false">IF(M790=0,0,O790/M790)</f>
        <v>0.129032258064516</v>
      </c>
      <c r="V790" s="41" t="n">
        <f aca="false">IF(M790=0,0,P790/M790)</f>
        <v>0</v>
      </c>
      <c r="W790" s="40" t="n">
        <f aca="false">IF(L790=0,0,Q790/L790)</f>
        <v>0</v>
      </c>
    </row>
    <row r="791" customFormat="false" ht="15" hidden="false" customHeight="false" outlineLevel="0" collapsed="false">
      <c r="A791" s="37" t="s">
        <v>2120</v>
      </c>
      <c r="B791" s="38" t="n">
        <v>45993.4258796296</v>
      </c>
      <c r="C791" s="37" t="s">
        <v>1201</v>
      </c>
      <c r="D791" s="37" t="s">
        <v>1728</v>
      </c>
      <c r="E791" s="37" t="s">
        <v>281</v>
      </c>
      <c r="F791" s="37" t="s">
        <v>506</v>
      </c>
      <c r="G791" s="37"/>
      <c r="H791" s="37" t="s">
        <v>61</v>
      </c>
      <c r="I791" s="37" t="s">
        <v>275</v>
      </c>
      <c r="J791" s="37" t="s">
        <v>276</v>
      </c>
      <c r="K791" s="37" t="s">
        <v>1202</v>
      </c>
      <c r="L791" s="39" t="n">
        <v>34</v>
      </c>
      <c r="M791" s="39" t="n">
        <v>34</v>
      </c>
      <c r="N791" s="39" t="n">
        <v>14</v>
      </c>
      <c r="O791" s="39" t="n">
        <v>4</v>
      </c>
      <c r="P791" s="39" t="n">
        <v>0</v>
      </c>
      <c r="Q791" s="39" t="n">
        <v>0</v>
      </c>
      <c r="R791" s="39" t="n">
        <v>0</v>
      </c>
      <c r="S791" s="39" t="n">
        <v>0</v>
      </c>
      <c r="T791" s="40" t="n">
        <f aca="false">IF(M791=0,0,N791/M791)</f>
        <v>0.411764705882353</v>
      </c>
      <c r="U791" s="40" t="n">
        <f aca="false">IF(M791=0,0,O791/M791)</f>
        <v>0.117647058823529</v>
      </c>
      <c r="V791" s="41" t="n">
        <f aca="false">IF(M791=0,0,P791/M791)</f>
        <v>0</v>
      </c>
      <c r="W791" s="40" t="n">
        <f aca="false">IF(L791=0,0,Q791/L791)</f>
        <v>0</v>
      </c>
    </row>
    <row r="792" customFormat="false" ht="15" hidden="false" customHeight="false" outlineLevel="0" collapsed="false">
      <c r="A792" s="37" t="s">
        <v>1971</v>
      </c>
      <c r="B792" s="38" t="n">
        <v>45992.8544907407</v>
      </c>
      <c r="C792" s="37" t="s">
        <v>1201</v>
      </c>
      <c r="D792" s="37" t="s">
        <v>1372</v>
      </c>
      <c r="E792" s="37" t="s">
        <v>1373</v>
      </c>
      <c r="F792" s="37" t="s">
        <v>537</v>
      </c>
      <c r="G792" s="37"/>
      <c r="H792" s="37" t="s">
        <v>63</v>
      </c>
      <c r="I792" s="37"/>
      <c r="J792" s="37" t="s">
        <v>296</v>
      </c>
      <c r="K792" s="37" t="s">
        <v>1202</v>
      </c>
      <c r="L792" s="39" t="n">
        <v>2</v>
      </c>
      <c r="M792" s="39" t="n">
        <v>2</v>
      </c>
      <c r="N792" s="39" t="n">
        <v>2</v>
      </c>
      <c r="O792" s="39" t="n">
        <v>0</v>
      </c>
      <c r="P792" s="39" t="n">
        <v>0</v>
      </c>
      <c r="Q792" s="39" t="n">
        <v>0</v>
      </c>
      <c r="R792" s="39" t="n">
        <v>0</v>
      </c>
      <c r="S792" s="39" t="n">
        <v>0</v>
      </c>
      <c r="T792" s="40" t="n">
        <f aca="false">IF(M792=0,0,N792/M792)</f>
        <v>1</v>
      </c>
      <c r="U792" s="40" t="n">
        <f aca="false">IF(M792=0,0,O792/M792)</f>
        <v>0</v>
      </c>
      <c r="V792" s="41" t="n">
        <f aca="false">IF(M792=0,0,P792/M792)</f>
        <v>0</v>
      </c>
      <c r="W792" s="40" t="n">
        <f aca="false">IF(L792=0,0,Q792/L792)</f>
        <v>0</v>
      </c>
    </row>
    <row r="793" customFormat="false" ht="15" hidden="false" customHeight="false" outlineLevel="0" collapsed="false">
      <c r="A793" s="37" t="s">
        <v>2121</v>
      </c>
      <c r="B793" s="38" t="n">
        <v>45992.8022222222</v>
      </c>
      <c r="C793" s="37" t="s">
        <v>1201</v>
      </c>
      <c r="D793" s="37" t="s">
        <v>1372</v>
      </c>
      <c r="E793" s="37" t="s">
        <v>1373</v>
      </c>
      <c r="F793" s="37" t="s">
        <v>537</v>
      </c>
      <c r="G793" s="37"/>
      <c r="H793" s="37" t="s">
        <v>63</v>
      </c>
      <c r="I793" s="37"/>
      <c r="J793" s="37" t="s">
        <v>296</v>
      </c>
      <c r="K793" s="37" t="s">
        <v>1202</v>
      </c>
      <c r="L793" s="39" t="n">
        <v>1</v>
      </c>
      <c r="M793" s="39" t="n">
        <v>1</v>
      </c>
      <c r="N793" s="39" t="n">
        <v>1</v>
      </c>
      <c r="O793" s="39" t="n">
        <v>0</v>
      </c>
      <c r="P793" s="39" t="n">
        <v>0</v>
      </c>
      <c r="Q793" s="39" t="n">
        <v>0</v>
      </c>
      <c r="R793" s="39" t="n">
        <v>0</v>
      </c>
      <c r="S793" s="39" t="n">
        <v>0</v>
      </c>
      <c r="T793" s="40" t="n">
        <f aca="false">IF(M793=0,0,N793/M793)</f>
        <v>1</v>
      </c>
      <c r="U793" s="40" t="n">
        <f aca="false">IF(M793=0,0,O793/M793)</f>
        <v>0</v>
      </c>
      <c r="V793" s="41" t="n">
        <f aca="false">IF(M793=0,0,P793/M793)</f>
        <v>0</v>
      </c>
      <c r="W793" s="40" t="n">
        <f aca="false">IF(L793=0,0,Q793/L793)</f>
        <v>0</v>
      </c>
    </row>
    <row r="794" customFormat="false" ht="15" hidden="false" customHeight="false" outlineLevel="0" collapsed="false">
      <c r="A794" s="37" t="s">
        <v>2122</v>
      </c>
      <c r="B794" s="38" t="n">
        <v>45992.604212963</v>
      </c>
      <c r="C794" s="37" t="s">
        <v>1201</v>
      </c>
      <c r="D794" s="37" t="s">
        <v>297</v>
      </c>
      <c r="E794" s="37" t="s">
        <v>1267</v>
      </c>
      <c r="F794" s="37" t="s">
        <v>537</v>
      </c>
      <c r="G794" s="37"/>
      <c r="H794" s="37" t="s">
        <v>61</v>
      </c>
      <c r="I794" s="37" t="s">
        <v>294</v>
      </c>
      <c r="J794" s="37" t="s">
        <v>296</v>
      </c>
      <c r="K794" s="37" t="s">
        <v>1202</v>
      </c>
      <c r="L794" s="39" t="n">
        <v>545</v>
      </c>
      <c r="M794" s="39" t="n">
        <v>544</v>
      </c>
      <c r="N794" s="39" t="n">
        <v>69</v>
      </c>
      <c r="O794" s="39" t="n">
        <v>57</v>
      </c>
      <c r="P794" s="39" t="n">
        <v>0</v>
      </c>
      <c r="Q794" s="39" t="n">
        <v>1</v>
      </c>
      <c r="R794" s="39" t="n">
        <v>1</v>
      </c>
      <c r="S794" s="39" t="n">
        <v>0</v>
      </c>
      <c r="T794" s="40" t="n">
        <f aca="false">IF(M794=0,0,N794/M794)</f>
        <v>0.126838235294118</v>
      </c>
      <c r="U794" s="40" t="n">
        <f aca="false">IF(M794=0,0,O794/M794)</f>
        <v>0.104779411764706</v>
      </c>
      <c r="V794" s="41" t="n">
        <f aca="false">IF(M794=0,0,P794/M794)</f>
        <v>0</v>
      </c>
      <c r="W794" s="40" t="n">
        <f aca="false">IF(L794=0,0,Q794/L794)</f>
        <v>0.0018348623853211</v>
      </c>
    </row>
    <row r="795" customFormat="false" ht="15" hidden="false" customHeight="false" outlineLevel="0" collapsed="false">
      <c r="A795" s="37" t="s">
        <v>2123</v>
      </c>
      <c r="B795" s="38" t="n">
        <v>45992.2837268519</v>
      </c>
      <c r="C795" s="37" t="s">
        <v>1201</v>
      </c>
      <c r="D795" s="37" t="s">
        <v>243</v>
      </c>
      <c r="E795" s="37" t="s">
        <v>243</v>
      </c>
      <c r="F795" s="37" t="s">
        <v>546</v>
      </c>
      <c r="G795" s="37" t="s">
        <v>546</v>
      </c>
      <c r="H795" s="37" t="s">
        <v>61</v>
      </c>
      <c r="I795" s="37" t="s">
        <v>241</v>
      </c>
      <c r="J795" s="37" t="s">
        <v>242</v>
      </c>
      <c r="K795" s="37" t="s">
        <v>1202</v>
      </c>
      <c r="L795" s="39" t="n">
        <v>708</v>
      </c>
      <c r="M795" s="39" t="n">
        <v>697</v>
      </c>
      <c r="N795" s="39" t="n">
        <v>284</v>
      </c>
      <c r="O795" s="39" t="n">
        <v>9</v>
      </c>
      <c r="P795" s="39" t="n">
        <v>9</v>
      </c>
      <c r="Q795" s="39" t="n">
        <v>11</v>
      </c>
      <c r="R795" s="39" t="n">
        <v>6</v>
      </c>
      <c r="S795" s="39" t="n">
        <v>0</v>
      </c>
      <c r="T795" s="40" t="n">
        <f aca="false">IF(M795=0,0,N795/M795)</f>
        <v>0.407460545193687</v>
      </c>
      <c r="U795" s="40" t="n">
        <f aca="false">IF(M795=0,0,O795/M795)</f>
        <v>0.0129124820659971</v>
      </c>
      <c r="V795" s="41" t="n">
        <f aca="false">IF(M795=0,0,P795/M795)</f>
        <v>0.0129124820659971</v>
      </c>
      <c r="W795" s="40" t="n">
        <f aca="false">IF(L795=0,0,Q795/L795)</f>
        <v>0.0155367231638418</v>
      </c>
    </row>
    <row r="796" customFormat="false" ht="15" hidden="false" customHeight="false" outlineLevel="0" collapsed="false">
      <c r="A796" s="37" t="s">
        <v>2124</v>
      </c>
      <c r="B796" s="38" t="n">
        <v>45992.1118518519</v>
      </c>
      <c r="C796" s="37" t="s">
        <v>1201</v>
      </c>
      <c r="D796" s="37" t="s">
        <v>656</v>
      </c>
      <c r="E796" s="37" t="s">
        <v>1546</v>
      </c>
      <c r="F796" s="37" t="s">
        <v>544</v>
      </c>
      <c r="G796" s="37"/>
      <c r="H796" s="37" t="s">
        <v>60</v>
      </c>
      <c r="I796" s="37"/>
      <c r="J796" s="37" t="s">
        <v>399</v>
      </c>
      <c r="K796" s="37" t="s">
        <v>1202</v>
      </c>
      <c r="L796" s="39" t="n">
        <v>64</v>
      </c>
      <c r="M796" s="39" t="n">
        <v>64</v>
      </c>
      <c r="N796" s="39" t="n">
        <v>14</v>
      </c>
      <c r="O796" s="39" t="n">
        <v>0</v>
      </c>
      <c r="P796" s="39" t="n">
        <v>0</v>
      </c>
      <c r="Q796" s="39" t="n">
        <v>0</v>
      </c>
      <c r="R796" s="39" t="n">
        <v>0</v>
      </c>
      <c r="S796" s="39" t="n">
        <v>0</v>
      </c>
      <c r="T796" s="40" t="n">
        <f aca="false">IF(M796=0,0,N796/M796)</f>
        <v>0.21875</v>
      </c>
      <c r="U796" s="40" t="n">
        <f aca="false">IF(M796=0,0,O796/M796)</f>
        <v>0</v>
      </c>
      <c r="V796" s="41" t="n">
        <f aca="false">IF(M796=0,0,P796/M796)</f>
        <v>0</v>
      </c>
      <c r="W796" s="40" t="n">
        <f aca="false">IF(L796=0,0,Q796/L796)</f>
        <v>0</v>
      </c>
    </row>
    <row r="797" customFormat="false" ht="15" hidden="false" customHeight="false" outlineLevel="0" collapsed="false">
      <c r="A797" s="37" t="s">
        <v>2125</v>
      </c>
      <c r="B797" s="38" t="n">
        <v>45991.8227662037</v>
      </c>
      <c r="C797" s="37" t="s">
        <v>1201</v>
      </c>
      <c r="D797" s="37" t="s">
        <v>1211</v>
      </c>
      <c r="E797" s="37" t="s">
        <v>1212</v>
      </c>
      <c r="F797" s="37" t="s">
        <v>544</v>
      </c>
      <c r="G797" s="37"/>
      <c r="H797" s="37" t="s">
        <v>60</v>
      </c>
      <c r="I797" s="37"/>
      <c r="J797" s="37" t="s">
        <v>242</v>
      </c>
      <c r="K797" s="37" t="s">
        <v>1202</v>
      </c>
      <c r="L797" s="39" t="n">
        <v>132</v>
      </c>
      <c r="M797" s="39" t="n">
        <v>132</v>
      </c>
      <c r="N797" s="39" t="n">
        <v>79</v>
      </c>
      <c r="O797" s="39" t="n">
        <v>16</v>
      </c>
      <c r="P797" s="39" t="n">
        <v>0</v>
      </c>
      <c r="Q797" s="39" t="n">
        <v>0</v>
      </c>
      <c r="R797" s="39" t="n">
        <v>0</v>
      </c>
      <c r="S797" s="39" t="n">
        <v>0</v>
      </c>
      <c r="T797" s="40" t="n">
        <f aca="false">IF(M797=0,0,N797/M797)</f>
        <v>0.598484848484849</v>
      </c>
      <c r="U797" s="40" t="n">
        <f aca="false">IF(M797=0,0,O797/M797)</f>
        <v>0.121212121212121</v>
      </c>
      <c r="V797" s="41" t="n">
        <f aca="false">IF(M797=0,0,P797/M797)</f>
        <v>0</v>
      </c>
      <c r="W797" s="40" t="n">
        <f aca="false">IF(L797=0,0,Q797/L797)</f>
        <v>0</v>
      </c>
    </row>
    <row r="798" customFormat="false" ht="15" hidden="false" customHeight="false" outlineLevel="0" collapsed="false">
      <c r="A798" s="37" t="s">
        <v>2126</v>
      </c>
      <c r="B798" s="38" t="n">
        <v>45989.2814236111</v>
      </c>
      <c r="C798" s="37" t="s">
        <v>1252</v>
      </c>
      <c r="D798" s="37" t="s">
        <v>198</v>
      </c>
      <c r="E798" s="37" t="s">
        <v>1222</v>
      </c>
      <c r="F798" s="37" t="s">
        <v>555</v>
      </c>
      <c r="G798" s="37" t="s">
        <v>1134</v>
      </c>
      <c r="H798" s="37" t="s">
        <v>65</v>
      </c>
      <c r="I798" s="37" t="s">
        <v>197</v>
      </c>
      <c r="J798" s="37" t="s">
        <v>191</v>
      </c>
      <c r="K798" s="37" t="s">
        <v>1202</v>
      </c>
      <c r="L798" s="39" t="n">
        <v>5451</v>
      </c>
      <c r="M798" s="39" t="n">
        <v>5427</v>
      </c>
      <c r="N798" s="39" t="n">
        <v>1856</v>
      </c>
      <c r="O798" s="39" t="n">
        <v>52</v>
      </c>
      <c r="P798" s="39" t="n">
        <v>30</v>
      </c>
      <c r="Q798" s="39" t="n">
        <v>24</v>
      </c>
      <c r="R798" s="39" t="n">
        <v>7</v>
      </c>
      <c r="S798" s="39" t="n">
        <v>1</v>
      </c>
      <c r="T798" s="40" t="n">
        <f aca="false">IF(M798=0,0,N798/M798)</f>
        <v>0.341993735028561</v>
      </c>
      <c r="U798" s="40" t="n">
        <f aca="false">IF(M798=0,0,O798/M798)</f>
        <v>0.00958172102450709</v>
      </c>
      <c r="V798" s="41" t="n">
        <f aca="false">IF(M798=0,0,P798/M798)</f>
        <v>0.00552791597567717</v>
      </c>
      <c r="W798" s="40" t="n">
        <f aca="false">IF(L798=0,0,Q798/L798)</f>
        <v>0.00440286186020914</v>
      </c>
    </row>
    <row r="799" customFormat="false" ht="15" hidden="false" customHeight="false" outlineLevel="0" collapsed="false">
      <c r="A799" s="37" t="s">
        <v>2127</v>
      </c>
      <c r="B799" s="38" t="n">
        <v>45989.2482523148</v>
      </c>
      <c r="C799" s="37" t="s">
        <v>1201</v>
      </c>
      <c r="D799" s="37" t="s">
        <v>251</v>
      </c>
      <c r="E799" s="37" t="s">
        <v>251</v>
      </c>
      <c r="F799" s="37" t="s">
        <v>667</v>
      </c>
      <c r="G799" s="37"/>
      <c r="H799" s="37" t="s">
        <v>60</v>
      </c>
      <c r="I799" s="37"/>
      <c r="J799" s="37" t="s">
        <v>109</v>
      </c>
      <c r="K799" s="37" t="s">
        <v>1213</v>
      </c>
      <c r="L799" s="39" t="n">
        <v>220</v>
      </c>
      <c r="M799" s="39" t="n">
        <v>216</v>
      </c>
      <c r="N799" s="39" t="n">
        <v>68</v>
      </c>
      <c r="O799" s="39" t="n">
        <v>19</v>
      </c>
      <c r="P799" s="39" t="n">
        <v>0</v>
      </c>
      <c r="Q799" s="39" t="n">
        <v>4</v>
      </c>
      <c r="R799" s="39" t="n">
        <v>4</v>
      </c>
      <c r="S799" s="39" t="n">
        <v>0</v>
      </c>
      <c r="T799" s="40" t="n">
        <f aca="false">IF(M799=0,0,N799/M799)</f>
        <v>0.314814814814815</v>
      </c>
      <c r="U799" s="40" t="n">
        <f aca="false">IF(M799=0,0,O799/M799)</f>
        <v>0.087962962962963</v>
      </c>
      <c r="V799" s="41" t="n">
        <f aca="false">IF(M799=0,0,P799/M799)</f>
        <v>0</v>
      </c>
      <c r="W799" s="40" t="n">
        <f aca="false">IF(L799=0,0,Q799/L799)</f>
        <v>0.0181818181818182</v>
      </c>
    </row>
    <row r="800" customFormat="false" ht="15" hidden="false" customHeight="false" outlineLevel="0" collapsed="false">
      <c r="A800" s="37" t="s">
        <v>2128</v>
      </c>
      <c r="B800" s="38" t="n">
        <v>45989.2353240741</v>
      </c>
      <c r="C800" s="37" t="s">
        <v>1201</v>
      </c>
      <c r="D800" s="37" t="s">
        <v>171</v>
      </c>
      <c r="E800" s="37" t="s">
        <v>172</v>
      </c>
      <c r="F800" s="37" t="s">
        <v>625</v>
      </c>
      <c r="G800" s="37" t="s">
        <v>1132</v>
      </c>
      <c r="H800" s="37" t="s">
        <v>61</v>
      </c>
      <c r="I800" s="37" t="s">
        <v>169</v>
      </c>
      <c r="J800" s="37" t="s">
        <v>170</v>
      </c>
      <c r="K800" s="37" t="s">
        <v>1202</v>
      </c>
      <c r="L800" s="39" t="n">
        <v>158</v>
      </c>
      <c r="M800" s="39" t="n">
        <v>158</v>
      </c>
      <c r="N800" s="39" t="n">
        <v>32</v>
      </c>
      <c r="O800" s="39" t="n">
        <v>4</v>
      </c>
      <c r="P800" s="39" t="n">
        <v>0</v>
      </c>
      <c r="Q800" s="39" t="n">
        <v>0</v>
      </c>
      <c r="R800" s="39" t="n">
        <v>0</v>
      </c>
      <c r="S800" s="39" t="n">
        <v>0</v>
      </c>
      <c r="T800" s="40" t="n">
        <f aca="false">IF(M800=0,0,N800/M800)</f>
        <v>0.20253164556962</v>
      </c>
      <c r="U800" s="40" t="n">
        <f aca="false">IF(M800=0,0,O800/M800)</f>
        <v>0.0253164556962025</v>
      </c>
      <c r="V800" s="41" t="n">
        <f aca="false">IF(M800=0,0,P800/M800)</f>
        <v>0</v>
      </c>
      <c r="W800" s="40" t="n">
        <f aca="false">IF(L800=0,0,Q800/L800)</f>
        <v>0</v>
      </c>
    </row>
    <row r="801" customFormat="false" ht="15" hidden="false" customHeight="false" outlineLevel="0" collapsed="false">
      <c r="A801" s="37" t="s">
        <v>2129</v>
      </c>
      <c r="B801" s="38" t="n">
        <v>45989.1253587963</v>
      </c>
      <c r="C801" s="37" t="s">
        <v>1201</v>
      </c>
      <c r="D801" s="37" t="s">
        <v>1527</v>
      </c>
      <c r="E801" s="37" t="s">
        <v>1995</v>
      </c>
      <c r="F801" s="37" t="s">
        <v>544</v>
      </c>
      <c r="G801" s="37"/>
      <c r="H801" s="37" t="s">
        <v>60</v>
      </c>
      <c r="I801" s="37"/>
      <c r="J801" s="37" t="s">
        <v>364</v>
      </c>
      <c r="K801" s="37" t="s">
        <v>1213</v>
      </c>
      <c r="L801" s="39" t="n">
        <v>1022</v>
      </c>
      <c r="M801" s="39" t="n">
        <v>1021</v>
      </c>
      <c r="N801" s="39" t="n">
        <v>453</v>
      </c>
      <c r="O801" s="39" t="n">
        <v>34</v>
      </c>
      <c r="P801" s="39" t="n">
        <v>5</v>
      </c>
      <c r="Q801" s="39" t="n">
        <v>1</v>
      </c>
      <c r="R801" s="39" t="n">
        <v>0</v>
      </c>
      <c r="S801" s="39" t="n">
        <v>0</v>
      </c>
      <c r="T801" s="40" t="n">
        <f aca="false">IF(M801=0,0,N801/M801)</f>
        <v>0.443682664054848</v>
      </c>
      <c r="U801" s="40" t="n">
        <f aca="false">IF(M801=0,0,O801/M801)</f>
        <v>0.0333006856023506</v>
      </c>
      <c r="V801" s="41" t="n">
        <f aca="false">IF(M801=0,0,P801/M801)</f>
        <v>0.00489715964740451</v>
      </c>
      <c r="W801" s="40" t="n">
        <f aca="false">IF(L801=0,0,Q801/L801)</f>
        <v>0.000978473581213307</v>
      </c>
    </row>
    <row r="802" customFormat="false" ht="15" hidden="false" customHeight="false" outlineLevel="0" collapsed="false">
      <c r="A802" s="37" t="s">
        <v>2130</v>
      </c>
      <c r="B802" s="38" t="n">
        <v>45989.0648958333</v>
      </c>
      <c r="C802" s="37" t="s">
        <v>1241</v>
      </c>
      <c r="D802" s="37" t="s">
        <v>1981</v>
      </c>
      <c r="E802" s="37" t="s">
        <v>1115</v>
      </c>
      <c r="F802" s="37" t="s">
        <v>555</v>
      </c>
      <c r="G802" s="37"/>
      <c r="H802" s="37" t="s">
        <v>63</v>
      </c>
      <c r="I802" s="37"/>
      <c r="J802" s="37" t="s">
        <v>144</v>
      </c>
      <c r="K802" s="37" t="s">
        <v>1202</v>
      </c>
      <c r="L802" s="39" t="n">
        <v>273</v>
      </c>
      <c r="M802" s="39" t="n">
        <v>271</v>
      </c>
      <c r="N802" s="39" t="n">
        <v>180</v>
      </c>
      <c r="O802" s="39" t="n">
        <v>5</v>
      </c>
      <c r="P802" s="39" t="n">
        <v>2</v>
      </c>
      <c r="Q802" s="39" t="n">
        <v>2</v>
      </c>
      <c r="R802" s="39" t="n">
        <v>1</v>
      </c>
      <c r="S802" s="39" t="n">
        <v>0</v>
      </c>
      <c r="T802" s="40" t="n">
        <f aca="false">IF(M802=0,0,N802/M802)</f>
        <v>0.664206642066421</v>
      </c>
      <c r="U802" s="40" t="n">
        <f aca="false">IF(M802=0,0,O802/M802)</f>
        <v>0.018450184501845</v>
      </c>
      <c r="V802" s="41" t="n">
        <f aca="false">IF(M802=0,0,P802/M802)</f>
        <v>0.00738007380073801</v>
      </c>
      <c r="W802" s="40" t="n">
        <f aca="false">IF(L802=0,0,Q802/L802)</f>
        <v>0.00732600732600733</v>
      </c>
    </row>
    <row r="803" customFormat="false" ht="15" hidden="false" customHeight="false" outlineLevel="0" collapsed="false">
      <c r="A803" s="37" t="s">
        <v>2131</v>
      </c>
      <c r="B803" s="38" t="n">
        <v>45989.0110185185</v>
      </c>
      <c r="C803" s="37" t="s">
        <v>1201</v>
      </c>
      <c r="D803" s="37" t="s">
        <v>110</v>
      </c>
      <c r="E803" s="37" t="s">
        <v>252</v>
      </c>
      <c r="F803" s="37" t="s">
        <v>667</v>
      </c>
      <c r="G803" s="37" t="s">
        <v>1132</v>
      </c>
      <c r="H803" s="37" t="s">
        <v>61</v>
      </c>
      <c r="I803" s="37" t="s">
        <v>107</v>
      </c>
      <c r="J803" s="37" t="s">
        <v>109</v>
      </c>
      <c r="K803" s="37" t="s">
        <v>1202</v>
      </c>
      <c r="L803" s="39" t="n">
        <v>1985</v>
      </c>
      <c r="M803" s="39" t="n">
        <v>1966</v>
      </c>
      <c r="N803" s="39" t="n">
        <v>736</v>
      </c>
      <c r="O803" s="39" t="n">
        <v>25</v>
      </c>
      <c r="P803" s="39" t="n">
        <v>15</v>
      </c>
      <c r="Q803" s="39" t="n">
        <v>19</v>
      </c>
      <c r="R803" s="39" t="n">
        <v>13</v>
      </c>
      <c r="S803" s="39" t="n">
        <v>0</v>
      </c>
      <c r="T803" s="40" t="n">
        <f aca="false">IF(M803=0,0,N803/M803)</f>
        <v>0.374364191251272</v>
      </c>
      <c r="U803" s="40" t="n">
        <f aca="false">IF(M803=0,0,O803/M803)</f>
        <v>0.0127161749745677</v>
      </c>
      <c r="V803" s="41" t="n">
        <f aca="false">IF(M803=0,0,P803/M803)</f>
        <v>0.00762970498474059</v>
      </c>
      <c r="W803" s="40" t="n">
        <f aca="false">IF(L803=0,0,Q803/L803)</f>
        <v>0.00957178841309824</v>
      </c>
    </row>
    <row r="804" customFormat="false" ht="15" hidden="false" customHeight="false" outlineLevel="0" collapsed="false">
      <c r="A804" s="37" t="s">
        <v>2132</v>
      </c>
      <c r="B804" s="38" t="n">
        <v>45988.9691898148</v>
      </c>
      <c r="C804" s="37" t="s">
        <v>1201</v>
      </c>
      <c r="D804" s="37" t="s">
        <v>1372</v>
      </c>
      <c r="E804" s="37" t="s">
        <v>1373</v>
      </c>
      <c r="F804" s="37" t="s">
        <v>537</v>
      </c>
      <c r="G804" s="37"/>
      <c r="H804" s="37" t="s">
        <v>63</v>
      </c>
      <c r="I804" s="37"/>
      <c r="J804" s="37" t="s">
        <v>296</v>
      </c>
      <c r="K804" s="37" t="s">
        <v>1202</v>
      </c>
      <c r="L804" s="39" t="n">
        <v>2</v>
      </c>
      <c r="M804" s="39" t="n">
        <v>2</v>
      </c>
      <c r="N804" s="39" t="n">
        <v>2</v>
      </c>
      <c r="O804" s="39" t="n">
        <v>0</v>
      </c>
      <c r="P804" s="39" t="n">
        <v>0</v>
      </c>
      <c r="Q804" s="39" t="n">
        <v>0</v>
      </c>
      <c r="R804" s="39" t="n">
        <v>0</v>
      </c>
      <c r="S804" s="39" t="n">
        <v>0</v>
      </c>
      <c r="T804" s="40" t="n">
        <f aca="false">IF(M804=0,0,N804/M804)</f>
        <v>1</v>
      </c>
      <c r="U804" s="40" t="n">
        <f aca="false">IF(M804=0,0,O804/M804)</f>
        <v>0</v>
      </c>
      <c r="V804" s="41" t="n">
        <f aca="false">IF(M804=0,0,P804/M804)</f>
        <v>0</v>
      </c>
      <c r="W804" s="40" t="n">
        <f aca="false">IF(L804=0,0,Q804/L804)</f>
        <v>0</v>
      </c>
    </row>
    <row r="805" customFormat="false" ht="15" hidden="false" customHeight="false" outlineLevel="0" collapsed="false">
      <c r="A805" s="37" t="s">
        <v>2133</v>
      </c>
      <c r="B805" s="38" t="n">
        <v>45988.7750925926</v>
      </c>
      <c r="C805" s="37" t="s">
        <v>1201</v>
      </c>
      <c r="D805" s="37" t="s">
        <v>127</v>
      </c>
      <c r="E805" s="37" t="s">
        <v>128</v>
      </c>
      <c r="F805" s="37" t="s">
        <v>127</v>
      </c>
      <c r="G805" s="37"/>
      <c r="H805" s="37" t="s">
        <v>60</v>
      </c>
      <c r="I805" s="37" t="s">
        <v>125</v>
      </c>
      <c r="J805" s="37" t="s">
        <v>126</v>
      </c>
      <c r="K805" s="37" t="s">
        <v>1202</v>
      </c>
      <c r="L805" s="39" t="n">
        <v>2357</v>
      </c>
      <c r="M805" s="39" t="n">
        <v>2345</v>
      </c>
      <c r="N805" s="39" t="n">
        <v>802</v>
      </c>
      <c r="O805" s="39" t="n">
        <v>45</v>
      </c>
      <c r="P805" s="39" t="n">
        <v>12</v>
      </c>
      <c r="Q805" s="39" t="n">
        <v>12</v>
      </c>
      <c r="R805" s="39" t="n">
        <v>8</v>
      </c>
      <c r="S805" s="39" t="n">
        <v>0</v>
      </c>
      <c r="T805" s="40" t="n">
        <f aca="false">IF(M805=0,0,N805/M805)</f>
        <v>0.342004264392324</v>
      </c>
      <c r="U805" s="40" t="n">
        <f aca="false">IF(M805=0,0,O805/M805)</f>
        <v>0.0191897654584222</v>
      </c>
      <c r="V805" s="41" t="n">
        <f aca="false">IF(M805=0,0,P805/M805)</f>
        <v>0.00511727078891258</v>
      </c>
      <c r="W805" s="40" t="n">
        <f aca="false">IF(L805=0,0,Q805/L805)</f>
        <v>0.00509121764955452</v>
      </c>
    </row>
    <row r="806" customFormat="false" ht="15" hidden="false" customHeight="false" outlineLevel="0" collapsed="false">
      <c r="A806" s="37" t="s">
        <v>2134</v>
      </c>
      <c r="B806" s="38" t="n">
        <v>45988.7295949074</v>
      </c>
      <c r="C806" s="37" t="s">
        <v>1252</v>
      </c>
      <c r="D806" s="37" t="s">
        <v>217</v>
      </c>
      <c r="E806" s="37" t="s">
        <v>193</v>
      </c>
      <c r="F806" s="37" t="s">
        <v>555</v>
      </c>
      <c r="G806" s="37" t="s">
        <v>1134</v>
      </c>
      <c r="H806" s="37" t="s">
        <v>65</v>
      </c>
      <c r="I806" s="37" t="s">
        <v>216</v>
      </c>
      <c r="J806" s="37" t="s">
        <v>191</v>
      </c>
      <c r="K806" s="37" t="s">
        <v>1202</v>
      </c>
      <c r="L806" s="39" t="n">
        <v>2417</v>
      </c>
      <c r="M806" s="39" t="n">
        <v>2403</v>
      </c>
      <c r="N806" s="39" t="n">
        <v>581</v>
      </c>
      <c r="O806" s="39" t="n">
        <v>23</v>
      </c>
      <c r="P806" s="39" t="n">
        <v>18</v>
      </c>
      <c r="Q806" s="39" t="n">
        <v>14</v>
      </c>
      <c r="R806" s="39" t="n">
        <v>7</v>
      </c>
      <c r="S806" s="39" t="n">
        <v>2</v>
      </c>
      <c r="T806" s="40" t="n">
        <f aca="false">IF(M806=0,0,N806/M806)</f>
        <v>0.241781106949646</v>
      </c>
      <c r="U806" s="40" t="n">
        <f aca="false">IF(M806=0,0,O806/M806)</f>
        <v>0.00957136912193092</v>
      </c>
      <c r="V806" s="41" t="n">
        <f aca="false">IF(M806=0,0,P806/M806)</f>
        <v>0.00749063670411985</v>
      </c>
      <c r="W806" s="40" t="n">
        <f aca="false">IF(L806=0,0,Q806/L806)</f>
        <v>0.0057923045097228</v>
      </c>
    </row>
    <row r="807" customFormat="false" ht="15" hidden="false" customHeight="false" outlineLevel="0" collapsed="false">
      <c r="A807" s="37" t="s">
        <v>2135</v>
      </c>
      <c r="B807" s="38" t="n">
        <v>45988.1502546296</v>
      </c>
      <c r="C807" s="37" t="s">
        <v>1201</v>
      </c>
      <c r="D807" s="37" t="s">
        <v>2136</v>
      </c>
      <c r="E807" s="37" t="s">
        <v>1992</v>
      </c>
      <c r="F807" s="37" t="s">
        <v>647</v>
      </c>
      <c r="G807" s="37"/>
      <c r="H807" s="37" t="s">
        <v>61</v>
      </c>
      <c r="I807" s="37"/>
      <c r="J807" s="37" t="s">
        <v>430</v>
      </c>
      <c r="K807" s="37" t="s">
        <v>8</v>
      </c>
      <c r="L807" s="39" t="n">
        <v>149</v>
      </c>
      <c r="M807" s="39" t="n">
        <v>148</v>
      </c>
      <c r="N807" s="39" t="n">
        <v>68</v>
      </c>
      <c r="O807" s="39" t="n">
        <v>7</v>
      </c>
      <c r="P807" s="39" t="n">
        <v>0</v>
      </c>
      <c r="Q807" s="39" t="n">
        <v>1</v>
      </c>
      <c r="R807" s="39" t="n">
        <v>0</v>
      </c>
      <c r="S807" s="39" t="n">
        <v>0</v>
      </c>
      <c r="T807" s="40" t="n">
        <f aca="false">IF(M807=0,0,N807/M807)</f>
        <v>0.45945945945946</v>
      </c>
      <c r="U807" s="40" t="n">
        <f aca="false">IF(M807=0,0,O807/M807)</f>
        <v>0.0472972972972973</v>
      </c>
      <c r="V807" s="41" t="n">
        <f aca="false">IF(M807=0,0,P807/M807)</f>
        <v>0</v>
      </c>
      <c r="W807" s="40" t="n">
        <f aca="false">IF(L807=0,0,Q807/L807)</f>
        <v>0.00671140939597315</v>
      </c>
    </row>
    <row r="808" customFormat="false" ht="15" hidden="false" customHeight="false" outlineLevel="0" collapsed="false">
      <c r="A808" s="37" t="s">
        <v>2137</v>
      </c>
      <c r="B808" s="38" t="n">
        <v>45987.7920023148</v>
      </c>
      <c r="C808" s="37" t="s">
        <v>1201</v>
      </c>
      <c r="D808" s="37" t="s">
        <v>1372</v>
      </c>
      <c r="E808" s="37" t="s">
        <v>1373</v>
      </c>
      <c r="F808" s="37" t="s">
        <v>537</v>
      </c>
      <c r="G808" s="37"/>
      <c r="H808" s="37" t="s">
        <v>60</v>
      </c>
      <c r="I808" s="37"/>
      <c r="J808" s="37" t="s">
        <v>296</v>
      </c>
      <c r="K808" s="37" t="s">
        <v>1202</v>
      </c>
      <c r="L808" s="39" t="n">
        <v>2</v>
      </c>
      <c r="M808" s="39" t="n">
        <v>2</v>
      </c>
      <c r="N808" s="39" t="n">
        <v>2</v>
      </c>
      <c r="O808" s="39" t="n">
        <v>0</v>
      </c>
      <c r="P808" s="39" t="n">
        <v>0</v>
      </c>
      <c r="Q808" s="39" t="n">
        <v>0</v>
      </c>
      <c r="R808" s="39" t="n">
        <v>0</v>
      </c>
      <c r="S808" s="39" t="n">
        <v>0</v>
      </c>
      <c r="T808" s="40" t="n">
        <f aca="false">IF(M808=0,0,N808/M808)</f>
        <v>1</v>
      </c>
      <c r="U808" s="40" t="n">
        <f aca="false">IF(M808=0,0,O808/M808)</f>
        <v>0</v>
      </c>
      <c r="V808" s="41" t="n">
        <f aca="false">IF(M808=0,0,P808/M808)</f>
        <v>0</v>
      </c>
      <c r="W808" s="40" t="n">
        <f aca="false">IF(L808=0,0,Q808/L808)</f>
        <v>0</v>
      </c>
    </row>
    <row r="809" customFormat="false" ht="15" hidden="false" customHeight="false" outlineLevel="0" collapsed="false">
      <c r="A809" s="37" t="s">
        <v>2138</v>
      </c>
      <c r="B809" s="38" t="n">
        <v>45987.4517476852</v>
      </c>
      <c r="C809" s="37" t="s">
        <v>1201</v>
      </c>
      <c r="D809" s="37" t="s">
        <v>133</v>
      </c>
      <c r="E809" s="37" t="s">
        <v>134</v>
      </c>
      <c r="F809" s="37" t="s">
        <v>544</v>
      </c>
      <c r="G809" s="37" t="s">
        <v>1132</v>
      </c>
      <c r="H809" s="37" t="s">
        <v>61</v>
      </c>
      <c r="I809" s="37" t="s">
        <v>131</v>
      </c>
      <c r="J809" s="37" t="s">
        <v>132</v>
      </c>
      <c r="K809" s="37" t="s">
        <v>1202</v>
      </c>
      <c r="L809" s="39" t="n">
        <v>2826</v>
      </c>
      <c r="M809" s="39" t="n">
        <v>2809</v>
      </c>
      <c r="N809" s="39" t="n">
        <v>403</v>
      </c>
      <c r="O809" s="39" t="n">
        <v>33</v>
      </c>
      <c r="P809" s="39" t="n">
        <v>20</v>
      </c>
      <c r="Q809" s="39" t="n">
        <v>17</v>
      </c>
      <c r="R809" s="39" t="n">
        <v>14</v>
      </c>
      <c r="S809" s="39" t="n">
        <v>0</v>
      </c>
      <c r="T809" s="40" t="n">
        <f aca="false">IF(M809=0,0,N809/M809)</f>
        <v>0.143467426130295</v>
      </c>
      <c r="U809" s="40" t="n">
        <f aca="false">IF(M809=0,0,O809/M809)</f>
        <v>0.011747953008188</v>
      </c>
      <c r="V809" s="41" t="n">
        <f aca="false">IF(M809=0,0,P809/M809)</f>
        <v>0.00711997152011392</v>
      </c>
      <c r="W809" s="40" t="n">
        <f aca="false">IF(L809=0,0,Q809/L809)</f>
        <v>0.00601556970983723</v>
      </c>
    </row>
    <row r="810" customFormat="false" ht="15" hidden="false" customHeight="false" outlineLevel="0" collapsed="false">
      <c r="A810" s="37" t="s">
        <v>2139</v>
      </c>
      <c r="B810" s="38" t="n">
        <v>45987.3564814815</v>
      </c>
      <c r="C810" s="37" t="s">
        <v>1241</v>
      </c>
      <c r="D810" s="37" t="s">
        <v>1862</v>
      </c>
      <c r="E810" s="37" t="s">
        <v>1115</v>
      </c>
      <c r="F810" s="37" t="s">
        <v>555</v>
      </c>
      <c r="G810" s="37"/>
      <c r="H810" s="37" t="s">
        <v>63</v>
      </c>
      <c r="I810" s="37"/>
      <c r="J810" s="37" t="s">
        <v>375</v>
      </c>
      <c r="K810" s="37" t="s">
        <v>1202</v>
      </c>
      <c r="L810" s="39" t="n">
        <v>99</v>
      </c>
      <c r="M810" s="39" t="n">
        <v>98</v>
      </c>
      <c r="N810" s="39" t="n">
        <v>80</v>
      </c>
      <c r="O810" s="39" t="n">
        <v>1</v>
      </c>
      <c r="P810" s="39" t="n">
        <v>0</v>
      </c>
      <c r="Q810" s="39" t="n">
        <v>1</v>
      </c>
      <c r="R810" s="39" t="n">
        <v>1</v>
      </c>
      <c r="S810" s="39" t="n">
        <v>0</v>
      </c>
      <c r="T810" s="40" t="n">
        <f aca="false">IF(M810=0,0,N810/M810)</f>
        <v>0.816326530612245</v>
      </c>
      <c r="U810" s="40" t="n">
        <f aca="false">IF(M810=0,0,O810/M810)</f>
        <v>0.0102040816326531</v>
      </c>
      <c r="V810" s="41" t="n">
        <f aca="false">IF(M810=0,0,P810/M810)</f>
        <v>0</v>
      </c>
      <c r="W810" s="40" t="n">
        <f aca="false">IF(L810=0,0,Q810/L810)</f>
        <v>0.0101010101010101</v>
      </c>
    </row>
    <row r="811" customFormat="false" ht="15" hidden="false" customHeight="false" outlineLevel="0" collapsed="false">
      <c r="A811" s="37" t="s">
        <v>2140</v>
      </c>
      <c r="B811" s="38" t="n">
        <v>45987.3337037037</v>
      </c>
      <c r="C811" s="37" t="s">
        <v>1201</v>
      </c>
      <c r="D811" s="37" t="s">
        <v>101</v>
      </c>
      <c r="E811" s="37" t="s">
        <v>1267</v>
      </c>
      <c r="F811" s="37" t="s">
        <v>548</v>
      </c>
      <c r="G811" s="37" t="s">
        <v>2048</v>
      </c>
      <c r="H811" s="37" t="s">
        <v>60</v>
      </c>
      <c r="I811" s="37" t="s">
        <v>98</v>
      </c>
      <c r="J811" s="37" t="s">
        <v>100</v>
      </c>
      <c r="K811" s="37" t="s">
        <v>1202</v>
      </c>
      <c r="L811" s="39" t="n">
        <v>5870</v>
      </c>
      <c r="M811" s="39" t="n">
        <v>5842</v>
      </c>
      <c r="N811" s="39" t="n">
        <v>995</v>
      </c>
      <c r="O811" s="39" t="n">
        <v>164</v>
      </c>
      <c r="P811" s="39" t="n">
        <v>40</v>
      </c>
      <c r="Q811" s="39" t="n">
        <v>28</v>
      </c>
      <c r="R811" s="39" t="n">
        <v>17</v>
      </c>
      <c r="S811" s="39" t="n">
        <v>0</v>
      </c>
      <c r="T811" s="40" t="n">
        <f aca="false">IF(M811=0,0,N811/M811)</f>
        <v>0.170318384115029</v>
      </c>
      <c r="U811" s="40" t="n">
        <f aca="false">IF(M811=0,0,O811/M811)</f>
        <v>0.0280725778842862</v>
      </c>
      <c r="V811" s="41" t="n">
        <f aca="false">IF(M811=0,0,P811/M811)</f>
        <v>0.00684697021567956</v>
      </c>
      <c r="W811" s="40" t="n">
        <f aca="false">IF(L811=0,0,Q811/L811)</f>
        <v>0.00477001703577513</v>
      </c>
    </row>
    <row r="812" customFormat="false" ht="15" hidden="false" customHeight="false" outlineLevel="0" collapsed="false">
      <c r="A812" s="37" t="s">
        <v>2141</v>
      </c>
      <c r="B812" s="38" t="n">
        <v>45987.3232986111</v>
      </c>
      <c r="C812" s="37" t="s">
        <v>1252</v>
      </c>
      <c r="D812" s="37" t="s">
        <v>1392</v>
      </c>
      <c r="E812" s="37" t="s">
        <v>166</v>
      </c>
      <c r="F812" s="37" t="s">
        <v>671</v>
      </c>
      <c r="G812" s="37" t="s">
        <v>1734</v>
      </c>
      <c r="H812" s="37" t="s">
        <v>61</v>
      </c>
      <c r="I812" s="37" t="s">
        <v>260</v>
      </c>
      <c r="J812" s="37" t="s">
        <v>164</v>
      </c>
      <c r="K812" s="37" t="s">
        <v>1202</v>
      </c>
      <c r="L812" s="39" t="n">
        <v>22</v>
      </c>
      <c r="M812" s="39" t="n">
        <v>22</v>
      </c>
      <c r="N812" s="39" t="n">
        <v>13</v>
      </c>
      <c r="O812" s="39" t="n">
        <v>3</v>
      </c>
      <c r="P812" s="39" t="n">
        <v>0</v>
      </c>
      <c r="Q812" s="39" t="n">
        <v>0</v>
      </c>
      <c r="R812" s="39" t="n">
        <v>0</v>
      </c>
      <c r="S812" s="39" t="n">
        <v>0</v>
      </c>
      <c r="T812" s="40" t="n">
        <f aca="false">IF(M812=0,0,N812/M812)</f>
        <v>0.590909090909091</v>
      </c>
      <c r="U812" s="40" t="n">
        <f aca="false">IF(M812=0,0,O812/M812)</f>
        <v>0.136363636363636</v>
      </c>
      <c r="V812" s="41" t="n">
        <f aca="false">IF(M812=0,0,P812/M812)</f>
        <v>0</v>
      </c>
      <c r="W812" s="40" t="n">
        <f aca="false">IF(L812=0,0,Q812/L812)</f>
        <v>0</v>
      </c>
    </row>
    <row r="813" customFormat="false" ht="15" hidden="false" customHeight="false" outlineLevel="0" collapsed="false">
      <c r="A813" s="37" t="s">
        <v>2142</v>
      </c>
      <c r="B813" s="38" t="n">
        <v>45987.011099537</v>
      </c>
      <c r="C813" s="37" t="s">
        <v>1201</v>
      </c>
      <c r="D813" s="37" t="s">
        <v>1372</v>
      </c>
      <c r="E813" s="37" t="s">
        <v>1373</v>
      </c>
      <c r="F813" s="37" t="s">
        <v>537</v>
      </c>
      <c r="G813" s="37"/>
      <c r="H813" s="37" t="s">
        <v>63</v>
      </c>
      <c r="I813" s="37"/>
      <c r="J813" s="37" t="s">
        <v>296</v>
      </c>
      <c r="K813" s="37" t="s">
        <v>1202</v>
      </c>
      <c r="L813" s="39" t="n">
        <v>1</v>
      </c>
      <c r="M813" s="39" t="n">
        <v>1</v>
      </c>
      <c r="N813" s="39" t="n">
        <v>1</v>
      </c>
      <c r="O813" s="39" t="n">
        <v>0</v>
      </c>
      <c r="P813" s="39" t="n">
        <v>0</v>
      </c>
      <c r="Q813" s="39" t="n">
        <v>0</v>
      </c>
      <c r="R813" s="39" t="n">
        <v>0</v>
      </c>
      <c r="S813" s="39" t="n">
        <v>0</v>
      </c>
      <c r="T813" s="40" t="n">
        <f aca="false">IF(M813=0,0,N813/M813)</f>
        <v>1</v>
      </c>
      <c r="U813" s="40" t="n">
        <f aca="false">IF(M813=0,0,O813/M813)</f>
        <v>0</v>
      </c>
      <c r="V813" s="41" t="n">
        <f aca="false">IF(M813=0,0,P813/M813)</f>
        <v>0</v>
      </c>
      <c r="W813" s="40" t="n">
        <f aca="false">IF(L813=0,0,Q813/L813)</f>
        <v>0</v>
      </c>
    </row>
    <row r="814" customFormat="false" ht="15" hidden="false" customHeight="false" outlineLevel="0" collapsed="false">
      <c r="A814" s="37" t="s">
        <v>2143</v>
      </c>
      <c r="B814" s="38" t="n">
        <v>45986.5005324074</v>
      </c>
      <c r="C814" s="37" t="s">
        <v>1252</v>
      </c>
      <c r="D814" s="37" t="s">
        <v>2087</v>
      </c>
      <c r="E814" s="37" t="s">
        <v>193</v>
      </c>
      <c r="F814" s="37" t="s">
        <v>555</v>
      </c>
      <c r="G814" s="37" t="s">
        <v>1135</v>
      </c>
      <c r="H814" s="37" t="s">
        <v>65</v>
      </c>
      <c r="I814" s="37"/>
      <c r="J814" s="37" t="s">
        <v>191</v>
      </c>
      <c r="K814" s="37" t="s">
        <v>1202</v>
      </c>
      <c r="L814" s="39" t="n">
        <v>2226</v>
      </c>
      <c r="M814" s="39" t="n">
        <v>2203</v>
      </c>
      <c r="N814" s="39" t="n">
        <v>769</v>
      </c>
      <c r="O814" s="39" t="n">
        <v>104</v>
      </c>
      <c r="P814" s="39" t="n">
        <v>24</v>
      </c>
      <c r="Q814" s="39" t="n">
        <v>23</v>
      </c>
      <c r="R814" s="39" t="n">
        <v>11</v>
      </c>
      <c r="S814" s="39" t="n">
        <v>0</v>
      </c>
      <c r="T814" s="40" t="n">
        <f aca="false">IF(M814=0,0,N814/M814)</f>
        <v>0.349069450748979</v>
      </c>
      <c r="U814" s="40" t="n">
        <f aca="false">IF(M814=0,0,O814/M814)</f>
        <v>0.047208352246936</v>
      </c>
      <c r="V814" s="41" t="n">
        <f aca="false">IF(M814=0,0,P814/M814)</f>
        <v>0.0108942351339083</v>
      </c>
      <c r="W814" s="40" t="n">
        <f aca="false">IF(L814=0,0,Q814/L814)</f>
        <v>0.0103324348607367</v>
      </c>
    </row>
    <row r="815" customFormat="false" ht="15" hidden="false" customHeight="false" outlineLevel="0" collapsed="false">
      <c r="A815" s="37" t="s">
        <v>2144</v>
      </c>
      <c r="B815" s="38" t="n">
        <v>45986.3718865741</v>
      </c>
      <c r="C815" s="37" t="s">
        <v>1201</v>
      </c>
      <c r="D815" s="37" t="s">
        <v>1453</v>
      </c>
      <c r="E815" s="37" t="s">
        <v>1360</v>
      </c>
      <c r="F815" s="37" t="s">
        <v>544</v>
      </c>
      <c r="G815" s="37"/>
      <c r="H815" s="37" t="s">
        <v>60</v>
      </c>
      <c r="I815" s="37"/>
      <c r="J815" s="37" t="s">
        <v>100</v>
      </c>
      <c r="K815" s="37" t="s">
        <v>1202</v>
      </c>
      <c r="L815" s="39" t="n">
        <v>438</v>
      </c>
      <c r="M815" s="39" t="n">
        <v>437</v>
      </c>
      <c r="N815" s="39" t="n">
        <v>235</v>
      </c>
      <c r="O815" s="39" t="n">
        <v>72</v>
      </c>
      <c r="P815" s="39" t="n">
        <v>1</v>
      </c>
      <c r="Q815" s="39" t="n">
        <v>1</v>
      </c>
      <c r="R815" s="39" t="n">
        <v>0</v>
      </c>
      <c r="S815" s="39" t="n">
        <v>0</v>
      </c>
      <c r="T815" s="40" t="n">
        <f aca="false">IF(M815=0,0,N815/M815)</f>
        <v>0.537757437070938</v>
      </c>
      <c r="U815" s="40" t="n">
        <f aca="false">IF(M815=0,0,O815/M815)</f>
        <v>0.164759725400458</v>
      </c>
      <c r="V815" s="41" t="n">
        <f aca="false">IF(M815=0,0,P815/M815)</f>
        <v>0.0022883295194508</v>
      </c>
      <c r="W815" s="40" t="n">
        <f aca="false">IF(L815=0,0,Q815/L815)</f>
        <v>0.00228310502283105</v>
      </c>
    </row>
    <row r="816" customFormat="false" ht="15" hidden="false" customHeight="false" outlineLevel="0" collapsed="false">
      <c r="A816" s="37" t="s">
        <v>2145</v>
      </c>
      <c r="B816" s="38" t="n">
        <v>45986.3333333333</v>
      </c>
      <c r="C816" s="37" t="s">
        <v>1201</v>
      </c>
      <c r="D816" s="37" t="s">
        <v>1372</v>
      </c>
      <c r="E816" s="37" t="s">
        <v>1373</v>
      </c>
      <c r="F816" s="37" t="s">
        <v>537</v>
      </c>
      <c r="G816" s="37"/>
      <c r="H816" s="37" t="s">
        <v>63</v>
      </c>
      <c r="I816" s="37"/>
      <c r="J816" s="37" t="s">
        <v>296</v>
      </c>
      <c r="K816" s="37" t="s">
        <v>1202</v>
      </c>
      <c r="L816" s="39" t="n">
        <v>2</v>
      </c>
      <c r="M816" s="39" t="n">
        <v>2</v>
      </c>
      <c r="N816" s="39" t="n">
        <v>2</v>
      </c>
      <c r="O816" s="39" t="n">
        <v>0</v>
      </c>
      <c r="P816" s="39" t="n">
        <v>0</v>
      </c>
      <c r="Q816" s="39" t="n">
        <v>0</v>
      </c>
      <c r="R816" s="39" t="n">
        <v>0</v>
      </c>
      <c r="S816" s="39" t="n">
        <v>0</v>
      </c>
      <c r="T816" s="40" t="n">
        <f aca="false">IF(M816=0,0,N816/M816)</f>
        <v>1</v>
      </c>
      <c r="U816" s="40" t="n">
        <f aca="false">IF(M816=0,0,O816/M816)</f>
        <v>0</v>
      </c>
      <c r="V816" s="41" t="n">
        <f aca="false">IF(M816=0,0,P816/M816)</f>
        <v>0</v>
      </c>
      <c r="W816" s="40" t="n">
        <f aca="false">IF(L816=0,0,Q816/L816)</f>
        <v>0</v>
      </c>
    </row>
    <row r="817" customFormat="false" ht="15" hidden="false" customHeight="false" outlineLevel="0" collapsed="false">
      <c r="A817" s="37" t="s">
        <v>2146</v>
      </c>
      <c r="B817" s="38" t="n">
        <v>45986.3317361111</v>
      </c>
      <c r="C817" s="37" t="s">
        <v>1201</v>
      </c>
      <c r="D817" s="37" t="s">
        <v>1562</v>
      </c>
      <c r="E817" s="37" t="s">
        <v>288</v>
      </c>
      <c r="F817" s="37" t="s">
        <v>505</v>
      </c>
      <c r="G817" s="37"/>
      <c r="H817" s="37" t="s">
        <v>60</v>
      </c>
      <c r="I817" s="37"/>
      <c r="J817" s="37" t="s">
        <v>287</v>
      </c>
      <c r="K817" s="37" t="s">
        <v>1202</v>
      </c>
      <c r="L817" s="39" t="n">
        <v>467</v>
      </c>
      <c r="M817" s="39" t="n">
        <v>467</v>
      </c>
      <c r="N817" s="39" t="n">
        <v>186</v>
      </c>
      <c r="O817" s="39" t="n">
        <v>31</v>
      </c>
      <c r="P817" s="39" t="n">
        <v>6</v>
      </c>
      <c r="Q817" s="39" t="n">
        <v>0</v>
      </c>
      <c r="R817" s="39" t="n">
        <v>0</v>
      </c>
      <c r="S817" s="39" t="n">
        <v>0</v>
      </c>
      <c r="T817" s="40" t="n">
        <f aca="false">IF(M817=0,0,N817/M817)</f>
        <v>0.398286937901499</v>
      </c>
      <c r="U817" s="40" t="n">
        <f aca="false">IF(M817=0,0,O817/M817)</f>
        <v>0.0663811563169165</v>
      </c>
      <c r="V817" s="41" t="n">
        <f aca="false">IF(M817=0,0,P817/M817)</f>
        <v>0.012847965738758</v>
      </c>
      <c r="W817" s="40" t="n">
        <f aca="false">IF(L817=0,0,Q817/L817)</f>
        <v>0</v>
      </c>
    </row>
    <row r="818" customFormat="false" ht="15" hidden="false" customHeight="false" outlineLevel="0" collapsed="false">
      <c r="A818" s="37" t="s">
        <v>2147</v>
      </c>
      <c r="B818" s="38" t="n">
        <v>45986.0486342593</v>
      </c>
      <c r="C818" s="37" t="s">
        <v>1201</v>
      </c>
      <c r="D818" s="37" t="s">
        <v>2148</v>
      </c>
      <c r="E818" s="37" t="s">
        <v>1124</v>
      </c>
      <c r="F818" s="37" t="s">
        <v>152</v>
      </c>
      <c r="G818" s="37"/>
      <c r="H818" s="37" t="s">
        <v>60</v>
      </c>
      <c r="I818" s="37"/>
      <c r="J818" s="37" t="s">
        <v>151</v>
      </c>
      <c r="K818" s="37" t="s">
        <v>1202</v>
      </c>
      <c r="L818" s="39" t="n">
        <v>220</v>
      </c>
      <c r="M818" s="39" t="n">
        <v>220</v>
      </c>
      <c r="N818" s="39" t="n">
        <v>111</v>
      </c>
      <c r="O818" s="39" t="n">
        <v>36</v>
      </c>
      <c r="P818" s="39" t="n">
        <v>3</v>
      </c>
      <c r="Q818" s="39" t="n">
        <v>0</v>
      </c>
      <c r="R818" s="39" t="n">
        <v>0</v>
      </c>
      <c r="S818" s="39" t="n">
        <v>0</v>
      </c>
      <c r="T818" s="40" t="n">
        <f aca="false">IF(M818=0,0,N818/M818)</f>
        <v>0.504545454545455</v>
      </c>
      <c r="U818" s="40" t="n">
        <f aca="false">IF(M818=0,0,O818/M818)</f>
        <v>0.163636363636364</v>
      </c>
      <c r="V818" s="41" t="n">
        <f aca="false">IF(M818=0,0,P818/M818)</f>
        <v>0.0136363636363636</v>
      </c>
      <c r="W818" s="40" t="n">
        <f aca="false">IF(L818=0,0,Q818/L818)</f>
        <v>0</v>
      </c>
    </row>
    <row r="819" customFormat="false" ht="15" hidden="false" customHeight="false" outlineLevel="0" collapsed="false">
      <c r="A819" s="37" t="s">
        <v>2149</v>
      </c>
      <c r="B819" s="38" t="n">
        <v>45985.9192361111</v>
      </c>
      <c r="C819" s="37" t="s">
        <v>1201</v>
      </c>
      <c r="D819" s="37" t="s">
        <v>2148</v>
      </c>
      <c r="E819" s="37" t="s">
        <v>1124</v>
      </c>
      <c r="F819" s="37" t="s">
        <v>152</v>
      </c>
      <c r="G819" s="37"/>
      <c r="H819" s="37" t="s">
        <v>60</v>
      </c>
      <c r="I819" s="37"/>
      <c r="J819" s="37" t="s">
        <v>151</v>
      </c>
      <c r="K819" s="37" t="s">
        <v>1202</v>
      </c>
      <c r="L819" s="39" t="n">
        <v>2</v>
      </c>
      <c r="M819" s="39" t="n">
        <v>2</v>
      </c>
      <c r="N819" s="39" t="n">
        <v>2</v>
      </c>
      <c r="O819" s="39" t="n">
        <v>0</v>
      </c>
      <c r="P819" s="39" t="n">
        <v>0</v>
      </c>
      <c r="Q819" s="39" t="n">
        <v>0</v>
      </c>
      <c r="R819" s="39" t="n">
        <v>0</v>
      </c>
      <c r="S819" s="39" t="n">
        <v>0</v>
      </c>
      <c r="T819" s="40" t="n">
        <f aca="false">IF(M819=0,0,N819/M819)</f>
        <v>1</v>
      </c>
      <c r="U819" s="40" t="n">
        <f aca="false">IF(M819=0,0,O819/M819)</f>
        <v>0</v>
      </c>
      <c r="V819" s="41" t="n">
        <f aca="false">IF(M819=0,0,P819/M819)</f>
        <v>0</v>
      </c>
      <c r="W819" s="40" t="n">
        <f aca="false">IF(L819=0,0,Q819/L819)</f>
        <v>0</v>
      </c>
    </row>
    <row r="820" customFormat="false" ht="15" hidden="false" customHeight="false" outlineLevel="0" collapsed="false">
      <c r="A820" s="37" t="s">
        <v>2150</v>
      </c>
      <c r="B820" s="38" t="n">
        <v>45985.5883564815</v>
      </c>
      <c r="C820" s="37" t="s">
        <v>1201</v>
      </c>
      <c r="D820" s="37" t="s">
        <v>635</v>
      </c>
      <c r="E820" s="37" t="s">
        <v>166</v>
      </c>
      <c r="F820" s="37" t="s">
        <v>671</v>
      </c>
      <c r="G820" s="37" t="s">
        <v>1880</v>
      </c>
      <c r="H820" s="37" t="s">
        <v>61</v>
      </c>
      <c r="I820" s="37" t="s">
        <v>255</v>
      </c>
      <c r="J820" s="37" t="s">
        <v>164</v>
      </c>
      <c r="K820" s="37" t="s">
        <v>1202</v>
      </c>
      <c r="L820" s="39" t="n">
        <v>27</v>
      </c>
      <c r="M820" s="39" t="n">
        <v>27</v>
      </c>
      <c r="N820" s="39" t="n">
        <v>11</v>
      </c>
      <c r="O820" s="39" t="n">
        <v>2</v>
      </c>
      <c r="P820" s="39" t="n">
        <v>0</v>
      </c>
      <c r="Q820" s="39" t="n">
        <v>0</v>
      </c>
      <c r="R820" s="39" t="n">
        <v>0</v>
      </c>
      <c r="S820" s="39" t="n">
        <v>0</v>
      </c>
      <c r="T820" s="40" t="n">
        <f aca="false">IF(M820=0,0,N820/M820)</f>
        <v>0.407407407407407</v>
      </c>
      <c r="U820" s="40" t="n">
        <f aca="false">IF(M820=0,0,O820/M820)</f>
        <v>0.0740740740740741</v>
      </c>
      <c r="V820" s="41" t="n">
        <f aca="false">IF(M820=0,0,P820/M820)</f>
        <v>0</v>
      </c>
      <c r="W820" s="40" t="n">
        <f aca="false">IF(L820=0,0,Q820/L820)</f>
        <v>0</v>
      </c>
    </row>
    <row r="821" customFormat="false" ht="15" hidden="false" customHeight="false" outlineLevel="0" collapsed="false">
      <c r="A821" s="37" t="s">
        <v>2151</v>
      </c>
      <c r="B821" s="38" t="n">
        <v>45985.3103819444</v>
      </c>
      <c r="C821" s="37" t="s">
        <v>1201</v>
      </c>
      <c r="D821" s="37" t="s">
        <v>1372</v>
      </c>
      <c r="E821" s="37" t="s">
        <v>1373</v>
      </c>
      <c r="F821" s="37" t="s">
        <v>537</v>
      </c>
      <c r="G821" s="37"/>
      <c r="H821" s="37" t="s">
        <v>60</v>
      </c>
      <c r="I821" s="37"/>
      <c r="J821" s="37" t="s">
        <v>296</v>
      </c>
      <c r="K821" s="37" t="s">
        <v>1202</v>
      </c>
      <c r="L821" s="39" t="n">
        <v>2</v>
      </c>
      <c r="M821" s="39" t="n">
        <v>2</v>
      </c>
      <c r="N821" s="39" t="n">
        <v>2</v>
      </c>
      <c r="O821" s="39" t="n">
        <v>0</v>
      </c>
      <c r="P821" s="39" t="n">
        <v>0</v>
      </c>
      <c r="Q821" s="39" t="n">
        <v>0</v>
      </c>
      <c r="R821" s="39" t="n">
        <v>0</v>
      </c>
      <c r="S821" s="39" t="n">
        <v>0</v>
      </c>
      <c r="T821" s="40" t="n">
        <f aca="false">IF(M821=0,0,N821/M821)</f>
        <v>1</v>
      </c>
      <c r="U821" s="40" t="n">
        <f aca="false">IF(M821=0,0,O821/M821)</f>
        <v>0</v>
      </c>
      <c r="V821" s="41" t="n">
        <f aca="false">IF(M821=0,0,P821/M821)</f>
        <v>0</v>
      </c>
      <c r="W821" s="40" t="n">
        <f aca="false">IF(L821=0,0,Q821/L821)</f>
        <v>0</v>
      </c>
    </row>
    <row r="822" customFormat="false" ht="15" hidden="false" customHeight="false" outlineLevel="0" collapsed="false">
      <c r="A822" s="37" t="s">
        <v>2152</v>
      </c>
      <c r="B822" s="38" t="n">
        <v>45985.0107060185</v>
      </c>
      <c r="C822" s="37" t="s">
        <v>1201</v>
      </c>
      <c r="D822" s="37" t="s">
        <v>1372</v>
      </c>
      <c r="E822" s="37" t="s">
        <v>1373</v>
      </c>
      <c r="F822" s="37" t="s">
        <v>537</v>
      </c>
      <c r="G822" s="37"/>
      <c r="H822" s="37" t="s">
        <v>63</v>
      </c>
      <c r="I822" s="37"/>
      <c r="J822" s="37" t="s">
        <v>296</v>
      </c>
      <c r="K822" s="37" t="s">
        <v>1202</v>
      </c>
      <c r="L822" s="39" t="n">
        <v>2</v>
      </c>
      <c r="M822" s="39" t="n">
        <v>2</v>
      </c>
      <c r="N822" s="39" t="n">
        <v>2</v>
      </c>
      <c r="O822" s="39" t="n">
        <v>0</v>
      </c>
      <c r="P822" s="39" t="n">
        <v>0</v>
      </c>
      <c r="Q822" s="39" t="n">
        <v>0</v>
      </c>
      <c r="R822" s="39" t="n">
        <v>0</v>
      </c>
      <c r="S822" s="39" t="n">
        <v>0</v>
      </c>
      <c r="T822" s="40" t="n">
        <f aca="false">IF(M822=0,0,N822/M822)</f>
        <v>1</v>
      </c>
      <c r="U822" s="40" t="n">
        <f aca="false">IF(M822=0,0,O822/M822)</f>
        <v>0</v>
      </c>
      <c r="V822" s="41" t="n">
        <f aca="false">IF(M822=0,0,P822/M822)</f>
        <v>0</v>
      </c>
      <c r="W822" s="40" t="n">
        <f aca="false">IF(L822=0,0,Q822/L822)</f>
        <v>0</v>
      </c>
    </row>
    <row r="823" customFormat="false" ht="15" hidden="false" customHeight="false" outlineLevel="0" collapsed="false">
      <c r="A823" s="37" t="s">
        <v>2153</v>
      </c>
      <c r="B823" s="38" t="n">
        <v>45985.0021412037</v>
      </c>
      <c r="C823" s="37" t="s">
        <v>1201</v>
      </c>
      <c r="D823" s="37" t="s">
        <v>647</v>
      </c>
      <c r="E823" s="37" t="s">
        <v>1992</v>
      </c>
      <c r="F823" s="37" t="s">
        <v>647</v>
      </c>
      <c r="G823" s="37"/>
      <c r="H823" s="37" t="s">
        <v>61</v>
      </c>
      <c r="I823" s="37"/>
      <c r="J823" s="37" t="s">
        <v>236</v>
      </c>
      <c r="K823" s="37" t="s">
        <v>1202</v>
      </c>
      <c r="L823" s="39" t="n">
        <v>851</v>
      </c>
      <c r="M823" s="39" t="n">
        <v>844</v>
      </c>
      <c r="N823" s="39" t="n">
        <v>378</v>
      </c>
      <c r="O823" s="39" t="n">
        <v>34</v>
      </c>
      <c r="P823" s="39" t="n">
        <v>4</v>
      </c>
      <c r="Q823" s="39" t="n">
        <v>7</v>
      </c>
      <c r="R823" s="39" t="n">
        <v>5</v>
      </c>
      <c r="S823" s="39" t="n">
        <v>0</v>
      </c>
      <c r="T823" s="40" t="n">
        <f aca="false">IF(M823=0,0,N823/M823)</f>
        <v>0.447867298578199</v>
      </c>
      <c r="U823" s="40" t="n">
        <f aca="false">IF(M823=0,0,O823/M823)</f>
        <v>0.0402843601895735</v>
      </c>
      <c r="V823" s="41" t="n">
        <f aca="false">IF(M823=0,0,P823/M823)</f>
        <v>0.004739336492891</v>
      </c>
      <c r="W823" s="40" t="n">
        <f aca="false">IF(L823=0,0,Q823/L823)</f>
        <v>0.0082256169212691</v>
      </c>
    </row>
    <row r="824" customFormat="false" ht="15" hidden="false" customHeight="false" outlineLevel="0" collapsed="false">
      <c r="A824" s="37" t="s">
        <v>2154</v>
      </c>
      <c r="B824" s="38" t="n">
        <v>45984.9168287037</v>
      </c>
      <c r="C824" s="37" t="s">
        <v>1201</v>
      </c>
      <c r="D824" s="37" t="s">
        <v>1372</v>
      </c>
      <c r="E824" s="37" t="s">
        <v>1373</v>
      </c>
      <c r="F824" s="37" t="s">
        <v>537</v>
      </c>
      <c r="G824" s="37"/>
      <c r="H824" s="37" t="s">
        <v>63</v>
      </c>
      <c r="I824" s="37"/>
      <c r="J824" s="37" t="s">
        <v>296</v>
      </c>
      <c r="K824" s="37" t="s">
        <v>1202</v>
      </c>
      <c r="L824" s="39" t="n">
        <v>2</v>
      </c>
      <c r="M824" s="39" t="n">
        <v>2</v>
      </c>
      <c r="N824" s="39" t="n">
        <v>2</v>
      </c>
      <c r="O824" s="39" t="n">
        <v>0</v>
      </c>
      <c r="P824" s="39" t="n">
        <v>0</v>
      </c>
      <c r="Q824" s="39" t="n">
        <v>0</v>
      </c>
      <c r="R824" s="39" t="n">
        <v>0</v>
      </c>
      <c r="S824" s="39" t="n">
        <v>0</v>
      </c>
      <c r="T824" s="40" t="n">
        <f aca="false">IF(M824=0,0,N824/M824)</f>
        <v>1</v>
      </c>
      <c r="U824" s="40" t="n">
        <f aca="false">IF(M824=0,0,O824/M824)</f>
        <v>0</v>
      </c>
      <c r="V824" s="41" t="n">
        <f aca="false">IF(M824=0,0,P824/M824)</f>
        <v>0</v>
      </c>
      <c r="W824" s="40" t="n">
        <f aca="false">IF(L824=0,0,Q824/L824)</f>
        <v>0</v>
      </c>
    </row>
    <row r="825" customFormat="false" ht="15" hidden="false" customHeight="false" outlineLevel="0" collapsed="false">
      <c r="A825" s="37" t="s">
        <v>2155</v>
      </c>
      <c r="B825" s="38" t="n">
        <v>45984.0422569444</v>
      </c>
      <c r="C825" s="37" t="s">
        <v>1201</v>
      </c>
      <c r="D825" s="37" t="s">
        <v>1372</v>
      </c>
      <c r="E825" s="37" t="s">
        <v>1373</v>
      </c>
      <c r="F825" s="37" t="s">
        <v>537</v>
      </c>
      <c r="G825" s="37"/>
      <c r="H825" s="37" t="s">
        <v>60</v>
      </c>
      <c r="I825" s="37"/>
      <c r="J825" s="37" t="s">
        <v>296</v>
      </c>
      <c r="K825" s="37" t="s">
        <v>1202</v>
      </c>
      <c r="L825" s="39" t="n">
        <v>1</v>
      </c>
      <c r="M825" s="39" t="n">
        <v>1</v>
      </c>
      <c r="N825" s="39" t="n">
        <v>1</v>
      </c>
      <c r="O825" s="39" t="n">
        <v>0</v>
      </c>
      <c r="P825" s="39" t="n">
        <v>0</v>
      </c>
      <c r="Q825" s="39" t="n">
        <v>0</v>
      </c>
      <c r="R825" s="39" t="n">
        <v>0</v>
      </c>
      <c r="S825" s="39" t="n">
        <v>0</v>
      </c>
      <c r="T825" s="40" t="n">
        <f aca="false">IF(M825=0,0,N825/M825)</f>
        <v>1</v>
      </c>
      <c r="U825" s="40" t="n">
        <f aca="false">IF(M825=0,0,O825/M825)</f>
        <v>0</v>
      </c>
      <c r="V825" s="41" t="n">
        <f aca="false">IF(M825=0,0,P825/M825)</f>
        <v>0</v>
      </c>
      <c r="W825" s="40" t="n">
        <f aca="false">IF(L825=0,0,Q825/L825)</f>
        <v>0</v>
      </c>
    </row>
    <row r="826" customFormat="false" ht="15" hidden="false" customHeight="false" outlineLevel="0" collapsed="false">
      <c r="A826" s="37" t="s">
        <v>1945</v>
      </c>
      <c r="B826" s="38" t="n">
        <v>45984.0105208333</v>
      </c>
      <c r="C826" s="37" t="s">
        <v>1201</v>
      </c>
      <c r="D826" s="37" t="s">
        <v>1372</v>
      </c>
      <c r="E826" s="37" t="s">
        <v>1373</v>
      </c>
      <c r="F826" s="37" t="s">
        <v>537</v>
      </c>
      <c r="G826" s="37"/>
      <c r="H826" s="37" t="s">
        <v>63</v>
      </c>
      <c r="I826" s="37"/>
      <c r="J826" s="37" t="s">
        <v>296</v>
      </c>
      <c r="K826" s="37" t="s">
        <v>1202</v>
      </c>
      <c r="L826" s="39" t="n">
        <v>2</v>
      </c>
      <c r="M826" s="39" t="n">
        <v>2</v>
      </c>
      <c r="N826" s="39" t="n">
        <v>2</v>
      </c>
      <c r="O826" s="39" t="n">
        <v>0</v>
      </c>
      <c r="P826" s="39" t="n">
        <v>0</v>
      </c>
      <c r="Q826" s="39" t="n">
        <v>0</v>
      </c>
      <c r="R826" s="39" t="n">
        <v>0</v>
      </c>
      <c r="S826" s="39" t="n">
        <v>0</v>
      </c>
      <c r="T826" s="40" t="n">
        <f aca="false">IF(M826=0,0,N826/M826)</f>
        <v>1</v>
      </c>
      <c r="U826" s="40" t="n">
        <f aca="false">IF(M826=0,0,O826/M826)</f>
        <v>0</v>
      </c>
      <c r="V826" s="41" t="n">
        <f aca="false">IF(M826=0,0,P826/M826)</f>
        <v>0</v>
      </c>
      <c r="W826" s="40" t="n">
        <f aca="false">IF(L826=0,0,Q826/L826)</f>
        <v>0</v>
      </c>
    </row>
    <row r="827" customFormat="false" ht="15" hidden="false" customHeight="false" outlineLevel="0" collapsed="false">
      <c r="A827" s="37" t="s">
        <v>2156</v>
      </c>
      <c r="B827" s="38" t="n">
        <v>45983.3029166667</v>
      </c>
      <c r="C827" s="37" t="s">
        <v>1201</v>
      </c>
      <c r="D827" s="37" t="s">
        <v>1372</v>
      </c>
      <c r="E827" s="37" t="s">
        <v>1373</v>
      </c>
      <c r="F827" s="37" t="s">
        <v>537</v>
      </c>
      <c r="G827" s="37"/>
      <c r="H827" s="37" t="s">
        <v>63</v>
      </c>
      <c r="I827" s="37"/>
      <c r="J827" s="37" t="s">
        <v>296</v>
      </c>
      <c r="K827" s="37" t="s">
        <v>1202</v>
      </c>
      <c r="L827" s="39" t="n">
        <v>2</v>
      </c>
      <c r="M827" s="39" t="n">
        <v>2</v>
      </c>
      <c r="N827" s="39" t="n">
        <v>2</v>
      </c>
      <c r="O827" s="39" t="n">
        <v>0</v>
      </c>
      <c r="P827" s="39" t="n">
        <v>0</v>
      </c>
      <c r="Q827" s="39" t="n">
        <v>0</v>
      </c>
      <c r="R827" s="39" t="n">
        <v>0</v>
      </c>
      <c r="S827" s="39" t="n">
        <v>0</v>
      </c>
      <c r="T827" s="40" t="n">
        <f aca="false">IF(M827=0,0,N827/M827)</f>
        <v>1</v>
      </c>
      <c r="U827" s="40" t="n">
        <f aca="false">IF(M827=0,0,O827/M827)</f>
        <v>0</v>
      </c>
      <c r="V827" s="41" t="n">
        <f aca="false">IF(M827=0,0,P827/M827)</f>
        <v>0</v>
      </c>
      <c r="W827" s="40" t="n">
        <f aca="false">IF(L827=0,0,Q827/L827)</f>
        <v>0</v>
      </c>
    </row>
    <row r="828" customFormat="false" ht="15" hidden="false" customHeight="false" outlineLevel="0" collapsed="false">
      <c r="A828" s="37" t="s">
        <v>1834</v>
      </c>
      <c r="B828" s="38" t="n">
        <v>45983.0110185185</v>
      </c>
      <c r="C828" s="37" t="s">
        <v>1201</v>
      </c>
      <c r="D828" s="37" t="s">
        <v>1372</v>
      </c>
      <c r="E828" s="37" t="s">
        <v>1373</v>
      </c>
      <c r="F828" s="37" t="s">
        <v>537</v>
      </c>
      <c r="G828" s="37"/>
      <c r="H828" s="37" t="s">
        <v>60</v>
      </c>
      <c r="I828" s="37"/>
      <c r="J828" s="37" t="s">
        <v>296</v>
      </c>
      <c r="K828" s="37" t="s">
        <v>1202</v>
      </c>
      <c r="L828" s="39" t="n">
        <v>2</v>
      </c>
      <c r="M828" s="39" t="n">
        <v>2</v>
      </c>
      <c r="N828" s="39" t="n">
        <v>2</v>
      </c>
      <c r="O828" s="39" t="n">
        <v>0</v>
      </c>
      <c r="P828" s="39" t="n">
        <v>0</v>
      </c>
      <c r="Q828" s="39" t="n">
        <v>0</v>
      </c>
      <c r="R828" s="39" t="n">
        <v>0</v>
      </c>
      <c r="S828" s="39" t="n">
        <v>0</v>
      </c>
      <c r="T828" s="40" t="n">
        <f aca="false">IF(M828=0,0,N828/M828)</f>
        <v>1</v>
      </c>
      <c r="U828" s="40" t="n">
        <f aca="false">IF(M828=0,0,O828/M828)</f>
        <v>0</v>
      </c>
      <c r="V828" s="41" t="n">
        <f aca="false">IF(M828=0,0,P828/M828)</f>
        <v>0</v>
      </c>
      <c r="W828" s="40" t="n">
        <f aca="false">IF(L828=0,0,Q828/L828)</f>
        <v>0</v>
      </c>
    </row>
    <row r="829" customFormat="false" ht="15" hidden="false" customHeight="false" outlineLevel="0" collapsed="false">
      <c r="A829" s="37" t="s">
        <v>2157</v>
      </c>
      <c r="B829" s="38" t="n">
        <v>45983.010474537</v>
      </c>
      <c r="C829" s="37" t="s">
        <v>1201</v>
      </c>
      <c r="D829" s="37" t="s">
        <v>1372</v>
      </c>
      <c r="E829" s="37" t="s">
        <v>1373</v>
      </c>
      <c r="F829" s="37" t="s">
        <v>537</v>
      </c>
      <c r="G829" s="37"/>
      <c r="H829" s="37" t="s">
        <v>54</v>
      </c>
      <c r="I829" s="37"/>
      <c r="J829" s="37" t="s">
        <v>296</v>
      </c>
      <c r="K829" s="37" t="s">
        <v>1202</v>
      </c>
      <c r="L829" s="39" t="n">
        <v>2</v>
      </c>
      <c r="M829" s="39" t="n">
        <v>2</v>
      </c>
      <c r="N829" s="39" t="n">
        <v>2</v>
      </c>
      <c r="O829" s="39" t="n">
        <v>0</v>
      </c>
      <c r="P829" s="39" t="n">
        <v>0</v>
      </c>
      <c r="Q829" s="39" t="n">
        <v>0</v>
      </c>
      <c r="R829" s="39" t="n">
        <v>0</v>
      </c>
      <c r="S829" s="39" t="n">
        <v>0</v>
      </c>
      <c r="T829" s="40" t="n">
        <f aca="false">IF(M829=0,0,N829/M829)</f>
        <v>1</v>
      </c>
      <c r="U829" s="40" t="n">
        <f aca="false">IF(M829=0,0,O829/M829)</f>
        <v>0</v>
      </c>
      <c r="V829" s="41" t="n">
        <f aca="false">IF(M829=0,0,P829/M829)</f>
        <v>0</v>
      </c>
      <c r="W829" s="40" t="n">
        <f aca="false">IF(L829=0,0,Q829/L829)</f>
        <v>0</v>
      </c>
    </row>
    <row r="830" customFormat="false" ht="15" hidden="false" customHeight="false" outlineLevel="0" collapsed="false">
      <c r="A830" s="37" t="s">
        <v>2158</v>
      </c>
      <c r="B830" s="38" t="n">
        <v>45982.5421296296</v>
      </c>
      <c r="C830" s="37" t="s">
        <v>1201</v>
      </c>
      <c r="D830" s="37" t="s">
        <v>1366</v>
      </c>
      <c r="E830" s="37" t="s">
        <v>1222</v>
      </c>
      <c r="F830" s="37" t="s">
        <v>544</v>
      </c>
      <c r="G830" s="37"/>
      <c r="H830" s="37" t="s">
        <v>66</v>
      </c>
      <c r="I830" s="37"/>
      <c r="J830" s="37" t="s">
        <v>121</v>
      </c>
      <c r="K830" s="37" t="s">
        <v>1213</v>
      </c>
      <c r="L830" s="39" t="n">
        <v>2870</v>
      </c>
      <c r="M830" s="39" t="n">
        <v>2834</v>
      </c>
      <c r="N830" s="39" t="n">
        <v>1390</v>
      </c>
      <c r="O830" s="39" t="n">
        <v>335</v>
      </c>
      <c r="P830" s="39" t="n">
        <v>7</v>
      </c>
      <c r="Q830" s="39" t="n">
        <v>36</v>
      </c>
      <c r="R830" s="39" t="n">
        <v>34</v>
      </c>
      <c r="S830" s="39" t="n">
        <v>0</v>
      </c>
      <c r="T830" s="40" t="n">
        <f aca="false">IF(M830=0,0,N830/M830)</f>
        <v>0.490472829922371</v>
      </c>
      <c r="U830" s="40" t="n">
        <f aca="false">IF(M830=0,0,O830/M830)</f>
        <v>0.118207480592802</v>
      </c>
      <c r="V830" s="41" t="n">
        <f aca="false">IF(M830=0,0,P830/M830)</f>
        <v>0.00247000705716302</v>
      </c>
      <c r="W830" s="40" t="n">
        <f aca="false">IF(L830=0,0,Q830/L830)</f>
        <v>0.0125435540069686</v>
      </c>
    </row>
    <row r="831" customFormat="false" ht="15" hidden="false" customHeight="false" outlineLevel="0" collapsed="false">
      <c r="A831" s="37" t="s">
        <v>2159</v>
      </c>
      <c r="B831" s="38" t="n">
        <v>45982.3533101852</v>
      </c>
      <c r="C831" s="37" t="s">
        <v>1201</v>
      </c>
      <c r="D831" s="37" t="s">
        <v>1912</v>
      </c>
      <c r="E831" s="37" t="s">
        <v>1912</v>
      </c>
      <c r="F831" s="37" t="s">
        <v>590</v>
      </c>
      <c r="G831" s="37"/>
      <c r="H831" s="37" t="s">
        <v>60</v>
      </c>
      <c r="I831" s="37"/>
      <c r="J831" s="37" t="s">
        <v>394</v>
      </c>
      <c r="K831" s="37" t="s">
        <v>1213</v>
      </c>
      <c r="L831" s="39" t="n">
        <v>26</v>
      </c>
      <c r="M831" s="39" t="n">
        <v>26</v>
      </c>
      <c r="N831" s="39" t="n">
        <v>24</v>
      </c>
      <c r="O831" s="39" t="n">
        <v>7</v>
      </c>
      <c r="P831" s="39" t="n">
        <v>0</v>
      </c>
      <c r="Q831" s="39" t="n">
        <v>0</v>
      </c>
      <c r="R831" s="39" t="n">
        <v>0</v>
      </c>
      <c r="S831" s="39" t="n">
        <v>0</v>
      </c>
      <c r="T831" s="40" t="n">
        <f aca="false">IF(M831=0,0,N831/M831)</f>
        <v>0.923076923076923</v>
      </c>
      <c r="U831" s="40" t="n">
        <f aca="false">IF(M831=0,0,O831/M831)</f>
        <v>0.269230769230769</v>
      </c>
      <c r="V831" s="41" t="n">
        <f aca="false">IF(M831=0,0,P831/M831)</f>
        <v>0</v>
      </c>
      <c r="W831" s="40" t="n">
        <f aca="false">IF(L831=0,0,Q831/L831)</f>
        <v>0</v>
      </c>
    </row>
    <row r="832" customFormat="false" ht="15" hidden="false" customHeight="false" outlineLevel="0" collapsed="false">
      <c r="A832" s="37" t="s">
        <v>2160</v>
      </c>
      <c r="B832" s="38" t="n">
        <v>45982.0109606482</v>
      </c>
      <c r="C832" s="37" t="s">
        <v>1201</v>
      </c>
      <c r="D832" s="37" t="s">
        <v>1372</v>
      </c>
      <c r="E832" s="37" t="s">
        <v>1373</v>
      </c>
      <c r="F832" s="37" t="s">
        <v>537</v>
      </c>
      <c r="G832" s="37"/>
      <c r="H832" s="37" t="s">
        <v>63</v>
      </c>
      <c r="I832" s="37"/>
      <c r="J832" s="37" t="s">
        <v>296</v>
      </c>
      <c r="K832" s="37" t="s">
        <v>1202</v>
      </c>
      <c r="L832" s="39" t="n">
        <v>1</v>
      </c>
      <c r="M832" s="39" t="n">
        <v>1</v>
      </c>
      <c r="N832" s="39" t="n">
        <v>1</v>
      </c>
      <c r="O832" s="39" t="n">
        <v>0</v>
      </c>
      <c r="P832" s="39" t="n">
        <v>0</v>
      </c>
      <c r="Q832" s="39" t="n">
        <v>0</v>
      </c>
      <c r="R832" s="39" t="n">
        <v>0</v>
      </c>
      <c r="S832" s="39" t="n">
        <v>0</v>
      </c>
      <c r="T832" s="40" t="n">
        <f aca="false">IF(M832=0,0,N832/M832)</f>
        <v>1</v>
      </c>
      <c r="U832" s="40" t="n">
        <f aca="false">IF(M832=0,0,O832/M832)</f>
        <v>0</v>
      </c>
      <c r="V832" s="41" t="n">
        <f aca="false">IF(M832=0,0,P832/M832)</f>
        <v>0</v>
      </c>
      <c r="W832" s="40" t="n">
        <f aca="false">IF(L832=0,0,Q832/L832)</f>
        <v>0</v>
      </c>
    </row>
    <row r="833" customFormat="false" ht="15" hidden="false" customHeight="false" outlineLevel="0" collapsed="false">
      <c r="A833" s="37" t="s">
        <v>2161</v>
      </c>
      <c r="B833" s="38" t="n">
        <v>45981.7714814815</v>
      </c>
      <c r="C833" s="37" t="s">
        <v>1201</v>
      </c>
      <c r="D833" s="37" t="s">
        <v>1372</v>
      </c>
      <c r="E833" s="37" t="s">
        <v>1373</v>
      </c>
      <c r="F833" s="37" t="s">
        <v>537</v>
      </c>
      <c r="G833" s="37"/>
      <c r="H833" s="37" t="s">
        <v>60</v>
      </c>
      <c r="I833" s="37"/>
      <c r="J833" s="37" t="s">
        <v>296</v>
      </c>
      <c r="K833" s="37" t="s">
        <v>1202</v>
      </c>
      <c r="L833" s="39" t="n">
        <v>1</v>
      </c>
      <c r="M833" s="39" t="n">
        <v>1</v>
      </c>
      <c r="N833" s="39" t="n">
        <v>1</v>
      </c>
      <c r="O833" s="39" t="n">
        <v>0</v>
      </c>
      <c r="P833" s="39" t="n">
        <v>0</v>
      </c>
      <c r="Q833" s="39" t="n">
        <v>0</v>
      </c>
      <c r="R833" s="39" t="n">
        <v>0</v>
      </c>
      <c r="S833" s="39" t="n">
        <v>0</v>
      </c>
      <c r="T833" s="40" t="n">
        <f aca="false">IF(M833=0,0,N833/M833)</f>
        <v>1</v>
      </c>
      <c r="U833" s="40" t="n">
        <f aca="false">IF(M833=0,0,O833/M833)</f>
        <v>0</v>
      </c>
      <c r="V833" s="41" t="n">
        <f aca="false">IF(M833=0,0,P833/M833)</f>
        <v>0</v>
      </c>
      <c r="W833" s="40" t="n">
        <f aca="false">IF(L833=0,0,Q833/L833)</f>
        <v>0</v>
      </c>
    </row>
    <row r="834" customFormat="false" ht="15" hidden="false" customHeight="false" outlineLevel="0" collapsed="false">
      <c r="A834" s="37" t="s">
        <v>2162</v>
      </c>
      <c r="B834" s="38" t="n">
        <v>45981.2885300926</v>
      </c>
      <c r="C834" s="37" t="s">
        <v>1201</v>
      </c>
      <c r="D834" s="37" t="s">
        <v>122</v>
      </c>
      <c r="E834" s="37" t="s">
        <v>1255</v>
      </c>
      <c r="F834" s="37" t="s">
        <v>629</v>
      </c>
      <c r="G834" s="37"/>
      <c r="H834" s="37" t="s">
        <v>61</v>
      </c>
      <c r="I834" s="37" t="s">
        <v>120</v>
      </c>
      <c r="J834" s="37" t="s">
        <v>121</v>
      </c>
      <c r="K834" s="37" t="s">
        <v>1202</v>
      </c>
      <c r="L834" s="39" t="n">
        <v>50</v>
      </c>
      <c r="M834" s="39" t="n">
        <v>50</v>
      </c>
      <c r="N834" s="39" t="n">
        <v>10</v>
      </c>
      <c r="O834" s="39" t="n">
        <v>0</v>
      </c>
      <c r="P834" s="39" t="n">
        <v>0</v>
      </c>
      <c r="Q834" s="39" t="n">
        <v>0</v>
      </c>
      <c r="R834" s="39" t="n">
        <v>0</v>
      </c>
      <c r="S834" s="39" t="n">
        <v>0</v>
      </c>
      <c r="T834" s="40" t="n">
        <f aca="false">IF(M834=0,0,N834/M834)</f>
        <v>0.2</v>
      </c>
      <c r="U834" s="40" t="n">
        <f aca="false">IF(M834=0,0,O834/M834)</f>
        <v>0</v>
      </c>
      <c r="V834" s="41" t="n">
        <f aca="false">IF(M834=0,0,P834/M834)</f>
        <v>0</v>
      </c>
      <c r="W834" s="40" t="n">
        <f aca="false">IF(L834=0,0,Q834/L834)</f>
        <v>0</v>
      </c>
    </row>
    <row r="835" customFormat="false" ht="15" hidden="false" customHeight="false" outlineLevel="0" collapsed="false">
      <c r="A835" s="37" t="s">
        <v>2163</v>
      </c>
      <c r="B835" s="38" t="n">
        <v>45981.1387962963</v>
      </c>
      <c r="C835" s="37" t="s">
        <v>1201</v>
      </c>
      <c r="D835" s="37" t="s">
        <v>122</v>
      </c>
      <c r="E835" s="37" t="s">
        <v>1255</v>
      </c>
      <c r="F835" s="37" t="s">
        <v>629</v>
      </c>
      <c r="G835" s="37"/>
      <c r="H835" s="37" t="s">
        <v>61</v>
      </c>
      <c r="I835" s="37" t="s">
        <v>120</v>
      </c>
      <c r="J835" s="37" t="s">
        <v>121</v>
      </c>
      <c r="K835" s="37" t="s">
        <v>1202</v>
      </c>
      <c r="L835" s="39" t="n">
        <v>541</v>
      </c>
      <c r="M835" s="39" t="n">
        <v>537</v>
      </c>
      <c r="N835" s="39" t="n">
        <v>252</v>
      </c>
      <c r="O835" s="39" t="n">
        <v>11</v>
      </c>
      <c r="P835" s="39" t="n">
        <v>5</v>
      </c>
      <c r="Q835" s="39" t="n">
        <v>4</v>
      </c>
      <c r="R835" s="39" t="n">
        <v>2</v>
      </c>
      <c r="S835" s="39" t="n">
        <v>0</v>
      </c>
      <c r="T835" s="40" t="n">
        <f aca="false">IF(M835=0,0,N835/M835)</f>
        <v>0.46927374301676</v>
      </c>
      <c r="U835" s="40" t="n">
        <f aca="false">IF(M835=0,0,O835/M835)</f>
        <v>0.0204841713221601</v>
      </c>
      <c r="V835" s="41" t="n">
        <f aca="false">IF(M835=0,0,P835/M835)</f>
        <v>0.00931098696461825</v>
      </c>
      <c r="W835" s="40" t="n">
        <f aca="false">IF(L835=0,0,Q835/L835)</f>
        <v>0.00739371534195933</v>
      </c>
    </row>
    <row r="836" customFormat="false" ht="15" hidden="false" customHeight="false" outlineLevel="0" collapsed="false">
      <c r="A836" s="37" t="s">
        <v>2164</v>
      </c>
      <c r="B836" s="38" t="n">
        <v>45980.8756712963</v>
      </c>
      <c r="C836" s="37" t="s">
        <v>1201</v>
      </c>
      <c r="D836" s="37" t="s">
        <v>152</v>
      </c>
      <c r="E836" s="37" t="s">
        <v>1344</v>
      </c>
      <c r="F836" s="37" t="s">
        <v>152</v>
      </c>
      <c r="G836" s="37"/>
      <c r="H836" s="37" t="s">
        <v>61</v>
      </c>
      <c r="I836" s="37" t="s">
        <v>150</v>
      </c>
      <c r="J836" s="37" t="s">
        <v>151</v>
      </c>
      <c r="K836" s="37" t="s">
        <v>1202</v>
      </c>
      <c r="L836" s="39" t="n">
        <v>2465</v>
      </c>
      <c r="M836" s="39" t="n">
        <v>2460</v>
      </c>
      <c r="N836" s="39" t="n">
        <v>510</v>
      </c>
      <c r="O836" s="39" t="n">
        <v>77</v>
      </c>
      <c r="P836" s="39" t="n">
        <v>4</v>
      </c>
      <c r="Q836" s="39" t="n">
        <v>5</v>
      </c>
      <c r="R836" s="39" t="n">
        <v>5</v>
      </c>
      <c r="S836" s="39" t="n">
        <v>0</v>
      </c>
      <c r="T836" s="40" t="n">
        <f aca="false">IF(M836=0,0,N836/M836)</f>
        <v>0.207317073170732</v>
      </c>
      <c r="U836" s="40" t="n">
        <f aca="false">IF(M836=0,0,O836/M836)</f>
        <v>0.0313008130081301</v>
      </c>
      <c r="V836" s="41" t="n">
        <f aca="false">IF(M836=0,0,P836/M836)</f>
        <v>0.0016260162601626</v>
      </c>
      <c r="W836" s="40" t="n">
        <f aca="false">IF(L836=0,0,Q836/L836)</f>
        <v>0.00202839756592292</v>
      </c>
    </row>
    <row r="837" customFormat="false" ht="15" hidden="false" customHeight="false" outlineLevel="0" collapsed="false">
      <c r="A837" s="37" t="s">
        <v>2165</v>
      </c>
      <c r="B837" s="38" t="n">
        <v>45980.3855902778</v>
      </c>
      <c r="C837" s="37" t="s">
        <v>1201</v>
      </c>
      <c r="D837" s="37" t="s">
        <v>1372</v>
      </c>
      <c r="E837" s="37" t="s">
        <v>1373</v>
      </c>
      <c r="F837" s="37" t="s">
        <v>537</v>
      </c>
      <c r="G837" s="37"/>
      <c r="H837" s="37" t="s">
        <v>63</v>
      </c>
      <c r="I837" s="37"/>
      <c r="J837" s="37" t="s">
        <v>296</v>
      </c>
      <c r="K837" s="37" t="s">
        <v>1202</v>
      </c>
      <c r="L837" s="39" t="n">
        <v>2</v>
      </c>
      <c r="M837" s="39" t="n">
        <v>2</v>
      </c>
      <c r="N837" s="39" t="n">
        <v>2</v>
      </c>
      <c r="O837" s="39" t="n">
        <v>0</v>
      </c>
      <c r="P837" s="39" t="n">
        <v>0</v>
      </c>
      <c r="Q837" s="39" t="n">
        <v>0</v>
      </c>
      <c r="R837" s="39" t="n">
        <v>0</v>
      </c>
      <c r="S837" s="39" t="n">
        <v>0</v>
      </c>
      <c r="T837" s="40" t="n">
        <f aca="false">IF(M837=0,0,N837/M837)</f>
        <v>1</v>
      </c>
      <c r="U837" s="40" t="n">
        <f aca="false">IF(M837=0,0,O837/M837)</f>
        <v>0</v>
      </c>
      <c r="V837" s="41" t="n">
        <f aca="false">IF(M837=0,0,P837/M837)</f>
        <v>0</v>
      </c>
      <c r="W837" s="40" t="n">
        <f aca="false">IF(L837=0,0,Q837/L837)</f>
        <v>0</v>
      </c>
    </row>
    <row r="838" customFormat="false" ht="15" hidden="false" customHeight="false" outlineLevel="0" collapsed="false">
      <c r="A838" s="37" t="s">
        <v>2166</v>
      </c>
      <c r="B838" s="38" t="n">
        <v>45980.278287037</v>
      </c>
      <c r="C838" s="37" t="s">
        <v>1201</v>
      </c>
      <c r="D838" s="37" t="s">
        <v>1526</v>
      </c>
      <c r="E838" s="37" t="s">
        <v>1995</v>
      </c>
      <c r="F838" s="37" t="s">
        <v>544</v>
      </c>
      <c r="G838" s="37"/>
      <c r="H838" s="37" t="s">
        <v>60</v>
      </c>
      <c r="I838" s="37"/>
      <c r="J838" s="37" t="s">
        <v>364</v>
      </c>
      <c r="K838" s="37" t="s">
        <v>1202</v>
      </c>
      <c r="L838" s="39" t="n">
        <v>1055</v>
      </c>
      <c r="M838" s="39" t="n">
        <v>1037</v>
      </c>
      <c r="N838" s="39" t="n">
        <v>486</v>
      </c>
      <c r="O838" s="39" t="n">
        <v>52</v>
      </c>
      <c r="P838" s="39" t="n">
        <v>10</v>
      </c>
      <c r="Q838" s="39" t="n">
        <v>18</v>
      </c>
      <c r="R838" s="39" t="n">
        <v>16</v>
      </c>
      <c r="S838" s="39" t="n">
        <v>0</v>
      </c>
      <c r="T838" s="40" t="n">
        <f aca="false">IF(M838=0,0,N838/M838)</f>
        <v>0.468659594985535</v>
      </c>
      <c r="U838" s="40" t="n">
        <f aca="false">IF(M838=0,0,O838/M838)</f>
        <v>0.0501446480231437</v>
      </c>
      <c r="V838" s="41" t="n">
        <f aca="false">IF(M838=0,0,P838/M838)</f>
        <v>0.00964320154291225</v>
      </c>
      <c r="W838" s="40" t="n">
        <f aca="false">IF(L838=0,0,Q838/L838)</f>
        <v>0.0170616113744076</v>
      </c>
    </row>
    <row r="839" customFormat="false" ht="15" hidden="false" customHeight="false" outlineLevel="0" collapsed="false">
      <c r="A839" s="37" t="s">
        <v>2167</v>
      </c>
      <c r="B839" s="38" t="n">
        <v>45980.18875</v>
      </c>
      <c r="C839" s="37" t="s">
        <v>1201</v>
      </c>
      <c r="D839" s="37" t="s">
        <v>1372</v>
      </c>
      <c r="E839" s="37" t="s">
        <v>1373</v>
      </c>
      <c r="F839" s="37" t="s">
        <v>537</v>
      </c>
      <c r="G839" s="37"/>
      <c r="H839" s="37" t="s">
        <v>63</v>
      </c>
      <c r="I839" s="37"/>
      <c r="J839" s="37" t="s">
        <v>296</v>
      </c>
      <c r="K839" s="37" t="s">
        <v>1202</v>
      </c>
      <c r="L839" s="39" t="n">
        <v>2</v>
      </c>
      <c r="M839" s="39" t="n">
        <v>2</v>
      </c>
      <c r="N839" s="39" t="n">
        <v>2</v>
      </c>
      <c r="O839" s="39" t="n">
        <v>0</v>
      </c>
      <c r="P839" s="39" t="n">
        <v>0</v>
      </c>
      <c r="Q839" s="39" t="n">
        <v>0</v>
      </c>
      <c r="R839" s="39" t="n">
        <v>0</v>
      </c>
      <c r="S839" s="39" t="n">
        <v>0</v>
      </c>
      <c r="T839" s="40" t="n">
        <f aca="false">IF(M839=0,0,N839/M839)</f>
        <v>1</v>
      </c>
      <c r="U839" s="40" t="n">
        <f aca="false">IF(M839=0,0,O839/M839)</f>
        <v>0</v>
      </c>
      <c r="V839" s="41" t="n">
        <f aca="false">IF(M839=0,0,P839/M839)</f>
        <v>0</v>
      </c>
      <c r="W839" s="40" t="n">
        <f aca="false">IF(L839=0,0,Q839/L839)</f>
        <v>0</v>
      </c>
    </row>
    <row r="840" customFormat="false" ht="15" hidden="false" customHeight="false" outlineLevel="0" collapsed="false">
      <c r="A840" s="37" t="s">
        <v>2168</v>
      </c>
      <c r="B840" s="38" t="n">
        <v>45980.0834953704</v>
      </c>
      <c r="C840" s="37" t="s">
        <v>1201</v>
      </c>
      <c r="D840" s="37" t="s">
        <v>1324</v>
      </c>
      <c r="E840" s="37" t="s">
        <v>1974</v>
      </c>
      <c r="F840" s="37" t="s">
        <v>544</v>
      </c>
      <c r="G840" s="37" t="s">
        <v>1037</v>
      </c>
      <c r="H840" s="37" t="s">
        <v>60</v>
      </c>
      <c r="I840" s="37"/>
      <c r="J840" s="37" t="s">
        <v>357</v>
      </c>
      <c r="K840" s="37" t="s">
        <v>1202</v>
      </c>
      <c r="L840" s="39" t="n">
        <v>532</v>
      </c>
      <c r="M840" s="39" t="n">
        <v>525</v>
      </c>
      <c r="N840" s="39" t="n">
        <v>148</v>
      </c>
      <c r="O840" s="39" t="n">
        <v>31</v>
      </c>
      <c r="P840" s="39" t="n">
        <v>1</v>
      </c>
      <c r="Q840" s="39" t="n">
        <v>7</v>
      </c>
      <c r="R840" s="39" t="n">
        <v>6</v>
      </c>
      <c r="S840" s="39" t="n">
        <v>0</v>
      </c>
      <c r="T840" s="40" t="n">
        <f aca="false">IF(M840=0,0,N840/M840)</f>
        <v>0.281904761904762</v>
      </c>
      <c r="U840" s="40" t="n">
        <f aca="false">IF(M840=0,0,O840/M840)</f>
        <v>0.0590476190476191</v>
      </c>
      <c r="V840" s="41" t="n">
        <f aca="false">IF(M840=0,0,P840/M840)</f>
        <v>0.0019047619047619</v>
      </c>
      <c r="W840" s="40" t="n">
        <f aca="false">IF(L840=0,0,Q840/L840)</f>
        <v>0.0131578947368421</v>
      </c>
    </row>
    <row r="841" customFormat="false" ht="15" hidden="false" customHeight="false" outlineLevel="0" collapsed="false">
      <c r="A841" s="37" t="s">
        <v>2169</v>
      </c>
      <c r="B841" s="38" t="n">
        <v>45980.0108796296</v>
      </c>
      <c r="C841" s="37" t="s">
        <v>1201</v>
      </c>
      <c r="D841" s="37" t="s">
        <v>1372</v>
      </c>
      <c r="E841" s="37" t="s">
        <v>1373</v>
      </c>
      <c r="F841" s="37" t="s">
        <v>537</v>
      </c>
      <c r="G841" s="37"/>
      <c r="H841" s="37" t="s">
        <v>63</v>
      </c>
      <c r="I841" s="37"/>
      <c r="J841" s="37" t="s">
        <v>296</v>
      </c>
      <c r="K841" s="37" t="s">
        <v>1202</v>
      </c>
      <c r="L841" s="39" t="n">
        <v>2</v>
      </c>
      <c r="M841" s="39" t="n">
        <v>2</v>
      </c>
      <c r="N841" s="39" t="n">
        <v>2</v>
      </c>
      <c r="O841" s="39" t="n">
        <v>0</v>
      </c>
      <c r="P841" s="39" t="n">
        <v>0</v>
      </c>
      <c r="Q841" s="39" t="n">
        <v>0</v>
      </c>
      <c r="R841" s="39" t="n">
        <v>0</v>
      </c>
      <c r="S841" s="39" t="n">
        <v>0</v>
      </c>
      <c r="T841" s="40" t="n">
        <f aca="false">IF(M841=0,0,N841/M841)</f>
        <v>1</v>
      </c>
      <c r="U841" s="40" t="n">
        <f aca="false">IF(M841=0,0,O841/M841)</f>
        <v>0</v>
      </c>
      <c r="V841" s="41" t="n">
        <f aca="false">IF(M841=0,0,P841/M841)</f>
        <v>0</v>
      </c>
      <c r="W841" s="40" t="n">
        <f aca="false">IF(L841=0,0,Q841/L841)</f>
        <v>0</v>
      </c>
    </row>
    <row r="842" customFormat="false" ht="15" hidden="false" customHeight="false" outlineLevel="0" collapsed="false">
      <c r="A842" s="37" t="s">
        <v>2170</v>
      </c>
      <c r="B842" s="38" t="n">
        <v>45980.0106365741</v>
      </c>
      <c r="C842" s="37" t="s">
        <v>1201</v>
      </c>
      <c r="D842" s="37" t="s">
        <v>1372</v>
      </c>
      <c r="E842" s="37" t="s">
        <v>1373</v>
      </c>
      <c r="F842" s="37" t="s">
        <v>537</v>
      </c>
      <c r="G842" s="37"/>
      <c r="H842" s="37" t="s">
        <v>63</v>
      </c>
      <c r="I842" s="37"/>
      <c r="J842" s="37" t="s">
        <v>296</v>
      </c>
      <c r="K842" s="37" t="s">
        <v>1202</v>
      </c>
      <c r="L842" s="39" t="n">
        <v>2</v>
      </c>
      <c r="M842" s="39" t="n">
        <v>2</v>
      </c>
      <c r="N842" s="39" t="n">
        <v>2</v>
      </c>
      <c r="O842" s="39" t="n">
        <v>0</v>
      </c>
      <c r="P842" s="39" t="n">
        <v>0</v>
      </c>
      <c r="Q842" s="39" t="n">
        <v>0</v>
      </c>
      <c r="R842" s="39" t="n">
        <v>0</v>
      </c>
      <c r="S842" s="39" t="n">
        <v>0</v>
      </c>
      <c r="T842" s="40" t="n">
        <f aca="false">IF(M842=0,0,N842/M842)</f>
        <v>1</v>
      </c>
      <c r="U842" s="40" t="n">
        <f aca="false">IF(M842=0,0,O842/M842)</f>
        <v>0</v>
      </c>
      <c r="V842" s="41" t="n">
        <f aca="false">IF(M842=0,0,P842/M842)</f>
        <v>0</v>
      </c>
      <c r="W842" s="40" t="n">
        <f aca="false">IF(L842=0,0,Q842/L842)</f>
        <v>0</v>
      </c>
    </row>
    <row r="843" customFormat="false" ht="15" hidden="false" customHeight="false" outlineLevel="0" collapsed="false">
      <c r="A843" s="37" t="s">
        <v>2171</v>
      </c>
      <c r="B843" s="38" t="n">
        <v>45978.6769675926</v>
      </c>
      <c r="C843" s="37" t="s">
        <v>1201</v>
      </c>
      <c r="D843" s="37" t="s">
        <v>198</v>
      </c>
      <c r="E843" s="37" t="s">
        <v>1898</v>
      </c>
      <c r="F843" s="37" t="s">
        <v>611</v>
      </c>
      <c r="G843" s="37"/>
      <c r="H843" s="37" t="s">
        <v>60</v>
      </c>
      <c r="I843" s="37"/>
      <c r="J843" s="37" t="s">
        <v>191</v>
      </c>
      <c r="K843" s="37" t="s">
        <v>1213</v>
      </c>
      <c r="L843" s="39" t="n">
        <v>39</v>
      </c>
      <c r="M843" s="39" t="n">
        <v>39</v>
      </c>
      <c r="N843" s="39" t="n">
        <v>21</v>
      </c>
      <c r="O843" s="39" t="n">
        <v>0</v>
      </c>
      <c r="P843" s="39" t="n">
        <v>0</v>
      </c>
      <c r="Q843" s="39" t="n">
        <v>0</v>
      </c>
      <c r="R843" s="39" t="n">
        <v>0</v>
      </c>
      <c r="S843" s="39" t="n">
        <v>0</v>
      </c>
      <c r="T843" s="40" t="n">
        <f aca="false">IF(M843=0,0,N843/M843)</f>
        <v>0.538461538461538</v>
      </c>
      <c r="U843" s="40" t="n">
        <f aca="false">IF(M843=0,0,O843/M843)</f>
        <v>0</v>
      </c>
      <c r="V843" s="41" t="n">
        <f aca="false">IF(M843=0,0,P843/M843)</f>
        <v>0</v>
      </c>
      <c r="W843" s="40" t="n">
        <f aca="false">IF(L843=0,0,Q843/L843)</f>
        <v>0</v>
      </c>
    </row>
    <row r="844" customFormat="false" ht="15" hidden="false" customHeight="false" outlineLevel="0" collapsed="false">
      <c r="A844" s="37" t="s">
        <v>1232</v>
      </c>
      <c r="B844" s="38" t="n">
        <v>45977.9729166667</v>
      </c>
      <c r="C844" s="37" t="s">
        <v>1201</v>
      </c>
      <c r="D844" s="37" t="s">
        <v>1211</v>
      </c>
      <c r="E844" s="37" t="s">
        <v>1211</v>
      </c>
      <c r="F844" s="37" t="s">
        <v>544</v>
      </c>
      <c r="G844" s="37"/>
      <c r="H844" s="37" t="s">
        <v>60</v>
      </c>
      <c r="I844" s="37"/>
      <c r="J844" s="37" t="s">
        <v>100</v>
      </c>
      <c r="K844" s="37" t="s">
        <v>1213</v>
      </c>
      <c r="L844" s="39" t="n">
        <v>129</v>
      </c>
      <c r="M844" s="39" t="n">
        <v>129</v>
      </c>
      <c r="N844" s="39" t="n">
        <v>81</v>
      </c>
      <c r="O844" s="39" t="n">
        <v>0</v>
      </c>
      <c r="P844" s="39" t="n">
        <v>0</v>
      </c>
      <c r="Q844" s="39" t="n">
        <v>0</v>
      </c>
      <c r="R844" s="39" t="n">
        <v>0</v>
      </c>
      <c r="S844" s="39" t="n">
        <v>0</v>
      </c>
      <c r="T844" s="40" t="n">
        <f aca="false">IF(M844=0,0,N844/M844)</f>
        <v>0.627906976744186</v>
      </c>
      <c r="U844" s="40" t="n">
        <f aca="false">IF(M844=0,0,O844/M844)</f>
        <v>0</v>
      </c>
      <c r="V844" s="41" t="n">
        <f aca="false">IF(M844=0,0,P844/M844)</f>
        <v>0</v>
      </c>
      <c r="W844" s="40" t="n">
        <f aca="false">IF(L844=0,0,Q844/L844)</f>
        <v>0</v>
      </c>
    </row>
    <row r="845" customFormat="false" ht="15" hidden="false" customHeight="false" outlineLevel="0" collapsed="false">
      <c r="A845" s="37" t="s">
        <v>1971</v>
      </c>
      <c r="B845" s="38" t="n">
        <v>45977.3856944444</v>
      </c>
      <c r="C845" s="37" t="s">
        <v>1201</v>
      </c>
      <c r="D845" s="37" t="s">
        <v>1372</v>
      </c>
      <c r="E845" s="37" t="s">
        <v>1373</v>
      </c>
      <c r="F845" s="37" t="s">
        <v>537</v>
      </c>
      <c r="G845" s="37"/>
      <c r="H845" s="37" t="s">
        <v>60</v>
      </c>
      <c r="I845" s="37"/>
      <c r="J845" s="37" t="s">
        <v>296</v>
      </c>
      <c r="K845" s="37" t="s">
        <v>1202</v>
      </c>
      <c r="L845" s="39" t="n">
        <v>2</v>
      </c>
      <c r="M845" s="39" t="n">
        <v>2</v>
      </c>
      <c r="N845" s="39" t="n">
        <v>2</v>
      </c>
      <c r="O845" s="39" t="n">
        <v>0</v>
      </c>
      <c r="P845" s="39" t="n">
        <v>0</v>
      </c>
      <c r="Q845" s="39" t="n">
        <v>0</v>
      </c>
      <c r="R845" s="39" t="n">
        <v>0</v>
      </c>
      <c r="S845" s="39" t="n">
        <v>0</v>
      </c>
      <c r="T845" s="40" t="n">
        <f aca="false">IF(M845=0,0,N845/M845)</f>
        <v>1</v>
      </c>
      <c r="U845" s="40" t="n">
        <f aca="false">IF(M845=0,0,O845/M845)</f>
        <v>0</v>
      </c>
      <c r="V845" s="41" t="n">
        <f aca="false">IF(M845=0,0,P845/M845)</f>
        <v>0</v>
      </c>
      <c r="W845" s="40" t="n">
        <f aca="false">IF(L845=0,0,Q845/L845)</f>
        <v>0</v>
      </c>
    </row>
    <row r="846" customFormat="false" ht="15" hidden="false" customHeight="false" outlineLevel="0" collapsed="false">
      <c r="A846" s="37" t="s">
        <v>2172</v>
      </c>
      <c r="B846" s="38" t="n">
        <v>45977.0938425926</v>
      </c>
      <c r="C846" s="37" t="s">
        <v>1201</v>
      </c>
      <c r="D846" s="37" t="s">
        <v>656</v>
      </c>
      <c r="E846" s="37" t="s">
        <v>1546</v>
      </c>
      <c r="F846" s="37" t="s">
        <v>544</v>
      </c>
      <c r="G846" s="37"/>
      <c r="H846" s="37" t="s">
        <v>61</v>
      </c>
      <c r="I846" s="37"/>
      <c r="J846" s="37" t="s">
        <v>399</v>
      </c>
      <c r="K846" s="37" t="s">
        <v>1202</v>
      </c>
      <c r="L846" s="39" t="n">
        <v>118</v>
      </c>
      <c r="M846" s="39" t="n">
        <v>116</v>
      </c>
      <c r="N846" s="39" t="n">
        <v>41</v>
      </c>
      <c r="O846" s="39" t="n">
        <v>9</v>
      </c>
      <c r="P846" s="39" t="n">
        <v>1</v>
      </c>
      <c r="Q846" s="39" t="n">
        <v>2</v>
      </c>
      <c r="R846" s="39" t="n">
        <v>2</v>
      </c>
      <c r="S846" s="39" t="n">
        <v>0</v>
      </c>
      <c r="T846" s="40" t="n">
        <f aca="false">IF(M846=0,0,N846/M846)</f>
        <v>0.353448275862069</v>
      </c>
      <c r="U846" s="40" t="n">
        <f aca="false">IF(M846=0,0,O846/M846)</f>
        <v>0.0775862068965517</v>
      </c>
      <c r="V846" s="41" t="n">
        <f aca="false">IF(M846=0,0,P846/M846)</f>
        <v>0.00862068965517241</v>
      </c>
      <c r="W846" s="40" t="n">
        <f aca="false">IF(L846=0,0,Q846/L846)</f>
        <v>0.0169491525423729</v>
      </c>
    </row>
    <row r="847" customFormat="false" ht="15" hidden="false" customHeight="false" outlineLevel="0" collapsed="false">
      <c r="A847" s="37" t="s">
        <v>1379</v>
      </c>
      <c r="B847" s="38" t="n">
        <v>45977.000474537</v>
      </c>
      <c r="C847" s="37" t="s">
        <v>1201</v>
      </c>
      <c r="D847" s="37" t="s">
        <v>1372</v>
      </c>
      <c r="E847" s="37" t="s">
        <v>1373</v>
      </c>
      <c r="F847" s="37" t="s">
        <v>537</v>
      </c>
      <c r="G847" s="37"/>
      <c r="H847" s="37" t="s">
        <v>60</v>
      </c>
      <c r="I847" s="37"/>
      <c r="J847" s="37" t="s">
        <v>296</v>
      </c>
      <c r="K847" s="37" t="s">
        <v>1202</v>
      </c>
      <c r="L847" s="39" t="n">
        <v>2</v>
      </c>
      <c r="M847" s="39" t="n">
        <v>2</v>
      </c>
      <c r="N847" s="39" t="n">
        <v>2</v>
      </c>
      <c r="O847" s="39" t="n">
        <v>0</v>
      </c>
      <c r="P847" s="39" t="n">
        <v>0</v>
      </c>
      <c r="Q847" s="39" t="n">
        <v>0</v>
      </c>
      <c r="R847" s="39" t="n">
        <v>0</v>
      </c>
      <c r="S847" s="39" t="n">
        <v>0</v>
      </c>
      <c r="T847" s="40" t="n">
        <f aca="false">IF(M847=0,0,N847/M847)</f>
        <v>1</v>
      </c>
      <c r="U847" s="40" t="n">
        <f aca="false">IF(M847=0,0,O847/M847)</f>
        <v>0</v>
      </c>
      <c r="V847" s="41" t="n">
        <f aca="false">IF(M847=0,0,P847/M847)</f>
        <v>0</v>
      </c>
      <c r="W847" s="40" t="n">
        <f aca="false">IF(L847=0,0,Q847/L847)</f>
        <v>0</v>
      </c>
    </row>
    <row r="848" customFormat="false" ht="15" hidden="false" customHeight="false" outlineLevel="0" collapsed="false">
      <c r="A848" s="37" t="s">
        <v>2173</v>
      </c>
      <c r="B848" s="38" t="n">
        <v>45976.3754513889</v>
      </c>
      <c r="C848" s="37" t="s">
        <v>1201</v>
      </c>
      <c r="D848" s="37" t="s">
        <v>1372</v>
      </c>
      <c r="E848" s="37" t="s">
        <v>1373</v>
      </c>
      <c r="F848" s="37" t="s">
        <v>537</v>
      </c>
      <c r="G848" s="37"/>
      <c r="H848" s="37" t="s">
        <v>63</v>
      </c>
      <c r="I848" s="37"/>
      <c r="J848" s="37" t="s">
        <v>296</v>
      </c>
      <c r="K848" s="37" t="s">
        <v>1202</v>
      </c>
      <c r="L848" s="39" t="n">
        <v>2</v>
      </c>
      <c r="M848" s="39" t="n">
        <v>2</v>
      </c>
      <c r="N848" s="39" t="n">
        <v>2</v>
      </c>
      <c r="O848" s="39" t="n">
        <v>0</v>
      </c>
      <c r="P848" s="39" t="n">
        <v>0</v>
      </c>
      <c r="Q848" s="39" t="n">
        <v>0</v>
      </c>
      <c r="R848" s="39" t="n">
        <v>0</v>
      </c>
      <c r="S848" s="39" t="n">
        <v>0</v>
      </c>
      <c r="T848" s="40" t="n">
        <f aca="false">IF(M848=0,0,N848/M848)</f>
        <v>1</v>
      </c>
      <c r="U848" s="40" t="n">
        <f aca="false">IF(M848=0,0,O848/M848)</f>
        <v>0</v>
      </c>
      <c r="V848" s="41" t="n">
        <f aca="false">IF(M848=0,0,P848/M848)</f>
        <v>0</v>
      </c>
      <c r="W848" s="40" t="n">
        <f aca="false">IF(L848=0,0,Q848/L848)</f>
        <v>0</v>
      </c>
    </row>
    <row r="849" customFormat="false" ht="15" hidden="false" customHeight="false" outlineLevel="0" collapsed="false">
      <c r="A849" s="37" t="s">
        <v>2145</v>
      </c>
      <c r="B849" s="38" t="n">
        <v>45976.3752662037</v>
      </c>
      <c r="C849" s="37" t="s">
        <v>1201</v>
      </c>
      <c r="D849" s="37" t="s">
        <v>1372</v>
      </c>
      <c r="E849" s="37" t="s">
        <v>1373</v>
      </c>
      <c r="F849" s="37" t="s">
        <v>537</v>
      </c>
      <c r="G849" s="37"/>
      <c r="H849" s="37" t="s">
        <v>63</v>
      </c>
      <c r="I849" s="37"/>
      <c r="J849" s="37" t="s">
        <v>296</v>
      </c>
      <c r="K849" s="37" t="s">
        <v>1202</v>
      </c>
      <c r="L849" s="39" t="n">
        <v>2</v>
      </c>
      <c r="M849" s="39" t="n">
        <v>2</v>
      </c>
      <c r="N849" s="39" t="n">
        <v>2</v>
      </c>
      <c r="O849" s="39" t="n">
        <v>0</v>
      </c>
      <c r="P849" s="39" t="n">
        <v>0</v>
      </c>
      <c r="Q849" s="39" t="n">
        <v>0</v>
      </c>
      <c r="R849" s="39" t="n">
        <v>0</v>
      </c>
      <c r="S849" s="39" t="n">
        <v>0</v>
      </c>
      <c r="T849" s="40" t="n">
        <f aca="false">IF(M849=0,0,N849/M849)</f>
        <v>1</v>
      </c>
      <c r="U849" s="40" t="n">
        <f aca="false">IF(M849=0,0,O849/M849)</f>
        <v>0</v>
      </c>
      <c r="V849" s="41" t="n">
        <f aca="false">IF(M849=0,0,P849/M849)</f>
        <v>0</v>
      </c>
      <c r="W849" s="40" t="n">
        <f aca="false">IF(L849=0,0,Q849/L849)</f>
        <v>0</v>
      </c>
    </row>
    <row r="850" customFormat="false" ht="15" hidden="false" customHeight="false" outlineLevel="0" collapsed="false">
      <c r="A850" s="37" t="s">
        <v>2174</v>
      </c>
      <c r="B850" s="38" t="n">
        <v>45975.5416666667</v>
      </c>
      <c r="C850" s="37" t="s">
        <v>1201</v>
      </c>
      <c r="D850" s="37" t="s">
        <v>2175</v>
      </c>
      <c r="E850" s="37" t="s">
        <v>1728</v>
      </c>
      <c r="F850" s="37" t="s">
        <v>230</v>
      </c>
      <c r="G850" s="37"/>
      <c r="H850" s="37" t="s">
        <v>60</v>
      </c>
      <c r="I850" s="37"/>
      <c r="J850" s="37" t="s">
        <v>229</v>
      </c>
      <c r="K850" s="37" t="s">
        <v>1202</v>
      </c>
      <c r="L850" s="39" t="n">
        <v>42</v>
      </c>
      <c r="M850" s="39" t="n">
        <v>42</v>
      </c>
      <c r="N850" s="39" t="n">
        <v>20</v>
      </c>
      <c r="O850" s="39" t="n">
        <v>8</v>
      </c>
      <c r="P850" s="39" t="n">
        <v>0</v>
      </c>
      <c r="Q850" s="39" t="n">
        <v>0</v>
      </c>
      <c r="R850" s="39" t="n">
        <v>0</v>
      </c>
      <c r="S850" s="39" t="n">
        <v>0</v>
      </c>
      <c r="T850" s="40" t="n">
        <f aca="false">IF(M850=0,0,N850/M850)</f>
        <v>0.476190476190476</v>
      </c>
      <c r="U850" s="40" t="n">
        <f aca="false">IF(M850=0,0,O850/M850)</f>
        <v>0.19047619047619</v>
      </c>
      <c r="V850" s="41" t="n">
        <f aca="false">IF(M850=0,0,P850/M850)</f>
        <v>0</v>
      </c>
      <c r="W850" s="40" t="n">
        <f aca="false">IF(L850=0,0,Q850/L850)</f>
        <v>0</v>
      </c>
    </row>
    <row r="851" customFormat="false" ht="15" hidden="false" customHeight="false" outlineLevel="0" collapsed="false">
      <c r="A851" s="37" t="s">
        <v>2176</v>
      </c>
      <c r="B851" s="38" t="n">
        <v>45975.5388541667</v>
      </c>
      <c r="C851" s="37" t="s">
        <v>1201</v>
      </c>
      <c r="D851" s="37" t="s">
        <v>2175</v>
      </c>
      <c r="E851" s="37" t="s">
        <v>1728</v>
      </c>
      <c r="F851" s="37" t="s">
        <v>230</v>
      </c>
      <c r="G851" s="37"/>
      <c r="H851" s="37" t="s">
        <v>60</v>
      </c>
      <c r="I851" s="37"/>
      <c r="J851" s="37" t="s">
        <v>229</v>
      </c>
      <c r="K851" s="37" t="s">
        <v>1202</v>
      </c>
      <c r="L851" s="39" t="n">
        <v>31</v>
      </c>
      <c r="M851" s="39" t="n">
        <v>30</v>
      </c>
      <c r="N851" s="39" t="n">
        <v>7</v>
      </c>
      <c r="O851" s="39" t="n">
        <v>1</v>
      </c>
      <c r="P851" s="39" t="n">
        <v>0</v>
      </c>
      <c r="Q851" s="39" t="n">
        <v>1</v>
      </c>
      <c r="R851" s="39" t="n">
        <v>0</v>
      </c>
      <c r="S851" s="39" t="n">
        <v>0</v>
      </c>
      <c r="T851" s="40" t="n">
        <f aca="false">IF(M851=0,0,N851/M851)</f>
        <v>0.233333333333333</v>
      </c>
      <c r="U851" s="40" t="n">
        <f aca="false">IF(M851=0,0,O851/M851)</f>
        <v>0.0333333333333333</v>
      </c>
      <c r="V851" s="41" t="n">
        <f aca="false">IF(M851=0,0,P851/M851)</f>
        <v>0</v>
      </c>
      <c r="W851" s="40" t="n">
        <f aca="false">IF(L851=0,0,Q851/L851)</f>
        <v>0.032258064516129</v>
      </c>
    </row>
    <row r="852" customFormat="false" ht="15" hidden="false" customHeight="false" outlineLevel="0" collapsed="false">
      <c r="A852" s="37" t="s">
        <v>2177</v>
      </c>
      <c r="B852" s="38" t="n">
        <v>45975.4293171296</v>
      </c>
      <c r="C852" s="37" t="s">
        <v>1201</v>
      </c>
      <c r="D852" s="37" t="s">
        <v>166</v>
      </c>
      <c r="E852" s="37" t="s">
        <v>166</v>
      </c>
      <c r="F852" s="37" t="s">
        <v>671</v>
      </c>
      <c r="G852" s="37" t="s">
        <v>1880</v>
      </c>
      <c r="H852" s="37" t="s">
        <v>60</v>
      </c>
      <c r="I852" s="37" t="s">
        <v>255</v>
      </c>
      <c r="J852" s="37" t="s">
        <v>164</v>
      </c>
      <c r="K852" s="37" t="s">
        <v>1202</v>
      </c>
      <c r="L852" s="39" t="n">
        <v>22</v>
      </c>
      <c r="M852" s="39" t="n">
        <v>22</v>
      </c>
      <c r="N852" s="39" t="n">
        <v>13</v>
      </c>
      <c r="O852" s="39" t="n">
        <v>0</v>
      </c>
      <c r="P852" s="39" t="n">
        <v>1</v>
      </c>
      <c r="Q852" s="39" t="n">
        <v>0</v>
      </c>
      <c r="R852" s="39" t="n">
        <v>0</v>
      </c>
      <c r="S852" s="39" t="n">
        <v>0</v>
      </c>
      <c r="T852" s="40" t="n">
        <f aca="false">IF(M852=0,0,N852/M852)</f>
        <v>0.590909090909091</v>
      </c>
      <c r="U852" s="40" t="n">
        <f aca="false">IF(M852=0,0,O852/M852)</f>
        <v>0</v>
      </c>
      <c r="V852" s="41" t="n">
        <f aca="false">IF(M852=0,0,P852/M852)</f>
        <v>0.0454545454545455</v>
      </c>
      <c r="W852" s="40" t="n">
        <f aca="false">IF(L852=0,0,Q852/L852)</f>
        <v>0</v>
      </c>
    </row>
    <row r="853" customFormat="false" ht="15" hidden="false" customHeight="false" outlineLevel="0" collapsed="false">
      <c r="A853" s="37" t="s">
        <v>2178</v>
      </c>
      <c r="B853" s="38" t="n">
        <v>45975.3858680556</v>
      </c>
      <c r="C853" s="37" t="s">
        <v>1201</v>
      </c>
      <c r="D853" s="37" t="s">
        <v>1372</v>
      </c>
      <c r="E853" s="37" t="s">
        <v>1373</v>
      </c>
      <c r="F853" s="37" t="s">
        <v>537</v>
      </c>
      <c r="G853" s="37"/>
      <c r="H853" s="37" t="s">
        <v>63</v>
      </c>
      <c r="I853" s="37"/>
      <c r="J853" s="37" t="s">
        <v>296</v>
      </c>
      <c r="K853" s="37" t="s">
        <v>1202</v>
      </c>
      <c r="L853" s="39" t="n">
        <v>2</v>
      </c>
      <c r="M853" s="39" t="n">
        <v>2</v>
      </c>
      <c r="N853" s="39" t="n">
        <v>2</v>
      </c>
      <c r="O853" s="39" t="n">
        <v>0</v>
      </c>
      <c r="P853" s="39" t="n">
        <v>0</v>
      </c>
      <c r="Q853" s="39" t="n">
        <v>0</v>
      </c>
      <c r="R853" s="39" t="n">
        <v>0</v>
      </c>
      <c r="S853" s="39" t="n">
        <v>0</v>
      </c>
      <c r="T853" s="40" t="n">
        <f aca="false">IF(M853=0,0,N853/M853)</f>
        <v>1</v>
      </c>
      <c r="U853" s="40" t="n">
        <f aca="false">IF(M853=0,0,O853/M853)</f>
        <v>0</v>
      </c>
      <c r="V853" s="41" t="n">
        <f aca="false">IF(M853=0,0,P853/M853)</f>
        <v>0</v>
      </c>
      <c r="W853" s="40" t="n">
        <f aca="false">IF(L853=0,0,Q853/L853)</f>
        <v>0</v>
      </c>
    </row>
    <row r="854" customFormat="false" ht="15" hidden="false" customHeight="false" outlineLevel="0" collapsed="false">
      <c r="A854" s="37" t="s">
        <v>2179</v>
      </c>
      <c r="B854" s="38" t="n">
        <v>45974.3649074074</v>
      </c>
      <c r="C854" s="37" t="s">
        <v>1201</v>
      </c>
      <c r="D854" s="37" t="s">
        <v>1372</v>
      </c>
      <c r="E854" s="37" t="s">
        <v>1373</v>
      </c>
      <c r="F854" s="37" t="s">
        <v>537</v>
      </c>
      <c r="G854" s="37"/>
      <c r="H854" s="37" t="s">
        <v>64</v>
      </c>
      <c r="I854" s="37"/>
      <c r="J854" s="37" t="s">
        <v>296</v>
      </c>
      <c r="K854" s="37" t="s">
        <v>1202</v>
      </c>
      <c r="L854" s="39" t="n">
        <v>2</v>
      </c>
      <c r="M854" s="39" t="n">
        <v>2</v>
      </c>
      <c r="N854" s="39" t="n">
        <v>2</v>
      </c>
      <c r="O854" s="39" t="n">
        <v>0</v>
      </c>
      <c r="P854" s="39" t="n">
        <v>0</v>
      </c>
      <c r="Q854" s="39" t="n">
        <v>0</v>
      </c>
      <c r="R854" s="39" t="n">
        <v>0</v>
      </c>
      <c r="S854" s="39" t="n">
        <v>0</v>
      </c>
      <c r="T854" s="40" t="n">
        <f aca="false">IF(M854=0,0,N854/M854)</f>
        <v>1</v>
      </c>
      <c r="U854" s="40" t="n">
        <f aca="false">IF(M854=0,0,O854/M854)</f>
        <v>0</v>
      </c>
      <c r="V854" s="41" t="n">
        <f aca="false">IF(M854=0,0,P854/M854)</f>
        <v>0</v>
      </c>
      <c r="W854" s="40" t="n">
        <f aca="false">IF(L854=0,0,Q854/L854)</f>
        <v>0</v>
      </c>
    </row>
    <row r="855" customFormat="false" ht="15" hidden="false" customHeight="false" outlineLevel="0" collapsed="false">
      <c r="A855" s="37" t="s">
        <v>2180</v>
      </c>
      <c r="B855" s="38" t="n">
        <v>45973.6477546296</v>
      </c>
      <c r="C855" s="37" t="s">
        <v>1201</v>
      </c>
      <c r="D855" s="37" t="s">
        <v>2181</v>
      </c>
      <c r="E855" s="37" t="s">
        <v>1570</v>
      </c>
      <c r="F855" s="37" t="s">
        <v>544</v>
      </c>
      <c r="G855" s="37"/>
      <c r="H855" s="37" t="s">
        <v>60</v>
      </c>
      <c r="I855" s="37"/>
      <c r="J855" s="37" t="s">
        <v>430</v>
      </c>
      <c r="K855" s="37" t="s">
        <v>8</v>
      </c>
      <c r="L855" s="39" t="n">
        <v>3848</v>
      </c>
      <c r="M855" s="39" t="n">
        <v>3785</v>
      </c>
      <c r="N855" s="39" t="n">
        <v>1817</v>
      </c>
      <c r="O855" s="39" t="n">
        <v>461</v>
      </c>
      <c r="P855" s="39" t="n">
        <v>19</v>
      </c>
      <c r="Q855" s="39" t="n">
        <v>63</v>
      </c>
      <c r="R855" s="39" t="n">
        <v>59</v>
      </c>
      <c r="S855" s="39" t="n">
        <v>0</v>
      </c>
      <c r="T855" s="40" t="n">
        <f aca="false">IF(M855=0,0,N855/M855)</f>
        <v>0.48005284015852</v>
      </c>
      <c r="U855" s="40" t="n">
        <f aca="false">IF(M855=0,0,O855/M855)</f>
        <v>0.121796565389696</v>
      </c>
      <c r="V855" s="41" t="n">
        <f aca="false">IF(M855=0,0,P855/M855)</f>
        <v>0.00501981505944518</v>
      </c>
      <c r="W855" s="40" t="n">
        <f aca="false">IF(L855=0,0,Q855/L855)</f>
        <v>0.0163721413721414</v>
      </c>
    </row>
    <row r="856" customFormat="false" ht="15" hidden="false" customHeight="false" outlineLevel="0" collapsed="false">
      <c r="A856" s="37" t="s">
        <v>2182</v>
      </c>
      <c r="B856" s="38" t="n">
        <v>45973.4265740741</v>
      </c>
      <c r="C856" s="37" t="s">
        <v>1201</v>
      </c>
      <c r="D856" s="37" t="s">
        <v>1764</v>
      </c>
      <c r="E856" s="37" t="s">
        <v>1764</v>
      </c>
      <c r="F856" s="37" t="s">
        <v>616</v>
      </c>
      <c r="G856" s="37"/>
      <c r="H856" s="37" t="s">
        <v>60</v>
      </c>
      <c r="I856" s="37"/>
      <c r="J856" s="37" t="s">
        <v>430</v>
      </c>
      <c r="K856" s="37" t="s">
        <v>8</v>
      </c>
      <c r="L856" s="39" t="n">
        <v>447</v>
      </c>
      <c r="M856" s="39" t="n">
        <v>429</v>
      </c>
      <c r="N856" s="39" t="n">
        <v>107</v>
      </c>
      <c r="O856" s="39" t="n">
        <v>9</v>
      </c>
      <c r="P856" s="39" t="n">
        <v>3</v>
      </c>
      <c r="Q856" s="39" t="n">
        <v>18</v>
      </c>
      <c r="R856" s="39" t="n">
        <v>16</v>
      </c>
      <c r="S856" s="39" t="n">
        <v>0</v>
      </c>
      <c r="T856" s="40" t="n">
        <f aca="false">IF(M856=0,0,N856/M856)</f>
        <v>0.249417249417249</v>
      </c>
      <c r="U856" s="40" t="n">
        <f aca="false">IF(M856=0,0,O856/M856)</f>
        <v>0.020979020979021</v>
      </c>
      <c r="V856" s="41" t="n">
        <f aca="false">IF(M856=0,0,P856/M856)</f>
        <v>0.00699300699300699</v>
      </c>
      <c r="W856" s="40" t="n">
        <f aca="false">IF(L856=0,0,Q856/L856)</f>
        <v>0.0402684563758389</v>
      </c>
    </row>
    <row r="857" customFormat="false" ht="15" hidden="false" customHeight="false" outlineLevel="0" collapsed="false">
      <c r="A857" s="37" t="s">
        <v>2183</v>
      </c>
      <c r="B857" s="38" t="n">
        <v>45973.3858333333</v>
      </c>
      <c r="C857" s="37" t="s">
        <v>1201</v>
      </c>
      <c r="D857" s="37" t="s">
        <v>1372</v>
      </c>
      <c r="E857" s="37" t="s">
        <v>1373</v>
      </c>
      <c r="F857" s="37" t="s">
        <v>537</v>
      </c>
      <c r="G857" s="37"/>
      <c r="H857" s="37" t="s">
        <v>63</v>
      </c>
      <c r="I857" s="37"/>
      <c r="J857" s="37" t="s">
        <v>296</v>
      </c>
      <c r="K857" s="37" t="s">
        <v>1202</v>
      </c>
      <c r="L857" s="39" t="n">
        <v>2</v>
      </c>
      <c r="M857" s="39" t="n">
        <v>2</v>
      </c>
      <c r="N857" s="39" t="n">
        <v>2</v>
      </c>
      <c r="O857" s="39" t="n">
        <v>0</v>
      </c>
      <c r="P857" s="39" t="n">
        <v>0</v>
      </c>
      <c r="Q857" s="39" t="n">
        <v>0</v>
      </c>
      <c r="R857" s="39" t="n">
        <v>0</v>
      </c>
      <c r="S857" s="39" t="n">
        <v>0</v>
      </c>
      <c r="T857" s="40" t="n">
        <f aca="false">IF(M857=0,0,N857/M857)</f>
        <v>1</v>
      </c>
      <c r="U857" s="40" t="n">
        <f aca="false">IF(M857=0,0,O857/M857)</f>
        <v>0</v>
      </c>
      <c r="V857" s="41" t="n">
        <f aca="false">IF(M857=0,0,P857/M857)</f>
        <v>0</v>
      </c>
      <c r="W857" s="40" t="n">
        <f aca="false">IF(L857=0,0,Q857/L857)</f>
        <v>0</v>
      </c>
    </row>
    <row r="858" customFormat="false" ht="15" hidden="false" customHeight="false" outlineLevel="0" collapsed="false">
      <c r="A858" s="37" t="s">
        <v>2184</v>
      </c>
      <c r="B858" s="38" t="n">
        <v>45973.3442592593</v>
      </c>
      <c r="C858" s="37" t="s">
        <v>1252</v>
      </c>
      <c r="D858" s="37" t="s">
        <v>166</v>
      </c>
      <c r="E858" s="37" t="s">
        <v>166</v>
      </c>
      <c r="F858" s="37" t="s">
        <v>623</v>
      </c>
      <c r="G858" s="37" t="s">
        <v>2002</v>
      </c>
      <c r="H858" s="37" t="s">
        <v>61</v>
      </c>
      <c r="I858" s="37" t="s">
        <v>180</v>
      </c>
      <c r="J858" s="37" t="s">
        <v>164</v>
      </c>
      <c r="K858" s="37" t="s">
        <v>1202</v>
      </c>
      <c r="L858" s="39" t="n">
        <v>133</v>
      </c>
      <c r="M858" s="39" t="n">
        <v>133</v>
      </c>
      <c r="N858" s="39" t="n">
        <v>69</v>
      </c>
      <c r="O858" s="39" t="n">
        <v>21</v>
      </c>
      <c r="P858" s="39" t="n">
        <v>0</v>
      </c>
      <c r="Q858" s="39" t="n">
        <v>0</v>
      </c>
      <c r="R858" s="39" t="n">
        <v>0</v>
      </c>
      <c r="S858" s="39" t="n">
        <v>0</v>
      </c>
      <c r="T858" s="40" t="n">
        <f aca="false">IF(M858=0,0,N858/M858)</f>
        <v>0.518796992481203</v>
      </c>
      <c r="U858" s="40" t="n">
        <f aca="false">IF(M858=0,0,O858/M858)</f>
        <v>0.157894736842105</v>
      </c>
      <c r="V858" s="41" t="n">
        <f aca="false">IF(M858=0,0,P858/M858)</f>
        <v>0</v>
      </c>
      <c r="W858" s="40" t="n">
        <f aca="false">IF(L858=0,0,Q858/L858)</f>
        <v>0</v>
      </c>
    </row>
    <row r="859" customFormat="false" ht="15" hidden="false" customHeight="false" outlineLevel="0" collapsed="false">
      <c r="A859" s="37" t="s">
        <v>2185</v>
      </c>
      <c r="B859" s="38" t="n">
        <v>45972.4743171296</v>
      </c>
      <c r="C859" s="37" t="s">
        <v>1201</v>
      </c>
      <c r="D859" s="37" t="s">
        <v>2175</v>
      </c>
      <c r="E859" s="37" t="s">
        <v>1728</v>
      </c>
      <c r="F859" s="37" t="s">
        <v>230</v>
      </c>
      <c r="G859" s="37"/>
      <c r="H859" s="37" t="s">
        <v>60</v>
      </c>
      <c r="I859" s="37"/>
      <c r="J859" s="37" t="s">
        <v>229</v>
      </c>
      <c r="K859" s="37" t="s">
        <v>1202</v>
      </c>
      <c r="L859" s="39" t="n">
        <v>57</v>
      </c>
      <c r="M859" s="39" t="n">
        <v>57</v>
      </c>
      <c r="N859" s="39" t="n">
        <v>37</v>
      </c>
      <c r="O859" s="39" t="n">
        <v>18</v>
      </c>
      <c r="P859" s="39" t="n">
        <v>0</v>
      </c>
      <c r="Q859" s="39" t="n">
        <v>0</v>
      </c>
      <c r="R859" s="39" t="n">
        <v>0</v>
      </c>
      <c r="S859" s="39" t="n">
        <v>0</v>
      </c>
      <c r="T859" s="40" t="n">
        <f aca="false">IF(M859=0,0,N859/M859)</f>
        <v>0.649122807017544</v>
      </c>
      <c r="U859" s="40" t="n">
        <f aca="false">IF(M859=0,0,O859/M859)</f>
        <v>0.315789473684211</v>
      </c>
      <c r="V859" s="41" t="n">
        <f aca="false">IF(M859=0,0,P859/M859)</f>
        <v>0</v>
      </c>
      <c r="W859" s="40" t="n">
        <f aca="false">IF(L859=0,0,Q859/L859)</f>
        <v>0</v>
      </c>
    </row>
    <row r="860" customFormat="false" ht="15" hidden="false" customHeight="false" outlineLevel="0" collapsed="false">
      <c r="A860" s="37" t="s">
        <v>2186</v>
      </c>
      <c r="B860" s="38" t="n">
        <v>45972.3440277778</v>
      </c>
      <c r="C860" s="37" t="s">
        <v>1252</v>
      </c>
      <c r="D860" s="37" t="s">
        <v>166</v>
      </c>
      <c r="E860" s="37" t="s">
        <v>166</v>
      </c>
      <c r="F860" s="37" t="s">
        <v>671</v>
      </c>
      <c r="G860" s="37" t="s">
        <v>1997</v>
      </c>
      <c r="H860" s="37" t="s">
        <v>61</v>
      </c>
      <c r="I860" s="37" t="s">
        <v>174</v>
      </c>
      <c r="J860" s="37" t="s">
        <v>164</v>
      </c>
      <c r="K860" s="37" t="s">
        <v>1202</v>
      </c>
      <c r="L860" s="39" t="n">
        <v>0</v>
      </c>
      <c r="M860" s="39" t="n">
        <v>0</v>
      </c>
      <c r="N860" s="39" t="n">
        <v>0</v>
      </c>
      <c r="O860" s="39" t="n">
        <v>0</v>
      </c>
      <c r="P860" s="39" t="n">
        <v>0</v>
      </c>
      <c r="Q860" s="39" t="n">
        <v>0</v>
      </c>
      <c r="R860" s="39" t="n">
        <v>0</v>
      </c>
      <c r="S860" s="39" t="n">
        <v>0</v>
      </c>
      <c r="T860" s="40" t="n">
        <f aca="false">IF(M860=0,0,N860/M860)</f>
        <v>0</v>
      </c>
      <c r="U860" s="40" t="n">
        <f aca="false">IF(M860=0,0,O860/M860)</f>
        <v>0</v>
      </c>
      <c r="V860" s="41" t="n">
        <f aca="false">IF(M860=0,0,P860/M860)</f>
        <v>0</v>
      </c>
      <c r="W860" s="40" t="n">
        <f aca="false">IF(L860=0,0,Q860/L860)</f>
        <v>0</v>
      </c>
    </row>
    <row r="861" customFormat="false" ht="15" hidden="false" customHeight="false" outlineLevel="0" collapsed="false">
      <c r="A861" s="37" t="s">
        <v>2187</v>
      </c>
      <c r="B861" s="38" t="n">
        <v>45972.2272337963</v>
      </c>
      <c r="C861" s="37" t="s">
        <v>1201</v>
      </c>
      <c r="D861" s="37" t="s">
        <v>1768</v>
      </c>
      <c r="E861" s="37" t="s">
        <v>252</v>
      </c>
      <c r="F861" s="37" t="s">
        <v>544</v>
      </c>
      <c r="G861" s="37"/>
      <c r="H861" s="37" t="s">
        <v>60</v>
      </c>
      <c r="I861" s="37"/>
      <c r="J861" s="37" t="s">
        <v>109</v>
      </c>
      <c r="K861" s="37" t="s">
        <v>1202</v>
      </c>
      <c r="L861" s="39" t="n">
        <v>37</v>
      </c>
      <c r="M861" s="39" t="n">
        <v>37</v>
      </c>
      <c r="N861" s="39" t="n">
        <v>19</v>
      </c>
      <c r="O861" s="39" t="n">
        <v>0</v>
      </c>
      <c r="P861" s="39" t="n">
        <v>1</v>
      </c>
      <c r="Q861" s="39" t="n">
        <v>0</v>
      </c>
      <c r="R861" s="39" t="n">
        <v>0</v>
      </c>
      <c r="S861" s="39" t="n">
        <v>0</v>
      </c>
      <c r="T861" s="40" t="n">
        <f aca="false">IF(M861=0,0,N861/M861)</f>
        <v>0.513513513513514</v>
      </c>
      <c r="U861" s="40" t="n">
        <f aca="false">IF(M861=0,0,O861/M861)</f>
        <v>0</v>
      </c>
      <c r="V861" s="41" t="n">
        <f aca="false">IF(M861=0,0,P861/M861)</f>
        <v>0.027027027027027</v>
      </c>
      <c r="W861" s="40" t="n">
        <f aca="false">IF(L861=0,0,Q861/L861)</f>
        <v>0</v>
      </c>
    </row>
    <row r="862" customFormat="false" ht="15" hidden="false" customHeight="false" outlineLevel="0" collapsed="false">
      <c r="A862" s="37" t="s">
        <v>2188</v>
      </c>
      <c r="B862" s="38" t="n">
        <v>45972.0109837963</v>
      </c>
      <c r="C862" s="37" t="s">
        <v>1201</v>
      </c>
      <c r="D862" s="37" t="s">
        <v>1372</v>
      </c>
      <c r="E862" s="37" t="s">
        <v>1373</v>
      </c>
      <c r="F862" s="37" t="s">
        <v>537</v>
      </c>
      <c r="G862" s="37"/>
      <c r="H862" s="37" t="s">
        <v>60</v>
      </c>
      <c r="I862" s="37"/>
      <c r="J862" s="37" t="s">
        <v>296</v>
      </c>
      <c r="K862" s="37" t="s">
        <v>1202</v>
      </c>
      <c r="L862" s="39" t="n">
        <v>2</v>
      </c>
      <c r="M862" s="39" t="n">
        <v>2</v>
      </c>
      <c r="N862" s="39" t="n">
        <v>2</v>
      </c>
      <c r="O862" s="39" t="n">
        <v>0</v>
      </c>
      <c r="P862" s="39" t="n">
        <v>0</v>
      </c>
      <c r="Q862" s="39" t="n">
        <v>0</v>
      </c>
      <c r="R862" s="39" t="n">
        <v>0</v>
      </c>
      <c r="S862" s="39" t="n">
        <v>0</v>
      </c>
      <c r="T862" s="40" t="n">
        <f aca="false">IF(M862=0,0,N862/M862)</f>
        <v>1</v>
      </c>
      <c r="U862" s="40" t="n">
        <f aca="false">IF(M862=0,0,O862/M862)</f>
        <v>0</v>
      </c>
      <c r="V862" s="41" t="n">
        <f aca="false">IF(M862=0,0,P862/M862)</f>
        <v>0</v>
      </c>
      <c r="W862" s="40" t="n">
        <f aca="false">IF(L862=0,0,Q862/L862)</f>
        <v>0</v>
      </c>
    </row>
    <row r="863" customFormat="false" ht="15" hidden="false" customHeight="false" outlineLevel="0" collapsed="false">
      <c r="A863" s="37" t="s">
        <v>2105</v>
      </c>
      <c r="B863" s="38" t="n">
        <v>45972.010474537</v>
      </c>
      <c r="C863" s="37" t="s">
        <v>1201</v>
      </c>
      <c r="D863" s="37" t="s">
        <v>1372</v>
      </c>
      <c r="E863" s="37" t="s">
        <v>1373</v>
      </c>
      <c r="F863" s="37" t="s">
        <v>537</v>
      </c>
      <c r="G863" s="37"/>
      <c r="H863" s="37" t="s">
        <v>63</v>
      </c>
      <c r="I863" s="37"/>
      <c r="J863" s="37" t="s">
        <v>296</v>
      </c>
      <c r="K863" s="37" t="s">
        <v>1202</v>
      </c>
      <c r="L863" s="39" t="n">
        <v>2</v>
      </c>
      <c r="M863" s="39" t="n">
        <v>2</v>
      </c>
      <c r="N863" s="39" t="n">
        <v>2</v>
      </c>
      <c r="O863" s="39" t="n">
        <v>0</v>
      </c>
      <c r="P863" s="39" t="n">
        <v>0</v>
      </c>
      <c r="Q863" s="39" t="n">
        <v>0</v>
      </c>
      <c r="R863" s="39" t="n">
        <v>0</v>
      </c>
      <c r="S863" s="39" t="n">
        <v>0</v>
      </c>
      <c r="T863" s="40" t="n">
        <f aca="false">IF(M863=0,0,N863/M863)</f>
        <v>1</v>
      </c>
      <c r="U863" s="40" t="n">
        <f aca="false">IF(M863=0,0,O863/M863)</f>
        <v>0</v>
      </c>
      <c r="V863" s="41" t="n">
        <f aca="false">IF(M863=0,0,P863/M863)</f>
        <v>0</v>
      </c>
      <c r="W863" s="40" t="n">
        <f aca="false">IF(L863=0,0,Q863/L863)</f>
        <v>0</v>
      </c>
    </row>
    <row r="864" customFormat="false" ht="15" hidden="false" customHeight="false" outlineLevel="0" collapsed="false">
      <c r="A864" s="37" t="s">
        <v>2189</v>
      </c>
      <c r="B864" s="38" t="n">
        <v>45971.6606134259</v>
      </c>
      <c r="C864" s="37" t="s">
        <v>1201</v>
      </c>
      <c r="D864" s="37" t="s">
        <v>1453</v>
      </c>
      <c r="E864" s="37" t="s">
        <v>1360</v>
      </c>
      <c r="F864" s="37" t="s">
        <v>544</v>
      </c>
      <c r="G864" s="37"/>
      <c r="H864" s="37" t="s">
        <v>60</v>
      </c>
      <c r="I864" s="37"/>
      <c r="J864" s="37" t="s">
        <v>100</v>
      </c>
      <c r="K864" s="37" t="s">
        <v>1202</v>
      </c>
      <c r="L864" s="39" t="n">
        <v>1685</v>
      </c>
      <c r="M864" s="39" t="n">
        <v>1684</v>
      </c>
      <c r="N864" s="39" t="n">
        <v>902</v>
      </c>
      <c r="O864" s="39" t="n">
        <v>408</v>
      </c>
      <c r="P864" s="39" t="n">
        <v>6</v>
      </c>
      <c r="Q864" s="39" t="n">
        <v>1</v>
      </c>
      <c r="R864" s="39" t="n">
        <v>1</v>
      </c>
      <c r="S864" s="39" t="n">
        <v>0</v>
      </c>
      <c r="T864" s="40" t="n">
        <f aca="false">IF(M864=0,0,N864/M864)</f>
        <v>0.53562945368171</v>
      </c>
      <c r="U864" s="40" t="n">
        <f aca="false">IF(M864=0,0,O864/M864)</f>
        <v>0.242280285035629</v>
      </c>
      <c r="V864" s="41" t="n">
        <f aca="false">IF(M864=0,0,P864/M864)</f>
        <v>0.00356294536817102</v>
      </c>
      <c r="W864" s="40" t="n">
        <f aca="false">IF(L864=0,0,Q864/L864)</f>
        <v>0.000593471810089021</v>
      </c>
    </row>
    <row r="865" customFormat="false" ht="15" hidden="false" customHeight="false" outlineLevel="0" collapsed="false">
      <c r="A865" s="37" t="s">
        <v>2190</v>
      </c>
      <c r="B865" s="38" t="n">
        <v>45971.5707175926</v>
      </c>
      <c r="C865" s="37" t="s">
        <v>1252</v>
      </c>
      <c r="D865" s="37" t="s">
        <v>166</v>
      </c>
      <c r="E865" s="37" t="s">
        <v>166</v>
      </c>
      <c r="F865" s="37" t="s">
        <v>671</v>
      </c>
      <c r="G865" s="37" t="s">
        <v>1997</v>
      </c>
      <c r="H865" s="37" t="s">
        <v>61</v>
      </c>
      <c r="I865" s="37" t="s">
        <v>174</v>
      </c>
      <c r="J865" s="37" t="s">
        <v>164</v>
      </c>
      <c r="K865" s="37" t="s">
        <v>1202</v>
      </c>
      <c r="L865" s="39" t="n">
        <v>879</v>
      </c>
      <c r="M865" s="39" t="n">
        <v>877</v>
      </c>
      <c r="N865" s="39" t="n">
        <v>481</v>
      </c>
      <c r="O865" s="39" t="n">
        <v>30</v>
      </c>
      <c r="P865" s="39" t="n">
        <v>4</v>
      </c>
      <c r="Q865" s="39" t="n">
        <v>2</v>
      </c>
      <c r="R865" s="39" t="n">
        <v>2</v>
      </c>
      <c r="S865" s="39" t="n">
        <v>0</v>
      </c>
      <c r="T865" s="40" t="n">
        <f aca="false">IF(M865=0,0,N865/M865)</f>
        <v>0.548460661345496</v>
      </c>
      <c r="U865" s="40" t="n">
        <f aca="false">IF(M865=0,0,O865/M865)</f>
        <v>0.0342075256556442</v>
      </c>
      <c r="V865" s="41" t="n">
        <f aca="false">IF(M865=0,0,P865/M865)</f>
        <v>0.00456100342075257</v>
      </c>
      <c r="W865" s="40" t="n">
        <f aca="false">IF(L865=0,0,Q865/L865)</f>
        <v>0.00227531285551763</v>
      </c>
    </row>
    <row r="866" customFormat="false" ht="15" hidden="false" customHeight="false" outlineLevel="0" collapsed="false">
      <c r="A866" s="37" t="s">
        <v>2191</v>
      </c>
      <c r="B866" s="38" t="n">
        <v>45971.5340393519</v>
      </c>
      <c r="C866" s="37" t="s">
        <v>1201</v>
      </c>
      <c r="D866" s="37" t="s">
        <v>1211</v>
      </c>
      <c r="E866" s="37" t="s">
        <v>1212</v>
      </c>
      <c r="F866" s="37" t="s">
        <v>544</v>
      </c>
      <c r="G866" s="37"/>
      <c r="H866" s="37" t="s">
        <v>60</v>
      </c>
      <c r="I866" s="37"/>
      <c r="J866" s="37" t="s">
        <v>100</v>
      </c>
      <c r="K866" s="37" t="s">
        <v>1213</v>
      </c>
      <c r="L866" s="39" t="n">
        <v>127</v>
      </c>
      <c r="M866" s="39" t="n">
        <v>127</v>
      </c>
      <c r="N866" s="39" t="n">
        <v>81</v>
      </c>
      <c r="O866" s="39" t="n">
        <v>24</v>
      </c>
      <c r="P866" s="39" t="n">
        <v>0</v>
      </c>
      <c r="Q866" s="39" t="n">
        <v>0</v>
      </c>
      <c r="R866" s="39" t="n">
        <v>0</v>
      </c>
      <c r="S866" s="39" t="n">
        <v>0</v>
      </c>
      <c r="T866" s="40" t="n">
        <f aca="false">IF(M866=0,0,N866/M866)</f>
        <v>0.637795275590551</v>
      </c>
      <c r="U866" s="40" t="n">
        <f aca="false">IF(M866=0,0,O866/M866)</f>
        <v>0.188976377952756</v>
      </c>
      <c r="V866" s="41" t="n">
        <f aca="false">IF(M866=0,0,P866/M866)</f>
        <v>0</v>
      </c>
      <c r="W866" s="40" t="n">
        <f aca="false">IF(L866=0,0,Q866/L866)</f>
        <v>0</v>
      </c>
    </row>
    <row r="867" customFormat="false" ht="15" hidden="false" customHeight="false" outlineLevel="0" collapsed="false">
      <c r="A867" s="37" t="s">
        <v>2192</v>
      </c>
      <c r="B867" s="38" t="n">
        <v>45971.5163657407</v>
      </c>
      <c r="C867" s="37" t="s">
        <v>1201</v>
      </c>
      <c r="D867" s="37" t="s">
        <v>2175</v>
      </c>
      <c r="E867" s="37" t="s">
        <v>1728</v>
      </c>
      <c r="F867" s="37" t="s">
        <v>504</v>
      </c>
      <c r="G867" s="37"/>
      <c r="H867" s="37" t="s">
        <v>60</v>
      </c>
      <c r="I867" s="37"/>
      <c r="J867" s="37" t="s">
        <v>229</v>
      </c>
      <c r="K867" s="37" t="s">
        <v>1202</v>
      </c>
      <c r="L867" s="39" t="n">
        <v>37</v>
      </c>
      <c r="M867" s="39" t="n">
        <v>37</v>
      </c>
      <c r="N867" s="39" t="n">
        <v>10</v>
      </c>
      <c r="O867" s="39" t="n">
        <v>4</v>
      </c>
      <c r="P867" s="39" t="n">
        <v>0</v>
      </c>
      <c r="Q867" s="39" t="n">
        <v>0</v>
      </c>
      <c r="R867" s="39" t="n">
        <v>0</v>
      </c>
      <c r="S867" s="39" t="n">
        <v>0</v>
      </c>
      <c r="T867" s="40" t="n">
        <f aca="false">IF(M867=0,0,N867/M867)</f>
        <v>0.27027027027027</v>
      </c>
      <c r="U867" s="40" t="n">
        <f aca="false">IF(M867=0,0,O867/M867)</f>
        <v>0.108108108108108</v>
      </c>
      <c r="V867" s="41" t="n">
        <f aca="false">IF(M867=0,0,P867/M867)</f>
        <v>0</v>
      </c>
      <c r="W867" s="40" t="n">
        <f aca="false">IF(L867=0,0,Q867/L867)</f>
        <v>0</v>
      </c>
    </row>
    <row r="868" customFormat="false" ht="15" hidden="false" customHeight="false" outlineLevel="0" collapsed="false">
      <c r="A868" s="37" t="s">
        <v>2193</v>
      </c>
      <c r="B868" s="38" t="n">
        <v>45971.4690856482</v>
      </c>
      <c r="C868" s="37" t="s">
        <v>1201</v>
      </c>
      <c r="D868" s="37" t="s">
        <v>2175</v>
      </c>
      <c r="E868" s="37" t="s">
        <v>1728</v>
      </c>
      <c r="F868" s="37" t="s">
        <v>504</v>
      </c>
      <c r="G868" s="37"/>
      <c r="H868" s="37" t="s">
        <v>60</v>
      </c>
      <c r="I868" s="37"/>
      <c r="J868" s="37" t="s">
        <v>229</v>
      </c>
      <c r="K868" s="37" t="s">
        <v>1202</v>
      </c>
      <c r="L868" s="39" t="n">
        <v>37</v>
      </c>
      <c r="M868" s="39" t="n">
        <v>37</v>
      </c>
      <c r="N868" s="39" t="n">
        <v>12</v>
      </c>
      <c r="O868" s="39" t="n">
        <v>2</v>
      </c>
      <c r="P868" s="39" t="n">
        <v>0</v>
      </c>
      <c r="Q868" s="39" t="n">
        <v>0</v>
      </c>
      <c r="R868" s="39" t="n">
        <v>0</v>
      </c>
      <c r="S868" s="39" t="n">
        <v>0</v>
      </c>
      <c r="T868" s="40" t="n">
        <f aca="false">IF(M868=0,0,N868/M868)</f>
        <v>0.324324324324324</v>
      </c>
      <c r="U868" s="40" t="n">
        <f aca="false">IF(M868=0,0,O868/M868)</f>
        <v>0.0540540540540541</v>
      </c>
      <c r="V868" s="41" t="n">
        <f aca="false">IF(M868=0,0,P868/M868)</f>
        <v>0</v>
      </c>
      <c r="W868" s="40" t="n">
        <f aca="false">IF(L868=0,0,Q868/L868)</f>
        <v>0</v>
      </c>
    </row>
    <row r="869" customFormat="false" ht="15" hidden="false" customHeight="false" outlineLevel="0" collapsed="false">
      <c r="A869" s="37" t="s">
        <v>2194</v>
      </c>
      <c r="B869" s="38" t="n">
        <v>45971.3570717593</v>
      </c>
      <c r="C869" s="37" t="s">
        <v>1201</v>
      </c>
      <c r="D869" s="37" t="s">
        <v>1372</v>
      </c>
      <c r="E869" s="37" t="s">
        <v>1373</v>
      </c>
      <c r="F869" s="37" t="s">
        <v>537</v>
      </c>
      <c r="G869" s="37"/>
      <c r="H869" s="37" t="s">
        <v>60</v>
      </c>
      <c r="I869" s="37"/>
      <c r="J869" s="37" t="s">
        <v>296</v>
      </c>
      <c r="K869" s="37" t="s">
        <v>1202</v>
      </c>
      <c r="L869" s="39" t="n">
        <v>2</v>
      </c>
      <c r="M869" s="39" t="n">
        <v>2</v>
      </c>
      <c r="N869" s="39" t="n">
        <v>2</v>
      </c>
      <c r="O869" s="39" t="n">
        <v>0</v>
      </c>
      <c r="P869" s="39" t="n">
        <v>0</v>
      </c>
      <c r="Q869" s="39" t="n">
        <v>0</v>
      </c>
      <c r="R869" s="39" t="n">
        <v>0</v>
      </c>
      <c r="S869" s="39" t="n">
        <v>0</v>
      </c>
      <c r="T869" s="40" t="n">
        <f aca="false">IF(M869=0,0,N869/M869)</f>
        <v>1</v>
      </c>
      <c r="U869" s="40" t="n">
        <f aca="false">IF(M869=0,0,O869/M869)</f>
        <v>0</v>
      </c>
      <c r="V869" s="41" t="n">
        <f aca="false">IF(M869=0,0,P869/M869)</f>
        <v>0</v>
      </c>
      <c r="W869" s="40" t="n">
        <f aca="false">IF(L869=0,0,Q869/L869)</f>
        <v>0</v>
      </c>
    </row>
    <row r="870" customFormat="false" ht="15" hidden="false" customHeight="false" outlineLevel="0" collapsed="false">
      <c r="A870" s="37" t="s">
        <v>2195</v>
      </c>
      <c r="B870" s="38" t="n">
        <v>45971.3558101852</v>
      </c>
      <c r="C870" s="37" t="s">
        <v>1201</v>
      </c>
      <c r="D870" s="37" t="s">
        <v>1372</v>
      </c>
      <c r="E870" s="37" t="s">
        <v>1373</v>
      </c>
      <c r="F870" s="37" t="s">
        <v>537</v>
      </c>
      <c r="G870" s="37"/>
      <c r="H870" s="37" t="s">
        <v>60</v>
      </c>
      <c r="I870" s="37"/>
      <c r="J870" s="37" t="s">
        <v>296</v>
      </c>
      <c r="K870" s="37" t="s">
        <v>1202</v>
      </c>
      <c r="L870" s="39" t="n">
        <v>1</v>
      </c>
      <c r="M870" s="39" t="n">
        <v>1</v>
      </c>
      <c r="N870" s="39" t="n">
        <v>1</v>
      </c>
      <c r="O870" s="39" t="n">
        <v>0</v>
      </c>
      <c r="P870" s="39" t="n">
        <v>0</v>
      </c>
      <c r="Q870" s="39" t="n">
        <v>0</v>
      </c>
      <c r="R870" s="39" t="n">
        <v>0</v>
      </c>
      <c r="S870" s="39" t="n">
        <v>0</v>
      </c>
      <c r="T870" s="40" t="n">
        <f aca="false">IF(M870=0,0,N870/M870)</f>
        <v>1</v>
      </c>
      <c r="U870" s="40" t="n">
        <f aca="false">IF(M870=0,0,O870/M870)</f>
        <v>0</v>
      </c>
      <c r="V870" s="41" t="n">
        <f aca="false">IF(M870=0,0,P870/M870)</f>
        <v>0</v>
      </c>
      <c r="W870" s="40" t="n">
        <f aca="false">IF(L870=0,0,Q870/L870)</f>
        <v>0</v>
      </c>
    </row>
    <row r="871" customFormat="false" ht="15" hidden="false" customHeight="false" outlineLevel="0" collapsed="false">
      <c r="A871" s="37" t="s">
        <v>2196</v>
      </c>
      <c r="B871" s="38" t="n">
        <v>45971.3377083333</v>
      </c>
      <c r="C871" s="37" t="s">
        <v>1246</v>
      </c>
      <c r="D871" s="37" t="s">
        <v>198</v>
      </c>
      <c r="E871" s="37" t="s">
        <v>193</v>
      </c>
      <c r="F871" s="37" t="s">
        <v>555</v>
      </c>
      <c r="G871" s="37" t="s">
        <v>1135</v>
      </c>
      <c r="H871" s="37" t="s">
        <v>65</v>
      </c>
      <c r="I871" s="37"/>
      <c r="J871" s="37" t="s">
        <v>191</v>
      </c>
      <c r="K871" s="37" t="s">
        <v>1213</v>
      </c>
      <c r="L871" s="39" t="n">
        <v>5595</v>
      </c>
      <c r="M871" s="39" t="n">
        <v>5554</v>
      </c>
      <c r="N871" s="39" t="n">
        <v>1842</v>
      </c>
      <c r="O871" s="39" t="n">
        <v>72</v>
      </c>
      <c r="P871" s="39" t="n">
        <v>31</v>
      </c>
      <c r="Q871" s="39" t="n">
        <v>41</v>
      </c>
      <c r="R871" s="39" t="n">
        <v>12</v>
      </c>
      <c r="S871" s="39" t="n">
        <v>0</v>
      </c>
      <c r="T871" s="40" t="n">
        <f aca="false">IF(M871=0,0,N871/M871)</f>
        <v>0.331652862801584</v>
      </c>
      <c r="U871" s="40" t="n">
        <f aca="false">IF(M871=0,0,O871/M871)</f>
        <v>0.0129636298163486</v>
      </c>
      <c r="V871" s="41" t="n">
        <f aca="false">IF(M871=0,0,P871/M871)</f>
        <v>0.00558156283759453</v>
      </c>
      <c r="W871" s="40" t="n">
        <f aca="false">IF(L871=0,0,Q871/L871)</f>
        <v>0.00732797140303843</v>
      </c>
    </row>
    <row r="872" customFormat="false" ht="15" hidden="false" customHeight="false" outlineLevel="0" collapsed="false">
      <c r="A872" s="37" t="s">
        <v>2197</v>
      </c>
      <c r="B872" s="38" t="n">
        <v>45971.3272222222</v>
      </c>
      <c r="C872" s="37" t="s">
        <v>1201</v>
      </c>
      <c r="D872" s="37" t="s">
        <v>1211</v>
      </c>
      <c r="E872" s="37" t="s">
        <v>1212</v>
      </c>
      <c r="F872" s="37" t="s">
        <v>544</v>
      </c>
      <c r="G872" s="37"/>
      <c r="H872" s="37" t="s">
        <v>64</v>
      </c>
      <c r="I872" s="37"/>
      <c r="J872" s="37" t="s">
        <v>100</v>
      </c>
      <c r="K872" s="37" t="s">
        <v>1213</v>
      </c>
      <c r="L872" s="39" t="n">
        <v>127</v>
      </c>
      <c r="M872" s="39" t="n">
        <v>127</v>
      </c>
      <c r="N872" s="39" t="n">
        <v>70</v>
      </c>
      <c r="O872" s="39" t="n">
        <v>0</v>
      </c>
      <c r="P872" s="39" t="n">
        <v>0</v>
      </c>
      <c r="Q872" s="39" t="n">
        <v>0</v>
      </c>
      <c r="R872" s="39" t="n">
        <v>0</v>
      </c>
      <c r="S872" s="39" t="n">
        <v>0</v>
      </c>
      <c r="T872" s="40" t="n">
        <f aca="false">IF(M872=0,0,N872/M872)</f>
        <v>0.551181102362205</v>
      </c>
      <c r="U872" s="40" t="n">
        <f aca="false">IF(M872=0,0,O872/M872)</f>
        <v>0</v>
      </c>
      <c r="V872" s="41" t="n">
        <f aca="false">IF(M872=0,0,P872/M872)</f>
        <v>0</v>
      </c>
      <c r="W872" s="40" t="n">
        <f aca="false">IF(L872=0,0,Q872/L872)</f>
        <v>0</v>
      </c>
    </row>
    <row r="873" customFormat="false" ht="15" hidden="false" customHeight="false" outlineLevel="0" collapsed="false">
      <c r="A873" s="37" t="s">
        <v>2198</v>
      </c>
      <c r="B873" s="38" t="n">
        <v>45971.3187962963</v>
      </c>
      <c r="C873" s="37" t="s">
        <v>1201</v>
      </c>
      <c r="D873" s="37" t="s">
        <v>1523</v>
      </c>
      <c r="E873" s="37" t="s">
        <v>166</v>
      </c>
      <c r="F873" s="37" t="s">
        <v>623</v>
      </c>
      <c r="G873" s="37" t="s">
        <v>1880</v>
      </c>
      <c r="H873" s="37" t="s">
        <v>60</v>
      </c>
      <c r="I873" s="37" t="s">
        <v>255</v>
      </c>
      <c r="J873" s="37" t="s">
        <v>164</v>
      </c>
      <c r="K873" s="37" t="s">
        <v>1202</v>
      </c>
      <c r="L873" s="39" t="n">
        <v>19</v>
      </c>
      <c r="M873" s="39" t="n">
        <v>19</v>
      </c>
      <c r="N873" s="39" t="n">
        <v>13</v>
      </c>
      <c r="O873" s="39" t="n">
        <v>6</v>
      </c>
      <c r="P873" s="39" t="n">
        <v>0</v>
      </c>
      <c r="Q873" s="39" t="n">
        <v>0</v>
      </c>
      <c r="R873" s="39" t="n">
        <v>0</v>
      </c>
      <c r="S873" s="39" t="n">
        <v>0</v>
      </c>
      <c r="T873" s="40" t="n">
        <f aca="false">IF(M873=0,0,N873/M873)</f>
        <v>0.68421052631579</v>
      </c>
      <c r="U873" s="40" t="n">
        <f aca="false">IF(M873=0,0,O873/M873)</f>
        <v>0.315789473684211</v>
      </c>
      <c r="V873" s="41" t="n">
        <f aca="false">IF(M873=0,0,P873/M873)</f>
        <v>0</v>
      </c>
      <c r="W873" s="40" t="n">
        <f aca="false">IF(L873=0,0,Q873/L873)</f>
        <v>0</v>
      </c>
    </row>
    <row r="874" customFormat="false" ht="15" hidden="false" customHeight="false" outlineLevel="0" collapsed="false">
      <c r="A874" s="37" t="s">
        <v>2199</v>
      </c>
      <c r="B874" s="38" t="n">
        <v>45971.0836111111</v>
      </c>
      <c r="C874" s="37" t="s">
        <v>1201</v>
      </c>
      <c r="D874" s="37" t="s">
        <v>1324</v>
      </c>
      <c r="E874" s="37" t="s">
        <v>1974</v>
      </c>
      <c r="F874" s="37" t="s">
        <v>544</v>
      </c>
      <c r="G874" s="37" t="s">
        <v>1037</v>
      </c>
      <c r="H874" s="37" t="s">
        <v>60</v>
      </c>
      <c r="I874" s="37"/>
      <c r="J874" s="37" t="s">
        <v>357</v>
      </c>
      <c r="K874" s="37" t="s">
        <v>1202</v>
      </c>
      <c r="L874" s="39" t="n">
        <v>226</v>
      </c>
      <c r="M874" s="39" t="n">
        <v>211</v>
      </c>
      <c r="N874" s="39" t="n">
        <v>53</v>
      </c>
      <c r="O874" s="39" t="n">
        <v>16</v>
      </c>
      <c r="P874" s="39" t="n">
        <v>0</v>
      </c>
      <c r="Q874" s="39" t="n">
        <v>15</v>
      </c>
      <c r="R874" s="39" t="n">
        <v>15</v>
      </c>
      <c r="S874" s="39" t="n">
        <v>0</v>
      </c>
      <c r="T874" s="40" t="n">
        <f aca="false">IF(M874=0,0,N874/M874)</f>
        <v>0.251184834123223</v>
      </c>
      <c r="U874" s="40" t="n">
        <f aca="false">IF(M874=0,0,O874/M874)</f>
        <v>0.0758293838862559</v>
      </c>
      <c r="V874" s="41" t="n">
        <f aca="false">IF(M874=0,0,P874/M874)</f>
        <v>0</v>
      </c>
      <c r="W874" s="40" t="n">
        <f aca="false">IF(L874=0,0,Q874/L874)</f>
        <v>0.0663716814159292</v>
      </c>
    </row>
    <row r="875" customFormat="false" ht="15" hidden="false" customHeight="false" outlineLevel="0" collapsed="false">
      <c r="A875" s="37" t="s">
        <v>2200</v>
      </c>
      <c r="B875" s="38" t="n">
        <v>45969.3961921296</v>
      </c>
      <c r="C875" s="37" t="s">
        <v>1201</v>
      </c>
      <c r="D875" s="37" t="s">
        <v>1372</v>
      </c>
      <c r="E875" s="37" t="s">
        <v>1373</v>
      </c>
      <c r="F875" s="37" t="s">
        <v>537</v>
      </c>
      <c r="G875" s="37"/>
      <c r="H875" s="37" t="s">
        <v>64</v>
      </c>
      <c r="I875" s="37"/>
      <c r="J875" s="37" t="s">
        <v>296</v>
      </c>
      <c r="K875" s="37" t="s">
        <v>1202</v>
      </c>
      <c r="L875" s="39" t="n">
        <v>2</v>
      </c>
      <c r="M875" s="39" t="n">
        <v>2</v>
      </c>
      <c r="N875" s="39" t="n">
        <v>2</v>
      </c>
      <c r="O875" s="39" t="n">
        <v>0</v>
      </c>
      <c r="P875" s="39" t="n">
        <v>0</v>
      </c>
      <c r="Q875" s="39" t="n">
        <v>0</v>
      </c>
      <c r="R875" s="39" t="n">
        <v>0</v>
      </c>
      <c r="S875" s="39" t="n">
        <v>0</v>
      </c>
      <c r="T875" s="40" t="n">
        <f aca="false">IF(M875=0,0,N875/M875)</f>
        <v>1</v>
      </c>
      <c r="U875" s="40" t="n">
        <f aca="false">IF(M875=0,0,O875/M875)</f>
        <v>0</v>
      </c>
      <c r="V875" s="41" t="n">
        <f aca="false">IF(M875=0,0,P875/M875)</f>
        <v>0</v>
      </c>
      <c r="W875" s="40" t="n">
        <f aca="false">IF(L875=0,0,Q875/L875)</f>
        <v>0</v>
      </c>
    </row>
    <row r="876" customFormat="false" ht="15" hidden="false" customHeight="false" outlineLevel="0" collapsed="false">
      <c r="A876" s="37" t="s">
        <v>2201</v>
      </c>
      <c r="B876" s="38" t="n">
        <v>45969.0209027778</v>
      </c>
      <c r="C876" s="37" t="s">
        <v>1201</v>
      </c>
      <c r="D876" s="37" t="s">
        <v>1372</v>
      </c>
      <c r="E876" s="37" t="s">
        <v>1373</v>
      </c>
      <c r="F876" s="37" t="s">
        <v>537</v>
      </c>
      <c r="G876" s="37"/>
      <c r="H876" s="37" t="s">
        <v>60</v>
      </c>
      <c r="I876" s="37"/>
      <c r="J876" s="37" t="s">
        <v>296</v>
      </c>
      <c r="K876" s="37" t="s">
        <v>1202</v>
      </c>
      <c r="L876" s="39" t="n">
        <v>2</v>
      </c>
      <c r="M876" s="39" t="n">
        <v>2</v>
      </c>
      <c r="N876" s="39" t="n">
        <v>2</v>
      </c>
      <c r="O876" s="39" t="n">
        <v>0</v>
      </c>
      <c r="P876" s="39" t="n">
        <v>0</v>
      </c>
      <c r="Q876" s="39" t="n">
        <v>0</v>
      </c>
      <c r="R876" s="39" t="n">
        <v>0</v>
      </c>
      <c r="S876" s="39" t="n">
        <v>0</v>
      </c>
      <c r="T876" s="40" t="n">
        <f aca="false">IF(M876=0,0,N876/M876)</f>
        <v>1</v>
      </c>
      <c r="U876" s="40" t="n">
        <f aca="false">IF(M876=0,0,O876/M876)</f>
        <v>0</v>
      </c>
      <c r="V876" s="41" t="n">
        <f aca="false">IF(M876=0,0,P876/M876)</f>
        <v>0</v>
      </c>
      <c r="W876" s="40" t="n">
        <f aca="false">IF(L876=0,0,Q876/L876)</f>
        <v>0</v>
      </c>
    </row>
    <row r="877" customFormat="false" ht="15" hidden="false" customHeight="false" outlineLevel="0" collapsed="false">
      <c r="A877" s="37" t="s">
        <v>2202</v>
      </c>
      <c r="B877" s="38" t="n">
        <v>45969.0208796296</v>
      </c>
      <c r="C877" s="37" t="s">
        <v>1201</v>
      </c>
      <c r="D877" s="37" t="s">
        <v>1372</v>
      </c>
      <c r="E877" s="37" t="s">
        <v>1373</v>
      </c>
      <c r="F877" s="37" t="s">
        <v>537</v>
      </c>
      <c r="G877" s="37"/>
      <c r="H877" s="37" t="s">
        <v>63</v>
      </c>
      <c r="I877" s="37"/>
      <c r="J877" s="37" t="s">
        <v>296</v>
      </c>
      <c r="K877" s="37" t="s">
        <v>1202</v>
      </c>
      <c r="L877" s="39" t="n">
        <v>2</v>
      </c>
      <c r="M877" s="39" t="n">
        <v>2</v>
      </c>
      <c r="N877" s="39" t="n">
        <v>2</v>
      </c>
      <c r="O877" s="39" t="n">
        <v>0</v>
      </c>
      <c r="P877" s="39" t="n">
        <v>0</v>
      </c>
      <c r="Q877" s="39" t="n">
        <v>0</v>
      </c>
      <c r="R877" s="39" t="n">
        <v>0</v>
      </c>
      <c r="S877" s="39" t="n">
        <v>0</v>
      </c>
      <c r="T877" s="40" t="n">
        <f aca="false">IF(M877=0,0,N877/M877)</f>
        <v>1</v>
      </c>
      <c r="U877" s="40" t="n">
        <f aca="false">IF(M877=0,0,O877/M877)</f>
        <v>0</v>
      </c>
      <c r="V877" s="41" t="n">
        <f aca="false">IF(M877=0,0,P877/M877)</f>
        <v>0</v>
      </c>
      <c r="W877" s="40" t="n">
        <f aca="false">IF(L877=0,0,Q877/L877)</f>
        <v>0</v>
      </c>
    </row>
    <row r="878" customFormat="false" ht="15" hidden="false" customHeight="false" outlineLevel="0" collapsed="false">
      <c r="A878" s="37" t="s">
        <v>2203</v>
      </c>
      <c r="B878" s="38" t="n">
        <v>45968.500775463</v>
      </c>
      <c r="C878" s="37" t="s">
        <v>1201</v>
      </c>
      <c r="D878" s="37" t="s">
        <v>160</v>
      </c>
      <c r="E878" s="37" t="s">
        <v>160</v>
      </c>
      <c r="F878" s="37" t="s">
        <v>189</v>
      </c>
      <c r="G878" s="37" t="s">
        <v>1132</v>
      </c>
      <c r="H878" s="37" t="s">
        <v>60</v>
      </c>
      <c r="I878" s="37" t="s">
        <v>157</v>
      </c>
      <c r="J878" s="37" t="s">
        <v>158</v>
      </c>
      <c r="K878" s="37" t="s">
        <v>1202</v>
      </c>
      <c r="L878" s="39" t="n">
        <v>1045</v>
      </c>
      <c r="M878" s="39" t="n">
        <v>1036</v>
      </c>
      <c r="N878" s="39" t="n">
        <v>437</v>
      </c>
      <c r="O878" s="39" t="n">
        <v>45</v>
      </c>
      <c r="P878" s="39" t="n">
        <v>5</v>
      </c>
      <c r="Q878" s="39" t="n">
        <v>9</v>
      </c>
      <c r="R878" s="39" t="n">
        <v>5</v>
      </c>
      <c r="S878" s="39" t="n">
        <v>0</v>
      </c>
      <c r="T878" s="40" t="n">
        <f aca="false">IF(M878=0,0,N878/M878)</f>
        <v>0.421814671814672</v>
      </c>
      <c r="U878" s="40" t="n">
        <f aca="false">IF(M878=0,0,O878/M878)</f>
        <v>0.0434362934362934</v>
      </c>
      <c r="V878" s="41" t="n">
        <f aca="false">IF(M878=0,0,P878/M878)</f>
        <v>0.00482625482625483</v>
      </c>
      <c r="W878" s="40" t="n">
        <f aca="false">IF(L878=0,0,Q878/L878)</f>
        <v>0.00861244019138756</v>
      </c>
    </row>
    <row r="879" customFormat="false" ht="15" hidden="false" customHeight="false" outlineLevel="0" collapsed="false">
      <c r="A879" s="37" t="s">
        <v>2204</v>
      </c>
      <c r="B879" s="38" t="n">
        <v>45967.8282523148</v>
      </c>
      <c r="C879" s="37" t="s">
        <v>1201</v>
      </c>
      <c r="D879" s="37" t="s">
        <v>1709</v>
      </c>
      <c r="E879" s="37" t="s">
        <v>1709</v>
      </c>
      <c r="F879" s="37" t="s">
        <v>127</v>
      </c>
      <c r="G879" s="37"/>
      <c r="H879" s="37" t="s">
        <v>60</v>
      </c>
      <c r="I879" s="37"/>
      <c r="J879" s="37" t="s">
        <v>126</v>
      </c>
      <c r="K879" s="37" t="s">
        <v>1202</v>
      </c>
      <c r="L879" s="39" t="n">
        <v>95</v>
      </c>
      <c r="M879" s="39" t="n">
        <v>92</v>
      </c>
      <c r="N879" s="39" t="n">
        <v>35</v>
      </c>
      <c r="O879" s="39" t="n">
        <v>2</v>
      </c>
      <c r="P879" s="39" t="n">
        <v>2</v>
      </c>
      <c r="Q879" s="39" t="n">
        <v>3</v>
      </c>
      <c r="R879" s="39" t="n">
        <v>0</v>
      </c>
      <c r="S879" s="39" t="n">
        <v>0</v>
      </c>
      <c r="T879" s="40" t="n">
        <f aca="false">IF(M879=0,0,N879/M879)</f>
        <v>0.380434782608696</v>
      </c>
      <c r="U879" s="40" t="n">
        <f aca="false">IF(M879=0,0,O879/M879)</f>
        <v>0.0217391304347826</v>
      </c>
      <c r="V879" s="41" t="n">
        <f aca="false">IF(M879=0,0,P879/M879)</f>
        <v>0.0217391304347826</v>
      </c>
      <c r="W879" s="40" t="n">
        <f aca="false">IF(L879=0,0,Q879/L879)</f>
        <v>0.0315789473684211</v>
      </c>
    </row>
    <row r="880" customFormat="false" ht="15" hidden="false" customHeight="false" outlineLevel="0" collapsed="false">
      <c r="A880" s="37" t="s">
        <v>2205</v>
      </c>
      <c r="B880" s="38" t="n">
        <v>45967.2345949074</v>
      </c>
      <c r="C880" s="37" t="s">
        <v>1201</v>
      </c>
      <c r="D880" s="37" t="s">
        <v>2118</v>
      </c>
      <c r="E880" s="37" t="s">
        <v>2015</v>
      </c>
      <c r="F880" s="37" t="s">
        <v>650</v>
      </c>
      <c r="G880" s="37"/>
      <c r="H880" s="37" t="s">
        <v>60</v>
      </c>
      <c r="I880" s="37"/>
      <c r="J880" s="37" t="s">
        <v>382</v>
      </c>
      <c r="K880" s="37" t="s">
        <v>1202</v>
      </c>
      <c r="L880" s="39" t="n">
        <v>393</v>
      </c>
      <c r="M880" s="39" t="n">
        <v>388</v>
      </c>
      <c r="N880" s="39" t="n">
        <v>132</v>
      </c>
      <c r="O880" s="39" t="n">
        <v>26</v>
      </c>
      <c r="P880" s="39" t="n">
        <v>0</v>
      </c>
      <c r="Q880" s="39" t="n">
        <v>5</v>
      </c>
      <c r="R880" s="39" t="n">
        <v>4</v>
      </c>
      <c r="S880" s="39" t="n">
        <v>0</v>
      </c>
      <c r="T880" s="40" t="n">
        <f aca="false">IF(M880=0,0,N880/M880)</f>
        <v>0.34020618556701</v>
      </c>
      <c r="U880" s="40" t="n">
        <f aca="false">IF(M880=0,0,O880/M880)</f>
        <v>0.0670103092783505</v>
      </c>
      <c r="V880" s="41" t="n">
        <f aca="false">IF(M880=0,0,P880/M880)</f>
        <v>0</v>
      </c>
      <c r="W880" s="40" t="n">
        <f aca="false">IF(L880=0,0,Q880/L880)</f>
        <v>0.0127226463104326</v>
      </c>
    </row>
    <row r="881" customFormat="false" ht="15" hidden="false" customHeight="false" outlineLevel="0" collapsed="false">
      <c r="A881" s="37" t="s">
        <v>2206</v>
      </c>
      <c r="B881" s="38" t="n">
        <v>45966.9172222222</v>
      </c>
      <c r="C881" s="37" t="s">
        <v>1201</v>
      </c>
      <c r="D881" s="37" t="s">
        <v>152</v>
      </c>
      <c r="E881" s="37" t="s">
        <v>1344</v>
      </c>
      <c r="F881" s="37" t="s">
        <v>152</v>
      </c>
      <c r="G881" s="37"/>
      <c r="H881" s="37" t="s">
        <v>61</v>
      </c>
      <c r="I881" s="37" t="s">
        <v>150</v>
      </c>
      <c r="J881" s="37" t="s">
        <v>151</v>
      </c>
      <c r="K881" s="37" t="s">
        <v>1202</v>
      </c>
      <c r="L881" s="39" t="n">
        <v>2511</v>
      </c>
      <c r="M881" s="39" t="n">
        <v>2505</v>
      </c>
      <c r="N881" s="39" t="n">
        <v>1069</v>
      </c>
      <c r="O881" s="39" t="n">
        <v>75</v>
      </c>
      <c r="P881" s="39" t="n">
        <v>8</v>
      </c>
      <c r="Q881" s="39" t="n">
        <v>6</v>
      </c>
      <c r="R881" s="39" t="n">
        <v>5</v>
      </c>
      <c r="S881" s="39" t="n">
        <v>0</v>
      </c>
      <c r="T881" s="40" t="n">
        <f aca="false">IF(M881=0,0,N881/M881)</f>
        <v>0.426746506986028</v>
      </c>
      <c r="U881" s="40" t="n">
        <f aca="false">IF(M881=0,0,O881/M881)</f>
        <v>0.029940119760479</v>
      </c>
      <c r="V881" s="41" t="n">
        <f aca="false">IF(M881=0,0,P881/M881)</f>
        <v>0.0031936127744511</v>
      </c>
      <c r="W881" s="40" t="n">
        <f aca="false">IF(L881=0,0,Q881/L881)</f>
        <v>0.002389486260454</v>
      </c>
    </row>
    <row r="882" customFormat="false" ht="15" hidden="false" customHeight="false" outlineLevel="0" collapsed="false">
      <c r="A882" s="37" t="s">
        <v>2207</v>
      </c>
      <c r="B882" s="38" t="n">
        <v>45966.8187384259</v>
      </c>
      <c r="C882" s="37" t="s">
        <v>1201</v>
      </c>
      <c r="D882" s="37" t="s">
        <v>1211</v>
      </c>
      <c r="E882" s="37" t="s">
        <v>1212</v>
      </c>
      <c r="F882" s="37" t="s">
        <v>544</v>
      </c>
      <c r="G882" s="37"/>
      <c r="H882" s="37" t="s">
        <v>60</v>
      </c>
      <c r="I882" s="37"/>
      <c r="J882" s="37" t="s">
        <v>100</v>
      </c>
      <c r="K882" s="37" t="s">
        <v>1213</v>
      </c>
      <c r="L882" s="39" t="n">
        <v>126</v>
      </c>
      <c r="M882" s="39" t="n">
        <v>126</v>
      </c>
      <c r="N882" s="39" t="n">
        <v>73</v>
      </c>
      <c r="O882" s="39" t="n">
        <v>2</v>
      </c>
      <c r="P882" s="39" t="n">
        <v>0</v>
      </c>
      <c r="Q882" s="39" t="n">
        <v>0</v>
      </c>
      <c r="R882" s="39" t="n">
        <v>0</v>
      </c>
      <c r="S882" s="39" t="n">
        <v>0</v>
      </c>
      <c r="T882" s="40" t="n">
        <f aca="false">IF(M882=0,0,N882/M882)</f>
        <v>0.579365079365079</v>
      </c>
      <c r="U882" s="40" t="n">
        <f aca="false">IF(M882=0,0,O882/M882)</f>
        <v>0.0158730158730159</v>
      </c>
      <c r="V882" s="41" t="n">
        <f aca="false">IF(M882=0,0,P882/M882)</f>
        <v>0</v>
      </c>
      <c r="W882" s="40" t="n">
        <f aca="false">IF(L882=0,0,Q882/L882)</f>
        <v>0</v>
      </c>
    </row>
    <row r="883" customFormat="false" ht="15" hidden="false" customHeight="false" outlineLevel="0" collapsed="false">
      <c r="A883" s="37" t="s">
        <v>2208</v>
      </c>
      <c r="B883" s="38" t="n">
        <v>45966.8025347222</v>
      </c>
      <c r="C883" s="37" t="s">
        <v>1201</v>
      </c>
      <c r="D883" s="37" t="s">
        <v>1372</v>
      </c>
      <c r="E883" s="37" t="s">
        <v>1373</v>
      </c>
      <c r="F883" s="37" t="s">
        <v>537</v>
      </c>
      <c r="G883" s="37"/>
      <c r="H883" s="37" t="s">
        <v>60</v>
      </c>
      <c r="I883" s="37"/>
      <c r="J883" s="37" t="s">
        <v>296</v>
      </c>
      <c r="K883" s="37" t="s">
        <v>1202</v>
      </c>
      <c r="L883" s="39" t="n">
        <v>1</v>
      </c>
      <c r="M883" s="39" t="n">
        <v>1</v>
      </c>
      <c r="N883" s="39" t="n">
        <v>1</v>
      </c>
      <c r="O883" s="39" t="n">
        <v>0</v>
      </c>
      <c r="P883" s="39" t="n">
        <v>0</v>
      </c>
      <c r="Q883" s="39" t="n">
        <v>0</v>
      </c>
      <c r="R883" s="39" t="n">
        <v>0</v>
      </c>
      <c r="S883" s="39" t="n">
        <v>0</v>
      </c>
      <c r="T883" s="40" t="n">
        <f aca="false">IF(M883=0,0,N883/M883)</f>
        <v>1</v>
      </c>
      <c r="U883" s="40" t="n">
        <f aca="false">IF(M883=0,0,O883/M883)</f>
        <v>0</v>
      </c>
      <c r="V883" s="41" t="n">
        <f aca="false">IF(M883=0,0,P883/M883)</f>
        <v>0</v>
      </c>
      <c r="W883" s="40" t="n">
        <f aca="false">IF(L883=0,0,Q883/L883)</f>
        <v>0</v>
      </c>
    </row>
    <row r="884" customFormat="false" ht="15" hidden="false" customHeight="false" outlineLevel="0" collapsed="false">
      <c r="A884" s="37" t="s">
        <v>2209</v>
      </c>
      <c r="B884" s="38" t="n">
        <v>45966.1972337963</v>
      </c>
      <c r="C884" s="37" t="s">
        <v>1201</v>
      </c>
      <c r="D884" s="37" t="s">
        <v>1912</v>
      </c>
      <c r="E884" s="37" t="s">
        <v>1912</v>
      </c>
      <c r="F884" s="37" t="s">
        <v>590</v>
      </c>
      <c r="G884" s="37"/>
      <c r="H884" s="37" t="s">
        <v>60</v>
      </c>
      <c r="I884" s="37"/>
      <c r="J884" s="37" t="s">
        <v>394</v>
      </c>
      <c r="K884" s="37" t="s">
        <v>1213</v>
      </c>
      <c r="L884" s="39" t="n">
        <v>22</v>
      </c>
      <c r="M884" s="39" t="n">
        <v>22</v>
      </c>
      <c r="N884" s="39" t="n">
        <v>20</v>
      </c>
      <c r="O884" s="39" t="n">
        <v>11</v>
      </c>
      <c r="P884" s="39" t="n">
        <v>0</v>
      </c>
      <c r="Q884" s="39" t="n">
        <v>0</v>
      </c>
      <c r="R884" s="39" t="n">
        <v>0</v>
      </c>
      <c r="S884" s="39" t="n">
        <v>0</v>
      </c>
      <c r="T884" s="40" t="n">
        <f aca="false">IF(M884=0,0,N884/M884)</f>
        <v>0.909090909090909</v>
      </c>
      <c r="U884" s="40" t="n">
        <f aca="false">IF(M884=0,0,O884/M884)</f>
        <v>0.5</v>
      </c>
      <c r="V884" s="41" t="n">
        <f aca="false">IF(M884=0,0,P884/M884)</f>
        <v>0</v>
      </c>
      <c r="W884" s="40" t="n">
        <f aca="false">IF(L884=0,0,Q884/L884)</f>
        <v>0</v>
      </c>
    </row>
    <row r="885" customFormat="false" ht="15" hidden="false" customHeight="false" outlineLevel="0" collapsed="false">
      <c r="A885" s="37" t="s">
        <v>2210</v>
      </c>
      <c r="B885" s="38" t="n">
        <v>45965.6275810185</v>
      </c>
      <c r="C885" s="37" t="s">
        <v>1201</v>
      </c>
      <c r="D885" s="37" t="s">
        <v>1576</v>
      </c>
      <c r="E885" s="37" t="s">
        <v>1267</v>
      </c>
      <c r="F885" s="37" t="s">
        <v>544</v>
      </c>
      <c r="G885" s="37"/>
      <c r="H885" s="37" t="s">
        <v>60</v>
      </c>
      <c r="I885" s="37"/>
      <c r="J885" s="37" t="s">
        <v>430</v>
      </c>
      <c r="K885" s="37" t="s">
        <v>8</v>
      </c>
      <c r="L885" s="39" t="n">
        <v>1374</v>
      </c>
      <c r="M885" s="39" t="n">
        <v>1371</v>
      </c>
      <c r="N885" s="39" t="n">
        <v>755</v>
      </c>
      <c r="O885" s="39" t="n">
        <v>257</v>
      </c>
      <c r="P885" s="39" t="n">
        <v>2</v>
      </c>
      <c r="Q885" s="39" t="n">
        <v>3</v>
      </c>
      <c r="R885" s="39" t="n">
        <v>3</v>
      </c>
      <c r="S885" s="39" t="n">
        <v>0</v>
      </c>
      <c r="T885" s="40" t="n">
        <f aca="false">IF(M885=0,0,N885/M885)</f>
        <v>0.550692924872356</v>
      </c>
      <c r="U885" s="40" t="n">
        <f aca="false">IF(M885=0,0,O885/M885)</f>
        <v>0.187454412837345</v>
      </c>
      <c r="V885" s="41" t="n">
        <f aca="false">IF(M885=0,0,P885/M885)</f>
        <v>0.00145878920495988</v>
      </c>
      <c r="W885" s="40" t="n">
        <f aca="false">IF(L885=0,0,Q885/L885)</f>
        <v>0.00218340611353712</v>
      </c>
    </row>
    <row r="886" customFormat="false" ht="15" hidden="false" customHeight="false" outlineLevel="0" collapsed="false">
      <c r="A886" s="37" t="s">
        <v>2211</v>
      </c>
      <c r="B886" s="38" t="n">
        <v>45965.3546180556</v>
      </c>
      <c r="C886" s="37" t="s">
        <v>1201</v>
      </c>
      <c r="D886" s="37" t="s">
        <v>1372</v>
      </c>
      <c r="E886" s="37" t="s">
        <v>1373</v>
      </c>
      <c r="F886" s="37" t="s">
        <v>537</v>
      </c>
      <c r="G886" s="37"/>
      <c r="H886" s="37" t="s">
        <v>60</v>
      </c>
      <c r="I886" s="37"/>
      <c r="J886" s="37" t="s">
        <v>296</v>
      </c>
      <c r="K886" s="37" t="s">
        <v>1202</v>
      </c>
      <c r="L886" s="39" t="n">
        <v>1</v>
      </c>
      <c r="M886" s="39" t="n">
        <v>1</v>
      </c>
      <c r="N886" s="39" t="n">
        <v>1</v>
      </c>
      <c r="O886" s="39" t="n">
        <v>0</v>
      </c>
      <c r="P886" s="39" t="n">
        <v>0</v>
      </c>
      <c r="Q886" s="39" t="n">
        <v>0</v>
      </c>
      <c r="R886" s="39" t="n">
        <v>0</v>
      </c>
      <c r="S886" s="39" t="n">
        <v>0</v>
      </c>
      <c r="T886" s="40" t="n">
        <f aca="false">IF(M886=0,0,N886/M886)</f>
        <v>1</v>
      </c>
      <c r="U886" s="40" t="n">
        <f aca="false">IF(M886=0,0,O886/M886)</f>
        <v>0</v>
      </c>
      <c r="V886" s="41" t="n">
        <f aca="false">IF(M886=0,0,P886/M886)</f>
        <v>0</v>
      </c>
      <c r="W886" s="40" t="n">
        <f aca="false">IF(L886=0,0,Q886/L886)</f>
        <v>0</v>
      </c>
    </row>
    <row r="887" customFormat="false" ht="15" hidden="false" customHeight="false" outlineLevel="0" collapsed="false">
      <c r="A887" s="37" t="s">
        <v>2212</v>
      </c>
      <c r="B887" s="38" t="n">
        <v>45965.3543287037</v>
      </c>
      <c r="C887" s="37" t="s">
        <v>1201</v>
      </c>
      <c r="D887" s="37" t="s">
        <v>1372</v>
      </c>
      <c r="E887" s="37" t="s">
        <v>1373</v>
      </c>
      <c r="F887" s="37" t="s">
        <v>537</v>
      </c>
      <c r="G887" s="37"/>
      <c r="H887" s="37" t="s">
        <v>64</v>
      </c>
      <c r="I887" s="37"/>
      <c r="J887" s="37" t="s">
        <v>296</v>
      </c>
      <c r="K887" s="37" t="s">
        <v>1202</v>
      </c>
      <c r="L887" s="39" t="n">
        <v>2</v>
      </c>
      <c r="M887" s="39" t="n">
        <v>2</v>
      </c>
      <c r="N887" s="39" t="n">
        <v>2</v>
      </c>
      <c r="O887" s="39" t="n">
        <v>0</v>
      </c>
      <c r="P887" s="39" t="n">
        <v>0</v>
      </c>
      <c r="Q887" s="39" t="n">
        <v>0</v>
      </c>
      <c r="R887" s="39" t="n">
        <v>0</v>
      </c>
      <c r="S887" s="39" t="n">
        <v>0</v>
      </c>
      <c r="T887" s="40" t="n">
        <f aca="false">IF(M887=0,0,N887/M887)</f>
        <v>1</v>
      </c>
      <c r="U887" s="40" t="n">
        <f aca="false">IF(M887=0,0,O887/M887)</f>
        <v>0</v>
      </c>
      <c r="V887" s="41" t="n">
        <f aca="false">IF(M887=0,0,P887/M887)</f>
        <v>0</v>
      </c>
      <c r="W887" s="40" t="n">
        <f aca="false">IF(L887=0,0,Q887/L887)</f>
        <v>0</v>
      </c>
    </row>
    <row r="888" customFormat="false" ht="15" hidden="false" customHeight="false" outlineLevel="0" collapsed="false">
      <c r="A888" s="37" t="s">
        <v>2213</v>
      </c>
      <c r="B888" s="38" t="n">
        <v>45965.3385648148</v>
      </c>
      <c r="C888" s="37" t="s">
        <v>1252</v>
      </c>
      <c r="D888" s="37" t="s">
        <v>1562</v>
      </c>
      <c r="E888" s="37" t="s">
        <v>288</v>
      </c>
      <c r="F888" s="37" t="s">
        <v>505</v>
      </c>
      <c r="G888" s="37"/>
      <c r="H888" s="37" t="s">
        <v>60</v>
      </c>
      <c r="I888" s="37"/>
      <c r="J888" s="37" t="s">
        <v>287</v>
      </c>
      <c r="K888" s="37" t="s">
        <v>1202</v>
      </c>
      <c r="L888" s="39" t="n">
        <v>321</v>
      </c>
      <c r="M888" s="39" t="n">
        <v>319</v>
      </c>
      <c r="N888" s="39" t="n">
        <v>124</v>
      </c>
      <c r="O888" s="39" t="n">
        <v>38</v>
      </c>
      <c r="P888" s="39" t="n">
        <v>0</v>
      </c>
      <c r="Q888" s="39" t="n">
        <v>2</v>
      </c>
      <c r="R888" s="39" t="n">
        <v>2</v>
      </c>
      <c r="S888" s="39" t="n">
        <v>0</v>
      </c>
      <c r="T888" s="40" t="n">
        <f aca="false">IF(M888=0,0,N888/M888)</f>
        <v>0.38871473354232</v>
      </c>
      <c r="U888" s="40" t="n">
        <f aca="false">IF(M888=0,0,O888/M888)</f>
        <v>0.119122257053292</v>
      </c>
      <c r="V888" s="41" t="n">
        <f aca="false">IF(M888=0,0,P888/M888)</f>
        <v>0</v>
      </c>
      <c r="W888" s="40" t="n">
        <f aca="false">IF(L888=0,0,Q888/L888)</f>
        <v>0.00623052959501558</v>
      </c>
    </row>
    <row r="889" customFormat="false" ht="15" hidden="false" customHeight="false" outlineLevel="0" collapsed="false">
      <c r="A889" s="37" t="s">
        <v>2214</v>
      </c>
      <c r="B889" s="38" t="n">
        <v>45965.000625</v>
      </c>
      <c r="C889" s="37" t="s">
        <v>1201</v>
      </c>
      <c r="D889" s="37" t="s">
        <v>1372</v>
      </c>
      <c r="E889" s="37" t="s">
        <v>1373</v>
      </c>
      <c r="F889" s="37" t="s">
        <v>537</v>
      </c>
      <c r="G889" s="37"/>
      <c r="H889" s="37" t="s">
        <v>64</v>
      </c>
      <c r="I889" s="37"/>
      <c r="J889" s="37" t="s">
        <v>296</v>
      </c>
      <c r="K889" s="37" t="s">
        <v>1202</v>
      </c>
      <c r="L889" s="39" t="n">
        <v>1</v>
      </c>
      <c r="M889" s="39" t="n">
        <v>1</v>
      </c>
      <c r="N889" s="39" t="n">
        <v>1</v>
      </c>
      <c r="O889" s="39" t="n">
        <v>0</v>
      </c>
      <c r="P889" s="39" t="n">
        <v>0</v>
      </c>
      <c r="Q889" s="39" t="n">
        <v>0</v>
      </c>
      <c r="R889" s="39" t="n">
        <v>0</v>
      </c>
      <c r="S889" s="39" t="n">
        <v>0</v>
      </c>
      <c r="T889" s="40" t="n">
        <f aca="false">IF(M889=0,0,N889/M889)</f>
        <v>1</v>
      </c>
      <c r="U889" s="40" t="n">
        <f aca="false">IF(M889=0,0,O889/M889)</f>
        <v>0</v>
      </c>
      <c r="V889" s="41" t="n">
        <f aca="false">IF(M889=0,0,P889/M889)</f>
        <v>0</v>
      </c>
      <c r="W889" s="40" t="n">
        <f aca="false">IF(L889=0,0,Q889/L889)</f>
        <v>0</v>
      </c>
    </row>
    <row r="890" customFormat="false" ht="15" hidden="false" customHeight="false" outlineLevel="0" collapsed="false">
      <c r="A890" s="37" t="s">
        <v>2215</v>
      </c>
      <c r="B890" s="38" t="n">
        <v>45964.9965972222</v>
      </c>
      <c r="C890" s="37" t="s">
        <v>1201</v>
      </c>
      <c r="D890" s="37" t="s">
        <v>1709</v>
      </c>
      <c r="E890" s="37" t="s">
        <v>1709</v>
      </c>
      <c r="F890" s="37" t="s">
        <v>127</v>
      </c>
      <c r="G890" s="37"/>
      <c r="H890" s="37" t="s">
        <v>60</v>
      </c>
      <c r="I890" s="37"/>
      <c r="J890" s="37" t="s">
        <v>126</v>
      </c>
      <c r="K890" s="37" t="s">
        <v>1202</v>
      </c>
      <c r="L890" s="39" t="n">
        <v>5</v>
      </c>
      <c r="M890" s="39" t="n">
        <v>5</v>
      </c>
      <c r="N890" s="39" t="n">
        <v>3</v>
      </c>
      <c r="O890" s="39" t="n">
        <v>1</v>
      </c>
      <c r="P890" s="39" t="n">
        <v>0</v>
      </c>
      <c r="Q890" s="39" t="n">
        <v>0</v>
      </c>
      <c r="R890" s="39" t="n">
        <v>0</v>
      </c>
      <c r="S890" s="39" t="n">
        <v>0</v>
      </c>
      <c r="T890" s="40" t="n">
        <f aca="false">IF(M890=0,0,N890/M890)</f>
        <v>0.6</v>
      </c>
      <c r="U890" s="40" t="n">
        <f aca="false">IF(M890=0,0,O890/M890)</f>
        <v>0.2</v>
      </c>
      <c r="V890" s="41" t="n">
        <f aca="false">IF(M890=0,0,P890/M890)</f>
        <v>0</v>
      </c>
      <c r="W890" s="40" t="n">
        <f aca="false">IF(L890=0,0,Q890/L890)</f>
        <v>0</v>
      </c>
    </row>
    <row r="891" customFormat="false" ht="15" hidden="false" customHeight="false" outlineLevel="0" collapsed="false">
      <c r="A891" s="37" t="s">
        <v>2216</v>
      </c>
      <c r="B891" s="38" t="n">
        <v>45964.0005671296</v>
      </c>
      <c r="C891" s="37" t="s">
        <v>1201</v>
      </c>
      <c r="D891" s="37" t="s">
        <v>1372</v>
      </c>
      <c r="E891" s="37" t="s">
        <v>1373</v>
      </c>
      <c r="F891" s="37" t="s">
        <v>537</v>
      </c>
      <c r="G891" s="37"/>
      <c r="H891" s="37" t="s">
        <v>63</v>
      </c>
      <c r="I891" s="37"/>
      <c r="J891" s="37" t="s">
        <v>296</v>
      </c>
      <c r="K891" s="37" t="s">
        <v>1202</v>
      </c>
      <c r="L891" s="39" t="n">
        <v>2</v>
      </c>
      <c r="M891" s="39" t="n">
        <v>2</v>
      </c>
      <c r="N891" s="39" t="n">
        <v>2</v>
      </c>
      <c r="O891" s="39" t="n">
        <v>0</v>
      </c>
      <c r="P891" s="39" t="n">
        <v>0</v>
      </c>
      <c r="Q891" s="39" t="n">
        <v>0</v>
      </c>
      <c r="R891" s="39" t="n">
        <v>0</v>
      </c>
      <c r="S891" s="39" t="n">
        <v>0</v>
      </c>
      <c r="T891" s="40" t="n">
        <f aca="false">IF(M891=0,0,N891/M891)</f>
        <v>1</v>
      </c>
      <c r="U891" s="40" t="n">
        <f aca="false">IF(M891=0,0,O891/M891)</f>
        <v>0</v>
      </c>
      <c r="V891" s="41" t="n">
        <f aca="false">IF(M891=0,0,P891/M891)</f>
        <v>0</v>
      </c>
      <c r="W891" s="40" t="n">
        <f aca="false">IF(L891=0,0,Q891/L891)</f>
        <v>0</v>
      </c>
    </row>
    <row r="892" customFormat="false" ht="15" hidden="false" customHeight="false" outlineLevel="0" collapsed="false">
      <c r="A892" s="37" t="s">
        <v>2132</v>
      </c>
      <c r="B892" s="38" t="n">
        <v>45963.9795023148</v>
      </c>
      <c r="C892" s="37" t="s">
        <v>1201</v>
      </c>
      <c r="D892" s="37" t="s">
        <v>1372</v>
      </c>
      <c r="E892" s="37" t="s">
        <v>1373</v>
      </c>
      <c r="F892" s="37" t="s">
        <v>537</v>
      </c>
      <c r="G892" s="37"/>
      <c r="H892" s="37" t="s">
        <v>63</v>
      </c>
      <c r="I892" s="37"/>
      <c r="J892" s="37" t="s">
        <v>296</v>
      </c>
      <c r="K892" s="37" t="s">
        <v>1202</v>
      </c>
      <c r="L892" s="39" t="n">
        <v>2</v>
      </c>
      <c r="M892" s="39" t="n">
        <v>2</v>
      </c>
      <c r="N892" s="39" t="n">
        <v>2</v>
      </c>
      <c r="O892" s="39" t="n">
        <v>0</v>
      </c>
      <c r="P892" s="39" t="n">
        <v>0</v>
      </c>
      <c r="Q892" s="39" t="n">
        <v>0</v>
      </c>
      <c r="R892" s="39" t="n">
        <v>0</v>
      </c>
      <c r="S892" s="39" t="n">
        <v>0</v>
      </c>
      <c r="T892" s="40" t="n">
        <f aca="false">IF(M892=0,0,N892/M892)</f>
        <v>1</v>
      </c>
      <c r="U892" s="40" t="n">
        <f aca="false">IF(M892=0,0,O892/M892)</f>
        <v>0</v>
      </c>
      <c r="V892" s="41" t="n">
        <f aca="false">IF(M892=0,0,P892/M892)</f>
        <v>0</v>
      </c>
      <c r="W892" s="40" t="n">
        <f aca="false">IF(L892=0,0,Q892/L892)</f>
        <v>0</v>
      </c>
    </row>
    <row r="893" customFormat="false" ht="15" hidden="false" customHeight="false" outlineLevel="0" collapsed="false">
      <c r="A893" s="37" t="s">
        <v>2217</v>
      </c>
      <c r="B893" s="38" t="n">
        <v>45961.6637615741</v>
      </c>
      <c r="C893" s="37" t="s">
        <v>1201</v>
      </c>
      <c r="D893" s="37" t="s">
        <v>133</v>
      </c>
      <c r="E893" s="37" t="s">
        <v>134</v>
      </c>
      <c r="F893" s="37" t="s">
        <v>544</v>
      </c>
      <c r="G893" s="37" t="s">
        <v>1132</v>
      </c>
      <c r="H893" s="37" t="s">
        <v>60</v>
      </c>
      <c r="I893" s="37" t="s">
        <v>131</v>
      </c>
      <c r="J893" s="37" t="s">
        <v>132</v>
      </c>
      <c r="K893" s="37" t="s">
        <v>1202</v>
      </c>
      <c r="L893" s="39" t="n">
        <v>3818</v>
      </c>
      <c r="M893" s="39" t="n">
        <v>3795</v>
      </c>
      <c r="N893" s="39" t="n">
        <v>463</v>
      </c>
      <c r="O893" s="39" t="n">
        <v>91</v>
      </c>
      <c r="P893" s="39" t="n">
        <v>21</v>
      </c>
      <c r="Q893" s="39" t="n">
        <v>23</v>
      </c>
      <c r="R893" s="39" t="n">
        <v>17</v>
      </c>
      <c r="S893" s="39" t="n">
        <v>0</v>
      </c>
      <c r="T893" s="40" t="n">
        <f aca="false">IF(M893=0,0,N893/M893)</f>
        <v>0.122002635046113</v>
      </c>
      <c r="U893" s="40" t="n">
        <f aca="false">IF(M893=0,0,O893/M893)</f>
        <v>0.0239789196310935</v>
      </c>
      <c r="V893" s="41" t="n">
        <f aca="false">IF(M893=0,0,P893/M893)</f>
        <v>0.00553359683794466</v>
      </c>
      <c r="W893" s="40" t="n">
        <f aca="false">IF(L893=0,0,Q893/L893)</f>
        <v>0.00602409638554217</v>
      </c>
    </row>
    <row r="894" customFormat="false" ht="15" hidden="false" customHeight="false" outlineLevel="0" collapsed="false">
      <c r="A894" s="37" t="s">
        <v>2218</v>
      </c>
      <c r="B894" s="38" t="n">
        <v>45961.6563657407</v>
      </c>
      <c r="C894" s="37" t="s">
        <v>1201</v>
      </c>
      <c r="D894" s="37" t="s">
        <v>297</v>
      </c>
      <c r="E894" s="37" t="s">
        <v>1267</v>
      </c>
      <c r="F894" s="37" t="s">
        <v>537</v>
      </c>
      <c r="G894" s="37"/>
      <c r="H894" s="37" t="s">
        <v>61</v>
      </c>
      <c r="I894" s="37" t="s">
        <v>294</v>
      </c>
      <c r="J894" s="37" t="s">
        <v>296</v>
      </c>
      <c r="K894" s="37" t="s">
        <v>1202</v>
      </c>
      <c r="L894" s="39" t="n">
        <v>585</v>
      </c>
      <c r="M894" s="39" t="n">
        <v>585</v>
      </c>
      <c r="N894" s="39" t="n">
        <v>434</v>
      </c>
      <c r="O894" s="39" t="n">
        <v>48</v>
      </c>
      <c r="P894" s="39" t="n">
        <v>0</v>
      </c>
      <c r="Q894" s="39" t="n">
        <v>0</v>
      </c>
      <c r="R894" s="39" t="n">
        <v>0</v>
      </c>
      <c r="S894" s="39" t="n">
        <v>0</v>
      </c>
      <c r="T894" s="40" t="n">
        <f aca="false">IF(M894=0,0,N894/M894)</f>
        <v>0.741880341880342</v>
      </c>
      <c r="U894" s="40" t="n">
        <f aca="false">IF(M894=0,0,O894/M894)</f>
        <v>0.0820512820512821</v>
      </c>
      <c r="V894" s="41" t="n">
        <f aca="false">IF(M894=0,0,P894/M894)</f>
        <v>0</v>
      </c>
      <c r="W894" s="40" t="n">
        <f aca="false">IF(L894=0,0,Q894/L894)</f>
        <v>0</v>
      </c>
    </row>
    <row r="895" customFormat="false" ht="15" hidden="false" customHeight="false" outlineLevel="0" collapsed="false">
      <c r="A895" s="37" t="s">
        <v>2219</v>
      </c>
      <c r="B895" s="38" t="n">
        <v>45961.4459375</v>
      </c>
      <c r="C895" s="37" t="s">
        <v>1201</v>
      </c>
      <c r="D895" s="37" t="s">
        <v>1392</v>
      </c>
      <c r="E895" s="37" t="s">
        <v>166</v>
      </c>
      <c r="F895" s="37" t="s">
        <v>671</v>
      </c>
      <c r="G895" s="37" t="s">
        <v>1734</v>
      </c>
      <c r="H895" s="37" t="s">
        <v>61</v>
      </c>
      <c r="I895" s="37" t="s">
        <v>260</v>
      </c>
      <c r="J895" s="37" t="s">
        <v>164</v>
      </c>
      <c r="K895" s="37" t="s">
        <v>1202</v>
      </c>
      <c r="L895" s="39" t="n">
        <v>21</v>
      </c>
      <c r="M895" s="39" t="n">
        <v>21</v>
      </c>
      <c r="N895" s="39" t="n">
        <v>11</v>
      </c>
      <c r="O895" s="39" t="n">
        <v>3</v>
      </c>
      <c r="P895" s="39" t="n">
        <v>0</v>
      </c>
      <c r="Q895" s="39" t="n">
        <v>0</v>
      </c>
      <c r="R895" s="39" t="n">
        <v>0</v>
      </c>
      <c r="S895" s="39" t="n">
        <v>0</v>
      </c>
      <c r="T895" s="40" t="n">
        <f aca="false">IF(M895=0,0,N895/M895)</f>
        <v>0.523809523809524</v>
      </c>
      <c r="U895" s="40" t="n">
        <f aca="false">IF(M895=0,0,O895/M895)</f>
        <v>0.142857142857143</v>
      </c>
      <c r="V895" s="41" t="n">
        <f aca="false">IF(M895=0,0,P895/M895)</f>
        <v>0</v>
      </c>
      <c r="W895" s="40" t="n">
        <f aca="false">IF(L895=0,0,Q895/L895)</f>
        <v>0</v>
      </c>
    </row>
    <row r="896" customFormat="false" ht="15" hidden="false" customHeight="false" outlineLevel="0" collapsed="false">
      <c r="A896" s="37" t="s">
        <v>2220</v>
      </c>
      <c r="B896" s="38" t="n">
        <v>45961.3834490741</v>
      </c>
      <c r="C896" s="37" t="s">
        <v>1201</v>
      </c>
      <c r="D896" s="37" t="s">
        <v>1211</v>
      </c>
      <c r="E896" s="37" t="s">
        <v>1212</v>
      </c>
      <c r="F896" s="37" t="s">
        <v>544</v>
      </c>
      <c r="G896" s="37"/>
      <c r="H896" s="37" t="s">
        <v>60</v>
      </c>
      <c r="I896" s="37"/>
      <c r="J896" s="37" t="s">
        <v>100</v>
      </c>
      <c r="K896" s="37" t="s">
        <v>1213</v>
      </c>
      <c r="L896" s="39" t="n">
        <v>167</v>
      </c>
      <c r="M896" s="39" t="n">
        <v>167</v>
      </c>
      <c r="N896" s="39" t="n">
        <v>88</v>
      </c>
      <c r="O896" s="39" t="n">
        <v>18</v>
      </c>
      <c r="P896" s="39" t="n">
        <v>0</v>
      </c>
      <c r="Q896" s="39" t="n">
        <v>0</v>
      </c>
      <c r="R896" s="39" t="n">
        <v>0</v>
      </c>
      <c r="S896" s="39" t="n">
        <v>0</v>
      </c>
      <c r="T896" s="40" t="n">
        <f aca="false">IF(M896=0,0,N896/M896)</f>
        <v>0.526946107784431</v>
      </c>
      <c r="U896" s="40" t="n">
        <f aca="false">IF(M896=0,0,O896/M896)</f>
        <v>0.107784431137725</v>
      </c>
      <c r="V896" s="41" t="n">
        <f aca="false">IF(M896=0,0,P896/M896)</f>
        <v>0</v>
      </c>
      <c r="W896" s="40" t="n">
        <f aca="false">IF(L896=0,0,Q896/L896)</f>
        <v>0</v>
      </c>
    </row>
    <row r="897" customFormat="false" ht="15" hidden="false" customHeight="false" outlineLevel="0" collapsed="false">
      <c r="A897" s="37" t="s">
        <v>2221</v>
      </c>
      <c r="B897" s="38" t="n">
        <v>45961.3764467593</v>
      </c>
      <c r="C897" s="37" t="s">
        <v>1201</v>
      </c>
      <c r="D897" s="37" t="s">
        <v>1372</v>
      </c>
      <c r="E897" s="37" t="s">
        <v>1373</v>
      </c>
      <c r="F897" s="37" t="s">
        <v>537</v>
      </c>
      <c r="G897" s="37"/>
      <c r="H897" s="37" t="s">
        <v>63</v>
      </c>
      <c r="I897" s="37"/>
      <c r="J897" s="37" t="s">
        <v>296</v>
      </c>
      <c r="K897" s="37" t="s">
        <v>1202</v>
      </c>
      <c r="L897" s="39" t="n">
        <v>1</v>
      </c>
      <c r="M897" s="39" t="n">
        <v>1</v>
      </c>
      <c r="N897" s="39" t="n">
        <v>1</v>
      </c>
      <c r="O897" s="39" t="n">
        <v>0</v>
      </c>
      <c r="P897" s="39" t="n">
        <v>0</v>
      </c>
      <c r="Q897" s="39" t="n">
        <v>0</v>
      </c>
      <c r="R897" s="39" t="n">
        <v>0</v>
      </c>
      <c r="S897" s="39" t="n">
        <v>0</v>
      </c>
      <c r="T897" s="40" t="n">
        <f aca="false">IF(M897=0,0,N897/M897)</f>
        <v>1</v>
      </c>
      <c r="U897" s="40" t="n">
        <f aca="false">IF(M897=0,0,O897/M897)</f>
        <v>0</v>
      </c>
      <c r="V897" s="41" t="n">
        <f aca="false">IF(M897=0,0,P897/M897)</f>
        <v>0</v>
      </c>
      <c r="W897" s="40" t="n">
        <f aca="false">IF(L897=0,0,Q897/L897)</f>
        <v>0</v>
      </c>
    </row>
    <row r="898" customFormat="false" ht="15" hidden="false" customHeight="false" outlineLevel="0" collapsed="false">
      <c r="A898" s="37" t="s">
        <v>2222</v>
      </c>
      <c r="B898" s="38" t="n">
        <v>45961.2591087963</v>
      </c>
      <c r="C898" s="37" t="s">
        <v>1201</v>
      </c>
      <c r="D898" s="37" t="s">
        <v>267</v>
      </c>
      <c r="E898" s="37" t="s">
        <v>267</v>
      </c>
      <c r="F898" s="37" t="s">
        <v>498</v>
      </c>
      <c r="G898" s="37"/>
      <c r="H898" s="37" t="s">
        <v>61</v>
      </c>
      <c r="I898" s="37" t="s">
        <v>264</v>
      </c>
      <c r="J898" s="37" t="s">
        <v>266</v>
      </c>
      <c r="K898" s="37" t="s">
        <v>1202</v>
      </c>
      <c r="L898" s="39" t="n">
        <v>266</v>
      </c>
      <c r="M898" s="39" t="n">
        <v>266</v>
      </c>
      <c r="N898" s="39" t="n">
        <v>53</v>
      </c>
      <c r="O898" s="39" t="n">
        <v>8</v>
      </c>
      <c r="P898" s="39" t="n">
        <v>0</v>
      </c>
      <c r="Q898" s="39" t="n">
        <v>0</v>
      </c>
      <c r="R898" s="39" t="n">
        <v>0</v>
      </c>
      <c r="S898" s="39" t="n">
        <v>0</v>
      </c>
      <c r="T898" s="40" t="n">
        <f aca="false">IF(M898=0,0,N898/M898)</f>
        <v>0.199248120300752</v>
      </c>
      <c r="U898" s="40" t="n">
        <f aca="false">IF(M898=0,0,O898/M898)</f>
        <v>0.0300751879699248</v>
      </c>
      <c r="V898" s="41" t="n">
        <f aca="false">IF(M898=0,0,P898/M898)</f>
        <v>0</v>
      </c>
      <c r="W898" s="40" t="n">
        <f aca="false">IF(L898=0,0,Q898/L898)</f>
        <v>0</v>
      </c>
    </row>
    <row r="899" customFormat="false" ht="15" hidden="false" customHeight="false" outlineLevel="0" collapsed="false">
      <c r="A899" s="37" t="s">
        <v>2223</v>
      </c>
      <c r="B899" s="38" t="n">
        <v>45961.2011921296</v>
      </c>
      <c r="C899" s="37" t="s">
        <v>1201</v>
      </c>
      <c r="D899" s="37" t="s">
        <v>1523</v>
      </c>
      <c r="E899" s="37" t="s">
        <v>166</v>
      </c>
      <c r="F899" s="37" t="s">
        <v>623</v>
      </c>
      <c r="G899" s="37" t="s">
        <v>1880</v>
      </c>
      <c r="H899" s="37" t="s">
        <v>61</v>
      </c>
      <c r="I899" s="37" t="s">
        <v>255</v>
      </c>
      <c r="J899" s="37" t="s">
        <v>164</v>
      </c>
      <c r="K899" s="37" t="s">
        <v>1202</v>
      </c>
      <c r="L899" s="39" t="n">
        <v>19</v>
      </c>
      <c r="M899" s="39" t="n">
        <v>19</v>
      </c>
      <c r="N899" s="39" t="n">
        <v>13</v>
      </c>
      <c r="O899" s="39" t="n">
        <v>4</v>
      </c>
      <c r="P899" s="39" t="n">
        <v>0</v>
      </c>
      <c r="Q899" s="39" t="n">
        <v>0</v>
      </c>
      <c r="R899" s="39" t="n">
        <v>0</v>
      </c>
      <c r="S899" s="39" t="n">
        <v>0</v>
      </c>
      <c r="T899" s="40" t="n">
        <f aca="false">IF(M899=0,0,N899/M899)</f>
        <v>0.68421052631579</v>
      </c>
      <c r="U899" s="40" t="n">
        <f aca="false">IF(M899=0,0,O899/M899)</f>
        <v>0.210526315789474</v>
      </c>
      <c r="V899" s="41" t="n">
        <f aca="false">IF(M899=0,0,P899/M899)</f>
        <v>0</v>
      </c>
      <c r="W899" s="40" t="n">
        <f aca="false">IF(L899=0,0,Q899/L899)</f>
        <v>0</v>
      </c>
    </row>
    <row r="900" customFormat="false" ht="15" hidden="false" customHeight="false" outlineLevel="0" collapsed="false">
      <c r="A900" s="37" t="s">
        <v>2224</v>
      </c>
      <c r="B900" s="38" t="n">
        <v>45961.0666782407</v>
      </c>
      <c r="C900" s="37" t="s">
        <v>1201</v>
      </c>
      <c r="D900" s="37" t="s">
        <v>171</v>
      </c>
      <c r="E900" s="37" t="s">
        <v>172</v>
      </c>
      <c r="F900" s="37" t="s">
        <v>625</v>
      </c>
      <c r="G900" s="37" t="s">
        <v>1132</v>
      </c>
      <c r="H900" s="37" t="s">
        <v>61</v>
      </c>
      <c r="I900" s="37" t="s">
        <v>169</v>
      </c>
      <c r="J900" s="37" t="s">
        <v>170</v>
      </c>
      <c r="K900" s="37" t="s">
        <v>1202</v>
      </c>
      <c r="L900" s="39" t="n">
        <v>224</v>
      </c>
      <c r="M900" s="39" t="n">
        <v>224</v>
      </c>
      <c r="N900" s="39" t="n">
        <v>33</v>
      </c>
      <c r="O900" s="39" t="n">
        <v>6</v>
      </c>
      <c r="P900" s="39" t="n">
        <v>1</v>
      </c>
      <c r="Q900" s="39" t="n">
        <v>0</v>
      </c>
      <c r="R900" s="39" t="n">
        <v>0</v>
      </c>
      <c r="S900" s="39" t="n">
        <v>0</v>
      </c>
      <c r="T900" s="40" t="n">
        <f aca="false">IF(M900=0,0,N900/M900)</f>
        <v>0.147321428571429</v>
      </c>
      <c r="U900" s="40" t="n">
        <f aca="false">IF(M900=0,0,O900/M900)</f>
        <v>0.0267857142857143</v>
      </c>
      <c r="V900" s="41" t="n">
        <f aca="false">IF(M900=0,0,P900/M900)</f>
        <v>0.00446428571428571</v>
      </c>
      <c r="W900" s="40" t="n">
        <f aca="false">IF(L900=0,0,Q900/L900)</f>
        <v>0</v>
      </c>
    </row>
    <row r="901" customFormat="false" ht="15" hidden="false" customHeight="false" outlineLevel="0" collapsed="false">
      <c r="A901" s="37" t="s">
        <v>2225</v>
      </c>
      <c r="B901" s="38" t="n">
        <v>45961.0526388889</v>
      </c>
      <c r="C901" s="37" t="s">
        <v>1201</v>
      </c>
      <c r="D901" s="37" t="s">
        <v>1372</v>
      </c>
      <c r="E901" s="37" t="s">
        <v>1373</v>
      </c>
      <c r="F901" s="37" t="s">
        <v>537</v>
      </c>
      <c r="G901" s="37"/>
      <c r="H901" s="37" t="s">
        <v>64</v>
      </c>
      <c r="I901" s="37"/>
      <c r="J901" s="37" t="s">
        <v>296</v>
      </c>
      <c r="K901" s="37" t="s">
        <v>1202</v>
      </c>
      <c r="L901" s="39" t="n">
        <v>2</v>
      </c>
      <c r="M901" s="39" t="n">
        <v>2</v>
      </c>
      <c r="N901" s="39" t="n">
        <v>2</v>
      </c>
      <c r="O901" s="39" t="n">
        <v>0</v>
      </c>
      <c r="P901" s="39" t="n">
        <v>0</v>
      </c>
      <c r="Q901" s="39" t="n">
        <v>0</v>
      </c>
      <c r="R901" s="39" t="n">
        <v>0</v>
      </c>
      <c r="S901" s="39" t="n">
        <v>0</v>
      </c>
      <c r="T901" s="40" t="n">
        <f aca="false">IF(M901=0,0,N901/M901)</f>
        <v>1</v>
      </c>
      <c r="U901" s="40" t="n">
        <f aca="false">IF(M901=0,0,O901/M901)</f>
        <v>0</v>
      </c>
      <c r="V901" s="41" t="n">
        <f aca="false">IF(M901=0,0,P901/M901)</f>
        <v>0</v>
      </c>
      <c r="W901" s="40" t="n">
        <f aca="false">IF(L901=0,0,Q901/L901)</f>
        <v>0</v>
      </c>
    </row>
    <row r="902" customFormat="false" ht="15" hidden="false" customHeight="false" outlineLevel="0" collapsed="false">
      <c r="A902" s="37" t="s">
        <v>2226</v>
      </c>
      <c r="B902" s="38" t="n">
        <v>45961.0521296296</v>
      </c>
      <c r="C902" s="37" t="s">
        <v>1201</v>
      </c>
      <c r="D902" s="37" t="s">
        <v>110</v>
      </c>
      <c r="E902" s="37" t="s">
        <v>1768</v>
      </c>
      <c r="F902" s="37" t="s">
        <v>667</v>
      </c>
      <c r="G902" s="37" t="s">
        <v>1132</v>
      </c>
      <c r="H902" s="37" t="s">
        <v>61</v>
      </c>
      <c r="I902" s="37" t="s">
        <v>107</v>
      </c>
      <c r="J902" s="37" t="s">
        <v>109</v>
      </c>
      <c r="K902" s="37" t="s">
        <v>1202</v>
      </c>
      <c r="L902" s="39" t="n">
        <v>2868</v>
      </c>
      <c r="M902" s="39" t="n">
        <v>2845</v>
      </c>
      <c r="N902" s="39" t="n">
        <v>937</v>
      </c>
      <c r="O902" s="39" t="n">
        <v>30</v>
      </c>
      <c r="P902" s="39" t="n">
        <v>15</v>
      </c>
      <c r="Q902" s="39" t="n">
        <v>23</v>
      </c>
      <c r="R902" s="39" t="n">
        <v>16</v>
      </c>
      <c r="S902" s="39" t="n">
        <v>0</v>
      </c>
      <c r="T902" s="40" t="n">
        <f aca="false">IF(M902=0,0,N902/M902)</f>
        <v>0.329349736379613</v>
      </c>
      <c r="U902" s="40" t="n">
        <f aca="false">IF(M902=0,0,O902/M902)</f>
        <v>0.0105448154657294</v>
      </c>
      <c r="V902" s="41" t="n">
        <f aca="false">IF(M902=0,0,P902/M902)</f>
        <v>0.00527240773286468</v>
      </c>
      <c r="W902" s="40" t="n">
        <f aca="false">IF(L902=0,0,Q902/L902)</f>
        <v>0.00801952580195258</v>
      </c>
    </row>
    <row r="903" customFormat="false" ht="15" hidden="false" customHeight="false" outlineLevel="0" collapsed="false">
      <c r="A903" s="37" t="s">
        <v>2227</v>
      </c>
      <c r="B903" s="38" t="n">
        <v>45961.0106365741</v>
      </c>
      <c r="C903" s="37" t="s">
        <v>1201</v>
      </c>
      <c r="D903" s="37" t="s">
        <v>1372</v>
      </c>
      <c r="E903" s="37" t="s">
        <v>1373</v>
      </c>
      <c r="F903" s="37" t="s">
        <v>537</v>
      </c>
      <c r="G903" s="37"/>
      <c r="H903" s="37" t="s">
        <v>60</v>
      </c>
      <c r="I903" s="37"/>
      <c r="J903" s="37" t="s">
        <v>296</v>
      </c>
      <c r="K903" s="37" t="s">
        <v>1202</v>
      </c>
      <c r="L903" s="39" t="n">
        <v>2</v>
      </c>
      <c r="M903" s="39" t="n">
        <v>2</v>
      </c>
      <c r="N903" s="39" t="n">
        <v>2</v>
      </c>
      <c r="O903" s="39" t="n">
        <v>0</v>
      </c>
      <c r="P903" s="39" t="n">
        <v>0</v>
      </c>
      <c r="Q903" s="39" t="n">
        <v>0</v>
      </c>
      <c r="R903" s="39" t="n">
        <v>0</v>
      </c>
      <c r="S903" s="39" t="n">
        <v>0</v>
      </c>
      <c r="T903" s="40" t="n">
        <f aca="false">IF(M903=0,0,N903/M903)</f>
        <v>1</v>
      </c>
      <c r="U903" s="40" t="n">
        <f aca="false">IF(M903=0,0,O903/M903)</f>
        <v>0</v>
      </c>
      <c r="V903" s="41" t="n">
        <f aca="false">IF(M903=0,0,P903/M903)</f>
        <v>0</v>
      </c>
      <c r="W903" s="40" t="n">
        <f aca="false">IF(L903=0,0,Q903/L903)</f>
        <v>0</v>
      </c>
    </row>
    <row r="904" customFormat="false" ht="15" hidden="false" customHeight="false" outlineLevel="0" collapsed="false">
      <c r="A904" s="37" t="s">
        <v>2228</v>
      </c>
      <c r="B904" s="38" t="n">
        <v>45960.9276388889</v>
      </c>
      <c r="C904" s="37" t="s">
        <v>1201</v>
      </c>
      <c r="D904" s="37" t="s">
        <v>1372</v>
      </c>
      <c r="E904" s="37" t="s">
        <v>1373</v>
      </c>
      <c r="F904" s="37" t="s">
        <v>537</v>
      </c>
      <c r="G904" s="37"/>
      <c r="H904" s="37" t="s">
        <v>63</v>
      </c>
      <c r="I904" s="37"/>
      <c r="J904" s="37" t="s">
        <v>296</v>
      </c>
      <c r="K904" s="37" t="s">
        <v>1202</v>
      </c>
      <c r="L904" s="39" t="n">
        <v>2</v>
      </c>
      <c r="M904" s="39" t="n">
        <v>2</v>
      </c>
      <c r="N904" s="39" t="n">
        <v>2</v>
      </c>
      <c r="O904" s="39" t="n">
        <v>0</v>
      </c>
      <c r="P904" s="39" t="n">
        <v>0</v>
      </c>
      <c r="Q904" s="39" t="n">
        <v>0</v>
      </c>
      <c r="R904" s="39" t="n">
        <v>0</v>
      </c>
      <c r="S904" s="39" t="n">
        <v>0</v>
      </c>
      <c r="T904" s="40" t="n">
        <f aca="false">IF(M904=0,0,N904/M904)</f>
        <v>1</v>
      </c>
      <c r="U904" s="40" t="n">
        <f aca="false">IF(M904=0,0,O904/M904)</f>
        <v>0</v>
      </c>
      <c r="V904" s="41" t="n">
        <f aca="false">IF(M904=0,0,P904/M904)</f>
        <v>0</v>
      </c>
      <c r="W904" s="40" t="n">
        <f aca="false">IF(L904=0,0,Q904/L904)</f>
        <v>0</v>
      </c>
    </row>
    <row r="905" customFormat="false" ht="15" hidden="false" customHeight="false" outlineLevel="0" collapsed="false">
      <c r="A905" s="37" t="s">
        <v>2229</v>
      </c>
      <c r="B905" s="38" t="n">
        <v>45960.8755439815</v>
      </c>
      <c r="C905" s="37" t="s">
        <v>1201</v>
      </c>
      <c r="D905" s="37" t="s">
        <v>1665</v>
      </c>
      <c r="E905" s="37" t="s">
        <v>238</v>
      </c>
      <c r="F905" s="37" t="s">
        <v>605</v>
      </c>
      <c r="G905" s="37" t="s">
        <v>1132</v>
      </c>
      <c r="H905" s="37" t="s">
        <v>61</v>
      </c>
      <c r="I905" s="37" t="s">
        <v>143</v>
      </c>
      <c r="J905" s="37" t="s">
        <v>144</v>
      </c>
      <c r="K905" s="37" t="s">
        <v>1202</v>
      </c>
      <c r="L905" s="39" t="n">
        <v>2633</v>
      </c>
      <c r="M905" s="39" t="n">
        <v>2551</v>
      </c>
      <c r="N905" s="39" t="n">
        <v>693</v>
      </c>
      <c r="O905" s="39" t="n">
        <v>64</v>
      </c>
      <c r="P905" s="39" t="n">
        <v>26</v>
      </c>
      <c r="Q905" s="39" t="n">
        <v>82</v>
      </c>
      <c r="R905" s="39" t="n">
        <v>24</v>
      </c>
      <c r="S905" s="39" t="n">
        <v>0</v>
      </c>
      <c r="T905" s="40" t="n">
        <f aca="false">IF(M905=0,0,N905/M905)</f>
        <v>0.271658173265386</v>
      </c>
      <c r="U905" s="40" t="n">
        <f aca="false">IF(M905=0,0,O905/M905)</f>
        <v>0.0250882007056056</v>
      </c>
      <c r="V905" s="41" t="n">
        <f aca="false">IF(M905=0,0,P905/M905)</f>
        <v>0.0101920815366523</v>
      </c>
      <c r="W905" s="40" t="n">
        <f aca="false">IF(L905=0,0,Q905/L905)</f>
        <v>0.0311431826813521</v>
      </c>
    </row>
    <row r="906" customFormat="false" ht="15" hidden="false" customHeight="false" outlineLevel="0" collapsed="false">
      <c r="A906" s="37" t="s">
        <v>2230</v>
      </c>
      <c r="B906" s="38" t="n">
        <v>45960.875162037</v>
      </c>
      <c r="C906" s="37" t="s">
        <v>1201</v>
      </c>
      <c r="D906" s="37" t="s">
        <v>1372</v>
      </c>
      <c r="E906" s="37" t="s">
        <v>1373</v>
      </c>
      <c r="F906" s="37" t="s">
        <v>537</v>
      </c>
      <c r="G906" s="37"/>
      <c r="H906" s="37" t="s">
        <v>63</v>
      </c>
      <c r="I906" s="37"/>
      <c r="J906" s="37" t="s">
        <v>296</v>
      </c>
      <c r="K906" s="37" t="s">
        <v>1202</v>
      </c>
      <c r="L906" s="39" t="n">
        <v>1</v>
      </c>
      <c r="M906" s="39" t="n">
        <v>1</v>
      </c>
      <c r="N906" s="39" t="n">
        <v>1</v>
      </c>
      <c r="O906" s="39" t="n">
        <v>0</v>
      </c>
      <c r="P906" s="39" t="n">
        <v>0</v>
      </c>
      <c r="Q906" s="39" t="n">
        <v>0</v>
      </c>
      <c r="R906" s="39" t="n">
        <v>0</v>
      </c>
      <c r="S906" s="39" t="n">
        <v>0</v>
      </c>
      <c r="T906" s="40" t="n">
        <f aca="false">IF(M906=0,0,N906/M906)</f>
        <v>1</v>
      </c>
      <c r="U906" s="40" t="n">
        <f aca="false">IF(M906=0,0,O906/M906)</f>
        <v>0</v>
      </c>
      <c r="V906" s="41" t="n">
        <f aca="false">IF(M906=0,0,P906/M906)</f>
        <v>0</v>
      </c>
      <c r="W906" s="40" t="n">
        <f aca="false">IF(L906=0,0,Q906/L906)</f>
        <v>0</v>
      </c>
    </row>
    <row r="907" customFormat="false" ht="15" hidden="false" customHeight="false" outlineLevel="0" collapsed="false">
      <c r="A907" s="37" t="s">
        <v>2231</v>
      </c>
      <c r="B907" s="38" t="n">
        <v>45960.7090162037</v>
      </c>
      <c r="C907" s="37" t="s">
        <v>1201</v>
      </c>
      <c r="D907" s="37" t="s">
        <v>152</v>
      </c>
      <c r="E907" s="37" t="s">
        <v>1204</v>
      </c>
      <c r="F907" s="37" t="s">
        <v>152</v>
      </c>
      <c r="G907" s="37" t="s">
        <v>2232</v>
      </c>
      <c r="H907" s="37" t="s">
        <v>60</v>
      </c>
      <c r="I907" s="37"/>
      <c r="J907" s="37" t="s">
        <v>151</v>
      </c>
      <c r="K907" s="37" t="s">
        <v>1202</v>
      </c>
      <c r="L907" s="39" t="n">
        <v>1289</v>
      </c>
      <c r="M907" s="39" t="n">
        <v>1282</v>
      </c>
      <c r="N907" s="39" t="n">
        <v>424</v>
      </c>
      <c r="O907" s="39" t="n">
        <v>50</v>
      </c>
      <c r="P907" s="39" t="n">
        <v>6</v>
      </c>
      <c r="Q907" s="39" t="n">
        <v>7</v>
      </c>
      <c r="R907" s="39" t="n">
        <v>6</v>
      </c>
      <c r="S907" s="39" t="n">
        <v>0</v>
      </c>
      <c r="T907" s="40" t="n">
        <f aca="false">IF(M907=0,0,N907/M907)</f>
        <v>0.330733229329173</v>
      </c>
      <c r="U907" s="40" t="n">
        <f aca="false">IF(M907=0,0,O907/M907)</f>
        <v>0.0390015600624025</v>
      </c>
      <c r="V907" s="41" t="n">
        <f aca="false">IF(M907=0,0,P907/M907)</f>
        <v>0.0046801872074883</v>
      </c>
      <c r="W907" s="40" t="n">
        <f aca="false">IF(L907=0,0,Q907/L907)</f>
        <v>0.00543056633048875</v>
      </c>
    </row>
    <row r="908" customFormat="false" ht="15" hidden="false" customHeight="false" outlineLevel="0" collapsed="false">
      <c r="A908" s="37" t="s">
        <v>2233</v>
      </c>
      <c r="B908" s="38" t="n">
        <v>45960.6459259259</v>
      </c>
      <c r="C908" s="37" t="s">
        <v>1201</v>
      </c>
      <c r="D908" s="37" t="s">
        <v>101</v>
      </c>
      <c r="E908" s="37" t="s">
        <v>1222</v>
      </c>
      <c r="F908" s="37" t="s">
        <v>548</v>
      </c>
      <c r="G908" s="37" t="s">
        <v>2048</v>
      </c>
      <c r="H908" s="37" t="s">
        <v>60</v>
      </c>
      <c r="I908" s="37" t="s">
        <v>98</v>
      </c>
      <c r="J908" s="37" t="s">
        <v>100</v>
      </c>
      <c r="K908" s="37" t="s">
        <v>1202</v>
      </c>
      <c r="L908" s="39" t="n">
        <v>6329</v>
      </c>
      <c r="M908" s="39" t="n">
        <v>6298</v>
      </c>
      <c r="N908" s="39" t="n">
        <v>1068</v>
      </c>
      <c r="O908" s="39" t="n">
        <v>151</v>
      </c>
      <c r="P908" s="39" t="n">
        <v>40</v>
      </c>
      <c r="Q908" s="39" t="n">
        <v>31</v>
      </c>
      <c r="R908" s="39" t="n">
        <v>19</v>
      </c>
      <c r="S908" s="39" t="n">
        <v>0</v>
      </c>
      <c r="T908" s="40" t="n">
        <f aca="false">IF(M908=0,0,N908/M908)</f>
        <v>0.169577643696412</v>
      </c>
      <c r="U908" s="40" t="n">
        <f aca="false">IF(M908=0,0,O908/M908)</f>
        <v>0.0239758653540807</v>
      </c>
      <c r="V908" s="41" t="n">
        <f aca="false">IF(M908=0,0,P908/M908)</f>
        <v>0.00635122261035249</v>
      </c>
      <c r="W908" s="40" t="n">
        <f aca="false">IF(L908=0,0,Q908/L908)</f>
        <v>0.00489808816558698</v>
      </c>
    </row>
    <row r="909" customFormat="false" ht="15" hidden="false" customHeight="false" outlineLevel="0" collapsed="false">
      <c r="A909" s="37" t="s">
        <v>2234</v>
      </c>
      <c r="B909" s="38" t="n">
        <v>45960.3802314815</v>
      </c>
      <c r="C909" s="37" t="s">
        <v>1201</v>
      </c>
      <c r="D909" s="37" t="s">
        <v>1372</v>
      </c>
      <c r="E909" s="37" t="s">
        <v>1373</v>
      </c>
      <c r="F909" s="37" t="s">
        <v>537</v>
      </c>
      <c r="G909" s="37"/>
      <c r="H909" s="37" t="s">
        <v>60</v>
      </c>
      <c r="I909" s="37"/>
      <c r="J909" s="37" t="s">
        <v>296</v>
      </c>
      <c r="K909" s="37" t="s">
        <v>1202</v>
      </c>
      <c r="L909" s="39" t="n">
        <v>2</v>
      </c>
      <c r="M909" s="39" t="n">
        <v>2</v>
      </c>
      <c r="N909" s="39" t="n">
        <v>2</v>
      </c>
      <c r="O909" s="39" t="n">
        <v>0</v>
      </c>
      <c r="P909" s="39" t="n">
        <v>0</v>
      </c>
      <c r="Q909" s="39" t="n">
        <v>0</v>
      </c>
      <c r="R909" s="39" t="n">
        <v>0</v>
      </c>
      <c r="S909" s="39" t="n">
        <v>0</v>
      </c>
      <c r="T909" s="40" t="n">
        <f aca="false">IF(M909=0,0,N909/M909)</f>
        <v>1</v>
      </c>
      <c r="U909" s="40" t="n">
        <f aca="false">IF(M909=0,0,O909/M909)</f>
        <v>0</v>
      </c>
      <c r="V909" s="41" t="n">
        <f aca="false">IF(M909=0,0,P909/M909)</f>
        <v>0</v>
      </c>
      <c r="W909" s="40" t="n">
        <f aca="false">IF(L909=0,0,Q909/L909)</f>
        <v>0</v>
      </c>
    </row>
    <row r="910" customFormat="false" ht="15" hidden="false" customHeight="false" outlineLevel="0" collapsed="false">
      <c r="A910" s="37" t="s">
        <v>2235</v>
      </c>
      <c r="B910" s="38" t="n">
        <v>45960.3763657407</v>
      </c>
      <c r="C910" s="37" t="s">
        <v>1201</v>
      </c>
      <c r="D910" s="37" t="s">
        <v>1372</v>
      </c>
      <c r="E910" s="37" t="s">
        <v>1373</v>
      </c>
      <c r="F910" s="37" t="s">
        <v>537</v>
      </c>
      <c r="G910" s="37"/>
      <c r="H910" s="37" t="s">
        <v>63</v>
      </c>
      <c r="I910" s="37"/>
      <c r="J910" s="37" t="s">
        <v>296</v>
      </c>
      <c r="K910" s="37" t="s">
        <v>1202</v>
      </c>
      <c r="L910" s="39" t="n">
        <v>1</v>
      </c>
      <c r="M910" s="39" t="n">
        <v>1</v>
      </c>
      <c r="N910" s="39" t="n">
        <v>1</v>
      </c>
      <c r="O910" s="39" t="n">
        <v>0</v>
      </c>
      <c r="P910" s="39" t="n">
        <v>0</v>
      </c>
      <c r="Q910" s="39" t="n">
        <v>0</v>
      </c>
      <c r="R910" s="39" t="n">
        <v>0</v>
      </c>
      <c r="S910" s="39" t="n">
        <v>0</v>
      </c>
      <c r="T910" s="40" t="n">
        <f aca="false">IF(M910=0,0,N910/M910)</f>
        <v>1</v>
      </c>
      <c r="U910" s="40" t="n">
        <f aca="false">IF(M910=0,0,O910/M910)</f>
        <v>0</v>
      </c>
      <c r="V910" s="41" t="n">
        <f aca="false">IF(M910=0,0,P910/M910)</f>
        <v>0</v>
      </c>
      <c r="W910" s="40" t="n">
        <f aca="false">IF(L910=0,0,Q910/L910)</f>
        <v>0</v>
      </c>
    </row>
    <row r="911" customFormat="false" ht="15" hidden="false" customHeight="false" outlineLevel="0" collapsed="false">
      <c r="A911" s="37" t="s">
        <v>2236</v>
      </c>
      <c r="B911" s="38" t="n">
        <v>45960.1084953704</v>
      </c>
      <c r="C911" s="37" t="s">
        <v>1201</v>
      </c>
      <c r="D911" s="37" t="s">
        <v>127</v>
      </c>
      <c r="E911" s="37" t="s">
        <v>128</v>
      </c>
      <c r="F911" s="37" t="s">
        <v>127</v>
      </c>
      <c r="G911" s="37"/>
      <c r="H911" s="37" t="s">
        <v>60</v>
      </c>
      <c r="I911" s="37"/>
      <c r="J911" s="37" t="s">
        <v>126</v>
      </c>
      <c r="K911" s="37" t="s">
        <v>1202</v>
      </c>
      <c r="L911" s="39" t="n">
        <v>996</v>
      </c>
      <c r="M911" s="39" t="n">
        <v>996</v>
      </c>
      <c r="N911" s="39" t="n">
        <v>454</v>
      </c>
      <c r="O911" s="39" t="n">
        <v>146</v>
      </c>
      <c r="P911" s="39" t="n">
        <v>3</v>
      </c>
      <c r="Q911" s="39" t="n">
        <v>0</v>
      </c>
      <c r="R911" s="39" t="n">
        <v>0</v>
      </c>
      <c r="S911" s="39" t="n">
        <v>0</v>
      </c>
      <c r="T911" s="40" t="n">
        <f aca="false">IF(M911=0,0,N911/M911)</f>
        <v>0.455823293172691</v>
      </c>
      <c r="U911" s="40" t="n">
        <f aca="false">IF(M911=0,0,O911/M911)</f>
        <v>0.146586345381526</v>
      </c>
      <c r="V911" s="41" t="n">
        <f aca="false">IF(M911=0,0,P911/M911)</f>
        <v>0.00301204819277108</v>
      </c>
      <c r="W911" s="40" t="n">
        <f aca="false">IF(L911=0,0,Q911/L911)</f>
        <v>0</v>
      </c>
    </row>
    <row r="912" customFormat="false" ht="15" hidden="false" customHeight="false" outlineLevel="0" collapsed="false">
      <c r="A912" s="37" t="s">
        <v>2237</v>
      </c>
      <c r="B912" s="38" t="n">
        <v>45960.0523842593</v>
      </c>
      <c r="C912" s="37" t="s">
        <v>1201</v>
      </c>
      <c r="D912" s="37" t="s">
        <v>1372</v>
      </c>
      <c r="E912" s="37" t="s">
        <v>1373</v>
      </c>
      <c r="F912" s="37" t="s">
        <v>537</v>
      </c>
      <c r="G912" s="37"/>
      <c r="H912" s="37" t="s">
        <v>63</v>
      </c>
      <c r="I912" s="37"/>
      <c r="J912" s="37" t="s">
        <v>296</v>
      </c>
      <c r="K912" s="37" t="s">
        <v>1202</v>
      </c>
      <c r="L912" s="39" t="n">
        <v>2</v>
      </c>
      <c r="M912" s="39" t="n">
        <v>2</v>
      </c>
      <c r="N912" s="39" t="n">
        <v>2</v>
      </c>
      <c r="O912" s="39" t="n">
        <v>0</v>
      </c>
      <c r="P912" s="39" t="n">
        <v>0</v>
      </c>
      <c r="Q912" s="39" t="n">
        <v>0</v>
      </c>
      <c r="R912" s="39" t="n">
        <v>0</v>
      </c>
      <c r="S912" s="39" t="n">
        <v>0</v>
      </c>
      <c r="T912" s="40" t="n">
        <f aca="false">IF(M912=0,0,N912/M912)</f>
        <v>1</v>
      </c>
      <c r="U912" s="40" t="n">
        <f aca="false">IF(M912=0,0,O912/M912)</f>
        <v>0</v>
      </c>
      <c r="V912" s="41" t="n">
        <f aca="false">IF(M912=0,0,P912/M912)</f>
        <v>0</v>
      </c>
      <c r="W912" s="40" t="n">
        <f aca="false">IF(L912=0,0,Q912/L912)</f>
        <v>0</v>
      </c>
    </row>
    <row r="913" customFormat="false" ht="15" hidden="false" customHeight="false" outlineLevel="0" collapsed="false">
      <c r="A913" s="37" t="s">
        <v>2238</v>
      </c>
      <c r="B913" s="38" t="n">
        <v>45960.0003819445</v>
      </c>
      <c r="C913" s="37" t="s">
        <v>1201</v>
      </c>
      <c r="D913" s="37" t="s">
        <v>152</v>
      </c>
      <c r="E913" s="37" t="s">
        <v>1344</v>
      </c>
      <c r="F913" s="37" t="s">
        <v>152</v>
      </c>
      <c r="G913" s="37"/>
      <c r="H913" s="37" t="s">
        <v>61</v>
      </c>
      <c r="I913" s="37"/>
      <c r="J913" s="37" t="s">
        <v>151</v>
      </c>
      <c r="K913" s="37" t="s">
        <v>1202</v>
      </c>
      <c r="L913" s="39" t="n">
        <v>988</v>
      </c>
      <c r="M913" s="39" t="n">
        <v>986</v>
      </c>
      <c r="N913" s="39" t="n">
        <v>480</v>
      </c>
      <c r="O913" s="39" t="n">
        <v>21</v>
      </c>
      <c r="P913" s="39" t="n">
        <v>6</v>
      </c>
      <c r="Q913" s="39" t="n">
        <v>2</v>
      </c>
      <c r="R913" s="39" t="n">
        <v>2</v>
      </c>
      <c r="S913" s="39" t="n">
        <v>0</v>
      </c>
      <c r="T913" s="40" t="n">
        <f aca="false">IF(M913=0,0,N913/M913)</f>
        <v>0.486815415821501</v>
      </c>
      <c r="U913" s="40" t="n">
        <f aca="false">IF(M913=0,0,O913/M913)</f>
        <v>0.0212981744421907</v>
      </c>
      <c r="V913" s="41" t="n">
        <f aca="false">IF(M913=0,0,P913/M913)</f>
        <v>0.00608519269776876</v>
      </c>
      <c r="W913" s="40" t="n">
        <f aca="false">IF(L913=0,0,Q913/L913)</f>
        <v>0.00202429149797571</v>
      </c>
    </row>
    <row r="914" customFormat="false" ht="15" hidden="false" customHeight="false" outlineLevel="0" collapsed="false">
      <c r="A914" s="37" t="s">
        <v>2239</v>
      </c>
      <c r="B914" s="38" t="n">
        <v>45959.9621180556</v>
      </c>
      <c r="C914" s="37" t="s">
        <v>1201</v>
      </c>
      <c r="D914" s="37" t="s">
        <v>1527</v>
      </c>
      <c r="E914" s="37" t="s">
        <v>1527</v>
      </c>
      <c r="F914" s="37" t="s">
        <v>544</v>
      </c>
      <c r="G914" s="37"/>
      <c r="H914" s="37" t="s">
        <v>60</v>
      </c>
      <c r="I914" s="37"/>
      <c r="J914" s="37" t="s">
        <v>364</v>
      </c>
      <c r="K914" s="37" t="s">
        <v>1213</v>
      </c>
      <c r="L914" s="39" t="n">
        <v>859</v>
      </c>
      <c r="M914" s="39" t="n">
        <v>853</v>
      </c>
      <c r="N914" s="39" t="n">
        <v>387</v>
      </c>
      <c r="O914" s="39" t="n">
        <v>15</v>
      </c>
      <c r="P914" s="39" t="n">
        <v>18</v>
      </c>
      <c r="Q914" s="39" t="n">
        <v>6</v>
      </c>
      <c r="R914" s="39" t="n">
        <v>3</v>
      </c>
      <c r="S914" s="39" t="n">
        <v>0</v>
      </c>
      <c r="T914" s="40" t="n">
        <f aca="false">IF(M914=0,0,N914/M914)</f>
        <v>0.45369284876905</v>
      </c>
      <c r="U914" s="40" t="n">
        <f aca="false">IF(M914=0,0,O914/M914)</f>
        <v>0.0175849941383353</v>
      </c>
      <c r="V914" s="41" t="n">
        <f aca="false">IF(M914=0,0,P914/M914)</f>
        <v>0.0211019929660023</v>
      </c>
      <c r="W914" s="40" t="n">
        <f aca="false">IF(L914=0,0,Q914/L914)</f>
        <v>0.0069848661233993</v>
      </c>
    </row>
    <row r="915" customFormat="false" ht="15" hidden="false" customHeight="false" outlineLevel="0" collapsed="false">
      <c r="A915" s="37" t="s">
        <v>2240</v>
      </c>
      <c r="B915" s="38" t="n">
        <v>45959.8353935185</v>
      </c>
      <c r="C915" s="37" t="s">
        <v>1201</v>
      </c>
      <c r="D915" s="37" t="s">
        <v>1211</v>
      </c>
      <c r="E915" s="37" t="s">
        <v>1212</v>
      </c>
      <c r="F915" s="37" t="s">
        <v>544</v>
      </c>
      <c r="G915" s="37"/>
      <c r="H915" s="37" t="s">
        <v>67</v>
      </c>
      <c r="I915" s="37"/>
      <c r="J915" s="37" t="s">
        <v>100</v>
      </c>
      <c r="K915" s="37" t="s">
        <v>1213</v>
      </c>
      <c r="L915" s="39" t="n">
        <v>167</v>
      </c>
      <c r="M915" s="39" t="n">
        <v>167</v>
      </c>
      <c r="N915" s="39" t="n">
        <v>113</v>
      </c>
      <c r="O915" s="39" t="n">
        <v>0</v>
      </c>
      <c r="P915" s="39" t="n">
        <v>0</v>
      </c>
      <c r="Q915" s="39" t="n">
        <v>0</v>
      </c>
      <c r="R915" s="39" t="n">
        <v>0</v>
      </c>
      <c r="S915" s="39" t="n">
        <v>0</v>
      </c>
      <c r="T915" s="40" t="n">
        <f aca="false">IF(M915=0,0,N915/M915)</f>
        <v>0.676646706586826</v>
      </c>
      <c r="U915" s="40" t="n">
        <f aca="false">IF(M915=0,0,O915/M915)</f>
        <v>0</v>
      </c>
      <c r="V915" s="41" t="n">
        <f aca="false">IF(M915=0,0,P915/M915)</f>
        <v>0</v>
      </c>
      <c r="W915" s="40" t="n">
        <f aca="false">IF(L915=0,0,Q915/L915)</f>
        <v>0</v>
      </c>
    </row>
    <row r="916" customFormat="false" ht="15" hidden="false" customHeight="false" outlineLevel="0" collapsed="false">
      <c r="A916" s="37" t="s">
        <v>2241</v>
      </c>
      <c r="B916" s="38" t="n">
        <v>45959.500150463</v>
      </c>
      <c r="C916" s="37" t="s">
        <v>1252</v>
      </c>
      <c r="D916" s="37" t="s">
        <v>1242</v>
      </c>
      <c r="E916" s="37" t="s">
        <v>193</v>
      </c>
      <c r="F916" s="37" t="s">
        <v>555</v>
      </c>
      <c r="G916" s="37" t="s">
        <v>1135</v>
      </c>
      <c r="H916" s="37" t="s">
        <v>65</v>
      </c>
      <c r="I916" s="37"/>
      <c r="J916" s="37" t="s">
        <v>191</v>
      </c>
      <c r="K916" s="37" t="s">
        <v>1202</v>
      </c>
      <c r="L916" s="39" t="n">
        <v>6373</v>
      </c>
      <c r="M916" s="39" t="n">
        <v>6328</v>
      </c>
      <c r="N916" s="39" t="n">
        <v>1982</v>
      </c>
      <c r="O916" s="39" t="n">
        <v>109</v>
      </c>
      <c r="P916" s="39" t="n">
        <v>32</v>
      </c>
      <c r="Q916" s="39" t="n">
        <v>45</v>
      </c>
      <c r="R916" s="39" t="n">
        <v>10</v>
      </c>
      <c r="S916" s="39" t="n">
        <v>1</v>
      </c>
      <c r="T916" s="40" t="n">
        <f aca="false">IF(M916=0,0,N916/M916)</f>
        <v>0.313211125158028</v>
      </c>
      <c r="U916" s="40" t="n">
        <f aca="false">IF(M916=0,0,O916/M916)</f>
        <v>0.0172250316055626</v>
      </c>
      <c r="V916" s="41" t="n">
        <f aca="false">IF(M916=0,0,P916/M916)</f>
        <v>0.00505689001264223</v>
      </c>
      <c r="W916" s="40" t="n">
        <f aca="false">IF(L916=0,0,Q916/L916)</f>
        <v>0.00706103875725718</v>
      </c>
    </row>
    <row r="917" customFormat="false" ht="15" hidden="false" customHeight="false" outlineLevel="0" collapsed="false">
      <c r="A917" s="37" t="s">
        <v>2242</v>
      </c>
      <c r="B917" s="38" t="n">
        <v>45959.4307638889</v>
      </c>
      <c r="C917" s="37" t="s">
        <v>1201</v>
      </c>
      <c r="D917" s="37" t="s">
        <v>1211</v>
      </c>
      <c r="E917" s="37" t="s">
        <v>1212</v>
      </c>
      <c r="F917" s="37" t="s">
        <v>544</v>
      </c>
      <c r="G917" s="37"/>
      <c r="H917" s="37" t="s">
        <v>60</v>
      </c>
      <c r="I917" s="37"/>
      <c r="J917" s="37" t="s">
        <v>100</v>
      </c>
      <c r="K917" s="37" t="s">
        <v>1213</v>
      </c>
      <c r="L917" s="39" t="n">
        <v>168</v>
      </c>
      <c r="M917" s="39" t="n">
        <v>168</v>
      </c>
      <c r="N917" s="39" t="n">
        <v>95</v>
      </c>
      <c r="O917" s="39" t="n">
        <v>0</v>
      </c>
      <c r="P917" s="39" t="n">
        <v>0</v>
      </c>
      <c r="Q917" s="39" t="n">
        <v>0</v>
      </c>
      <c r="R917" s="39" t="n">
        <v>0</v>
      </c>
      <c r="S917" s="39" t="n">
        <v>0</v>
      </c>
      <c r="T917" s="40" t="n">
        <f aca="false">IF(M917=0,0,N917/M917)</f>
        <v>0.565476190476191</v>
      </c>
      <c r="U917" s="40" t="n">
        <f aca="false">IF(M917=0,0,O917/M917)</f>
        <v>0</v>
      </c>
      <c r="V917" s="41" t="n">
        <f aca="false">IF(M917=0,0,P917/M917)</f>
        <v>0</v>
      </c>
      <c r="W917" s="40" t="n">
        <f aca="false">IF(L917=0,0,Q917/L917)</f>
        <v>0</v>
      </c>
    </row>
    <row r="918" customFormat="false" ht="15" hidden="false" customHeight="false" outlineLevel="0" collapsed="false">
      <c r="A918" s="37" t="s">
        <v>2243</v>
      </c>
      <c r="B918" s="38" t="n">
        <v>45959.3753009259</v>
      </c>
      <c r="C918" s="37" t="s">
        <v>1201</v>
      </c>
      <c r="D918" s="37" t="s">
        <v>1372</v>
      </c>
      <c r="E918" s="37" t="s">
        <v>1373</v>
      </c>
      <c r="F918" s="37" t="s">
        <v>537</v>
      </c>
      <c r="G918" s="37"/>
      <c r="H918" s="37" t="s">
        <v>63</v>
      </c>
      <c r="I918" s="37"/>
      <c r="J918" s="37" t="s">
        <v>296</v>
      </c>
      <c r="K918" s="37" t="s">
        <v>1202</v>
      </c>
      <c r="L918" s="39" t="n">
        <v>2</v>
      </c>
      <c r="M918" s="39" t="n">
        <v>2</v>
      </c>
      <c r="N918" s="39" t="n">
        <v>2</v>
      </c>
      <c r="O918" s="39" t="n">
        <v>0</v>
      </c>
      <c r="P918" s="39" t="n">
        <v>0</v>
      </c>
      <c r="Q918" s="39" t="n">
        <v>0</v>
      </c>
      <c r="R918" s="39" t="n">
        <v>0</v>
      </c>
      <c r="S918" s="39" t="n">
        <v>0</v>
      </c>
      <c r="T918" s="40" t="n">
        <f aca="false">IF(M918=0,0,N918/M918)</f>
        <v>1</v>
      </c>
      <c r="U918" s="40" t="n">
        <f aca="false">IF(M918=0,0,O918/M918)</f>
        <v>0</v>
      </c>
      <c r="V918" s="41" t="n">
        <f aca="false">IF(M918=0,0,P918/M918)</f>
        <v>0</v>
      </c>
      <c r="W918" s="40" t="n">
        <f aca="false">IF(L918=0,0,Q918/L918)</f>
        <v>0</v>
      </c>
    </row>
    <row r="919" customFormat="false" ht="15" hidden="false" customHeight="false" outlineLevel="0" collapsed="false">
      <c r="A919" s="37" t="s">
        <v>2244</v>
      </c>
      <c r="B919" s="38" t="n">
        <v>45959.305775463</v>
      </c>
      <c r="C919" s="37" t="s">
        <v>1201</v>
      </c>
      <c r="D919" s="37" t="s">
        <v>1372</v>
      </c>
      <c r="E919" s="37" t="s">
        <v>1373</v>
      </c>
      <c r="F919" s="37" t="s">
        <v>537</v>
      </c>
      <c r="G919" s="37"/>
      <c r="H919" s="37" t="s">
        <v>63</v>
      </c>
      <c r="I919" s="37"/>
      <c r="J919" s="37" t="s">
        <v>296</v>
      </c>
      <c r="K919" s="37" t="s">
        <v>1202</v>
      </c>
      <c r="L919" s="39" t="n">
        <v>2</v>
      </c>
      <c r="M919" s="39" t="n">
        <v>2</v>
      </c>
      <c r="N919" s="39" t="n">
        <v>2</v>
      </c>
      <c r="O919" s="39" t="n">
        <v>0</v>
      </c>
      <c r="P919" s="39" t="n">
        <v>0</v>
      </c>
      <c r="Q919" s="39" t="n">
        <v>0</v>
      </c>
      <c r="R919" s="39" t="n">
        <v>0</v>
      </c>
      <c r="S919" s="39" t="n">
        <v>0</v>
      </c>
      <c r="T919" s="40" t="n">
        <f aca="false">IF(M919=0,0,N919/M919)</f>
        <v>1</v>
      </c>
      <c r="U919" s="40" t="n">
        <f aca="false">IF(M919=0,0,O919/M919)</f>
        <v>0</v>
      </c>
      <c r="V919" s="41" t="n">
        <f aca="false">IF(M919=0,0,P919/M919)</f>
        <v>0</v>
      </c>
      <c r="W919" s="40" t="n">
        <f aca="false">IF(L919=0,0,Q919/L919)</f>
        <v>0</v>
      </c>
    </row>
    <row r="920" customFormat="false" ht="15" hidden="false" customHeight="false" outlineLevel="0" collapsed="false">
      <c r="A920" s="37" t="s">
        <v>2245</v>
      </c>
      <c r="B920" s="38" t="n">
        <v>45959.2527546296</v>
      </c>
      <c r="C920" s="37" t="s">
        <v>1201</v>
      </c>
      <c r="D920" s="37" t="s">
        <v>2014</v>
      </c>
      <c r="E920" s="37" t="s">
        <v>2015</v>
      </c>
      <c r="F920" s="37" t="s">
        <v>650</v>
      </c>
      <c r="G920" s="37"/>
      <c r="H920" s="37" t="s">
        <v>60</v>
      </c>
      <c r="I920" s="37"/>
      <c r="J920" s="37" t="s">
        <v>382</v>
      </c>
      <c r="K920" s="37" t="s">
        <v>1202</v>
      </c>
      <c r="L920" s="39" t="n">
        <v>675</v>
      </c>
      <c r="M920" s="39" t="n">
        <v>675</v>
      </c>
      <c r="N920" s="39" t="n">
        <v>227</v>
      </c>
      <c r="O920" s="39" t="n">
        <v>10</v>
      </c>
      <c r="P920" s="39" t="n">
        <v>3</v>
      </c>
      <c r="Q920" s="39" t="n">
        <v>0</v>
      </c>
      <c r="R920" s="39" t="n">
        <v>0</v>
      </c>
      <c r="S920" s="39" t="n">
        <v>0</v>
      </c>
      <c r="T920" s="40" t="n">
        <f aca="false">IF(M920=0,0,N920/M920)</f>
        <v>0.336296296296296</v>
      </c>
      <c r="U920" s="40" t="n">
        <f aca="false">IF(M920=0,0,O920/M920)</f>
        <v>0.0148148148148148</v>
      </c>
      <c r="V920" s="41" t="n">
        <f aca="false">IF(M920=0,0,P920/M920)</f>
        <v>0.00444444444444444</v>
      </c>
      <c r="W920" s="40" t="n">
        <f aca="false">IF(L920=0,0,Q920/L920)</f>
        <v>0</v>
      </c>
    </row>
    <row r="921" customFormat="false" ht="15" hidden="false" customHeight="false" outlineLevel="0" collapsed="false">
      <c r="A921" s="37" t="s">
        <v>2246</v>
      </c>
      <c r="B921" s="38" t="n">
        <v>45959.1390856481</v>
      </c>
      <c r="C921" s="37" t="s">
        <v>1241</v>
      </c>
      <c r="D921" s="37" t="s">
        <v>1242</v>
      </c>
      <c r="E921" s="37" t="s">
        <v>1115</v>
      </c>
      <c r="F921" s="37" t="s">
        <v>555</v>
      </c>
      <c r="G921" s="37"/>
      <c r="H921" s="37" t="s">
        <v>65</v>
      </c>
      <c r="I921" s="37"/>
      <c r="J921" s="37" t="s">
        <v>354</v>
      </c>
      <c r="K921" s="37" t="s">
        <v>1202</v>
      </c>
      <c r="L921" s="39" t="n">
        <v>1576</v>
      </c>
      <c r="M921" s="39" t="n">
        <v>1548</v>
      </c>
      <c r="N921" s="39" t="n">
        <v>474</v>
      </c>
      <c r="O921" s="39" t="n">
        <v>169</v>
      </c>
      <c r="P921" s="39" t="n">
        <v>15</v>
      </c>
      <c r="Q921" s="39" t="n">
        <v>28</v>
      </c>
      <c r="R921" s="39" t="n">
        <v>25</v>
      </c>
      <c r="S921" s="39" t="n">
        <v>1</v>
      </c>
      <c r="T921" s="40" t="n">
        <f aca="false">IF(M921=0,0,N921/M921)</f>
        <v>0.306201550387597</v>
      </c>
      <c r="U921" s="40" t="n">
        <f aca="false">IF(M921=0,0,O921/M921)</f>
        <v>0.109173126614987</v>
      </c>
      <c r="V921" s="41" t="n">
        <f aca="false">IF(M921=0,0,P921/M921)</f>
        <v>0.00968992248062016</v>
      </c>
      <c r="W921" s="40" t="n">
        <f aca="false">IF(L921=0,0,Q921/L921)</f>
        <v>0.0177664974619289</v>
      </c>
    </row>
    <row r="922" customFormat="false" ht="15" hidden="false" customHeight="false" outlineLevel="0" collapsed="false">
      <c r="A922" s="37" t="s">
        <v>2247</v>
      </c>
      <c r="B922" s="38" t="n">
        <v>45959.0032291667</v>
      </c>
      <c r="C922" s="37" t="s">
        <v>1241</v>
      </c>
      <c r="D922" s="37" t="s">
        <v>1242</v>
      </c>
      <c r="E922" s="37" t="s">
        <v>1250</v>
      </c>
      <c r="F922" s="37" t="s">
        <v>555</v>
      </c>
      <c r="G922" s="37"/>
      <c r="H922" s="37" t="s">
        <v>65</v>
      </c>
      <c r="I922" s="37"/>
      <c r="J922" s="37" t="s">
        <v>354</v>
      </c>
      <c r="K922" s="37" t="s">
        <v>1202</v>
      </c>
      <c r="L922" s="39" t="n">
        <v>1208</v>
      </c>
      <c r="M922" s="39" t="n">
        <v>1187</v>
      </c>
      <c r="N922" s="39" t="n">
        <v>329</v>
      </c>
      <c r="O922" s="39" t="n">
        <v>115</v>
      </c>
      <c r="P922" s="39" t="n">
        <v>15</v>
      </c>
      <c r="Q922" s="39" t="n">
        <v>21</v>
      </c>
      <c r="R922" s="39" t="n">
        <v>21</v>
      </c>
      <c r="S922" s="39" t="n">
        <v>0</v>
      </c>
      <c r="T922" s="40" t="n">
        <f aca="false">IF(M922=0,0,N922/M922)</f>
        <v>0.277169334456613</v>
      </c>
      <c r="U922" s="40" t="n">
        <f aca="false">IF(M922=0,0,O922/M922)</f>
        <v>0.096882898062342</v>
      </c>
      <c r="V922" s="41" t="n">
        <f aca="false">IF(M922=0,0,P922/M922)</f>
        <v>0.012636899747262</v>
      </c>
      <c r="W922" s="40" t="n">
        <f aca="false">IF(L922=0,0,Q922/L922)</f>
        <v>0.0173841059602649</v>
      </c>
    </row>
    <row r="923" customFormat="false" ht="15" hidden="false" customHeight="false" outlineLevel="0" collapsed="false">
      <c r="A923" s="37" t="s">
        <v>2248</v>
      </c>
      <c r="B923" s="38" t="n">
        <v>45958.8444328704</v>
      </c>
      <c r="C923" s="37" t="s">
        <v>1201</v>
      </c>
      <c r="D923" s="37" t="s">
        <v>1372</v>
      </c>
      <c r="E923" s="37" t="s">
        <v>1373</v>
      </c>
      <c r="F923" s="37" t="s">
        <v>537</v>
      </c>
      <c r="G923" s="37"/>
      <c r="H923" s="37" t="s">
        <v>64</v>
      </c>
      <c r="I923" s="37"/>
      <c r="J923" s="37" t="s">
        <v>296</v>
      </c>
      <c r="K923" s="37" t="s">
        <v>1202</v>
      </c>
      <c r="L923" s="39" t="n">
        <v>2</v>
      </c>
      <c r="M923" s="39" t="n">
        <v>2</v>
      </c>
      <c r="N923" s="39" t="n">
        <v>2</v>
      </c>
      <c r="O923" s="39" t="n">
        <v>0</v>
      </c>
      <c r="P923" s="39" t="n">
        <v>0</v>
      </c>
      <c r="Q923" s="39" t="n">
        <v>0</v>
      </c>
      <c r="R923" s="39" t="n">
        <v>0</v>
      </c>
      <c r="S923" s="39" t="n">
        <v>0</v>
      </c>
      <c r="T923" s="40" t="n">
        <f aca="false">IF(M923=0,0,N923/M923)</f>
        <v>1</v>
      </c>
      <c r="U923" s="40" t="n">
        <f aca="false">IF(M923=0,0,O923/M923)</f>
        <v>0</v>
      </c>
      <c r="V923" s="41" t="n">
        <f aca="false">IF(M923=0,0,P923/M923)</f>
        <v>0</v>
      </c>
      <c r="W923" s="40" t="n">
        <f aca="false">IF(L923=0,0,Q923/L923)</f>
        <v>0</v>
      </c>
    </row>
    <row r="924" customFormat="false" ht="15" hidden="false" customHeight="false" outlineLevel="0" collapsed="false">
      <c r="A924" s="37" t="s">
        <v>2249</v>
      </c>
      <c r="B924" s="38" t="n">
        <v>45958.8321990741</v>
      </c>
      <c r="C924" s="37" t="s">
        <v>1201</v>
      </c>
      <c r="D924" s="37" t="s">
        <v>1211</v>
      </c>
      <c r="E924" s="37" t="s">
        <v>1212</v>
      </c>
      <c r="F924" s="37" t="s">
        <v>544</v>
      </c>
      <c r="G924" s="37"/>
      <c r="H924" s="37" t="s">
        <v>60</v>
      </c>
      <c r="I924" s="37"/>
      <c r="J924" s="37" t="s">
        <v>100</v>
      </c>
      <c r="K924" s="37" t="s">
        <v>1213</v>
      </c>
      <c r="L924" s="39" t="n">
        <v>167</v>
      </c>
      <c r="M924" s="39" t="n">
        <v>166</v>
      </c>
      <c r="N924" s="39" t="n">
        <v>109</v>
      </c>
      <c r="O924" s="39" t="n">
        <v>9</v>
      </c>
      <c r="P924" s="39" t="n">
        <v>0</v>
      </c>
      <c r="Q924" s="39" t="n">
        <v>1</v>
      </c>
      <c r="R924" s="39" t="n">
        <v>1</v>
      </c>
      <c r="S924" s="39" t="n">
        <v>0</v>
      </c>
      <c r="T924" s="40" t="n">
        <f aca="false">IF(M924=0,0,N924/M924)</f>
        <v>0.656626506024096</v>
      </c>
      <c r="U924" s="40" t="n">
        <f aca="false">IF(M924=0,0,O924/M924)</f>
        <v>0.0542168674698795</v>
      </c>
      <c r="V924" s="41" t="n">
        <f aca="false">IF(M924=0,0,P924/M924)</f>
        <v>0</v>
      </c>
      <c r="W924" s="40" t="n">
        <f aca="false">IF(L924=0,0,Q924/L924)</f>
        <v>0.00598802395209581</v>
      </c>
    </row>
    <row r="925" customFormat="false" ht="15" hidden="false" customHeight="false" outlineLevel="0" collapsed="false">
      <c r="A925" s="37" t="s">
        <v>2250</v>
      </c>
      <c r="B925" s="38" t="n">
        <v>45958.5910300926</v>
      </c>
      <c r="C925" s="37" t="s">
        <v>1201</v>
      </c>
      <c r="D925" s="37" t="s">
        <v>1453</v>
      </c>
      <c r="E925" s="37" t="s">
        <v>1757</v>
      </c>
      <c r="F925" s="37" t="s">
        <v>544</v>
      </c>
      <c r="G925" s="37"/>
      <c r="H925" s="37" t="s">
        <v>60</v>
      </c>
      <c r="I925" s="37"/>
      <c r="J925" s="37" t="s">
        <v>100</v>
      </c>
      <c r="K925" s="37" t="s">
        <v>1202</v>
      </c>
      <c r="L925" s="39" t="n">
        <v>1686</v>
      </c>
      <c r="M925" s="39" t="n">
        <v>1679</v>
      </c>
      <c r="N925" s="39" t="n">
        <v>693</v>
      </c>
      <c r="O925" s="39" t="n">
        <v>110</v>
      </c>
      <c r="P925" s="39" t="n">
        <v>6</v>
      </c>
      <c r="Q925" s="39" t="n">
        <v>7</v>
      </c>
      <c r="R925" s="39" t="n">
        <v>1</v>
      </c>
      <c r="S925" s="39" t="n">
        <v>0</v>
      </c>
      <c r="T925" s="40" t="n">
        <f aca="false">IF(M925=0,0,N925/M925)</f>
        <v>0.412745681953544</v>
      </c>
      <c r="U925" s="40" t="n">
        <f aca="false">IF(M925=0,0,O925/M925)</f>
        <v>0.0655151876116736</v>
      </c>
      <c r="V925" s="41" t="n">
        <f aca="false">IF(M925=0,0,P925/M925)</f>
        <v>0.00357355568790947</v>
      </c>
      <c r="W925" s="40" t="n">
        <f aca="false">IF(L925=0,0,Q925/L925)</f>
        <v>0.00415183867141163</v>
      </c>
    </row>
    <row r="926" customFormat="false" ht="15" hidden="false" customHeight="false" outlineLevel="0" collapsed="false">
      <c r="A926" s="37" t="s">
        <v>2251</v>
      </c>
      <c r="B926" s="38" t="n">
        <v>45958.3857060185</v>
      </c>
      <c r="C926" s="37" t="s">
        <v>1201</v>
      </c>
      <c r="D926" s="37" t="s">
        <v>656</v>
      </c>
      <c r="E926" s="37" t="s">
        <v>1546</v>
      </c>
      <c r="F926" s="37" t="s">
        <v>544</v>
      </c>
      <c r="G926" s="37"/>
      <c r="H926" s="37" t="s">
        <v>60</v>
      </c>
      <c r="I926" s="37"/>
      <c r="J926" s="37" t="s">
        <v>399</v>
      </c>
      <c r="K926" s="37" t="s">
        <v>1202</v>
      </c>
      <c r="L926" s="39" t="n">
        <v>407</v>
      </c>
      <c r="M926" s="39" t="n">
        <v>406</v>
      </c>
      <c r="N926" s="39" t="n">
        <v>145</v>
      </c>
      <c r="O926" s="39" t="n">
        <v>19</v>
      </c>
      <c r="P926" s="39" t="n">
        <v>4</v>
      </c>
      <c r="Q926" s="39" t="n">
        <v>1</v>
      </c>
      <c r="R926" s="39" t="n">
        <v>0</v>
      </c>
      <c r="S926" s="39" t="n">
        <v>0</v>
      </c>
      <c r="T926" s="40" t="n">
        <f aca="false">IF(M926=0,0,N926/M926)</f>
        <v>0.357142857142857</v>
      </c>
      <c r="U926" s="40" t="n">
        <f aca="false">IF(M926=0,0,O926/M926)</f>
        <v>0.0467980295566502</v>
      </c>
      <c r="V926" s="41" t="n">
        <f aca="false">IF(M926=0,0,P926/M926)</f>
        <v>0.00985221674876847</v>
      </c>
      <c r="W926" s="40" t="n">
        <f aca="false">IF(L926=0,0,Q926/L926)</f>
        <v>0.00245700245700246</v>
      </c>
    </row>
    <row r="927" customFormat="false" ht="15" hidden="false" customHeight="false" outlineLevel="0" collapsed="false">
      <c r="A927" s="37" t="s">
        <v>2252</v>
      </c>
      <c r="B927" s="38" t="n">
        <v>45958.3228935185</v>
      </c>
      <c r="C927" s="37" t="s">
        <v>1201</v>
      </c>
      <c r="D927" s="37" t="s">
        <v>1828</v>
      </c>
      <c r="E927" s="37" t="s">
        <v>1396</v>
      </c>
      <c r="F927" s="37" t="s">
        <v>544</v>
      </c>
      <c r="G927" s="37"/>
      <c r="H927" s="37" t="s">
        <v>60</v>
      </c>
      <c r="I927" s="37"/>
      <c r="J927" s="37" t="s">
        <v>144</v>
      </c>
      <c r="K927" s="37" t="s">
        <v>1202</v>
      </c>
      <c r="L927" s="39" t="n">
        <v>147</v>
      </c>
      <c r="M927" s="39" t="n">
        <v>146</v>
      </c>
      <c r="N927" s="39" t="n">
        <v>88</v>
      </c>
      <c r="O927" s="39" t="n">
        <v>25</v>
      </c>
      <c r="P927" s="39" t="n">
        <v>1</v>
      </c>
      <c r="Q927" s="39" t="n">
        <v>1</v>
      </c>
      <c r="R927" s="39" t="n">
        <v>1</v>
      </c>
      <c r="S927" s="39" t="n">
        <v>0</v>
      </c>
      <c r="T927" s="40" t="n">
        <f aca="false">IF(M927=0,0,N927/M927)</f>
        <v>0.602739726027397</v>
      </c>
      <c r="U927" s="40" t="n">
        <f aca="false">IF(M927=0,0,O927/M927)</f>
        <v>0.171232876712329</v>
      </c>
      <c r="V927" s="41" t="n">
        <f aca="false">IF(M927=0,0,P927/M927)</f>
        <v>0.00684931506849315</v>
      </c>
      <c r="W927" s="40" t="n">
        <f aca="false">IF(L927=0,0,Q927/L927)</f>
        <v>0.00680272108843537</v>
      </c>
    </row>
    <row r="928" customFormat="false" ht="15" hidden="false" customHeight="false" outlineLevel="0" collapsed="false">
      <c r="A928" s="37" t="s">
        <v>2253</v>
      </c>
      <c r="B928" s="38" t="n">
        <v>45958.0526967593</v>
      </c>
      <c r="C928" s="37" t="s">
        <v>1201</v>
      </c>
      <c r="D928" s="37" t="s">
        <v>1372</v>
      </c>
      <c r="E928" s="37" t="s">
        <v>1373</v>
      </c>
      <c r="F928" s="37" t="s">
        <v>537</v>
      </c>
      <c r="G928" s="37"/>
      <c r="H928" s="37" t="s">
        <v>63</v>
      </c>
      <c r="I928" s="37"/>
      <c r="J928" s="37" t="s">
        <v>296</v>
      </c>
      <c r="K928" s="37" t="s">
        <v>1202</v>
      </c>
      <c r="L928" s="39" t="n">
        <v>2</v>
      </c>
      <c r="M928" s="39" t="n">
        <v>2</v>
      </c>
      <c r="N928" s="39" t="n">
        <v>2</v>
      </c>
      <c r="O928" s="39" t="n">
        <v>0</v>
      </c>
      <c r="P928" s="39" t="n">
        <v>0</v>
      </c>
      <c r="Q928" s="39" t="n">
        <v>0</v>
      </c>
      <c r="R928" s="39" t="n">
        <v>0</v>
      </c>
      <c r="S928" s="39" t="n">
        <v>0</v>
      </c>
      <c r="T928" s="40" t="n">
        <f aca="false">IF(M928=0,0,N928/M928)</f>
        <v>1</v>
      </c>
      <c r="U928" s="40" t="n">
        <f aca="false">IF(M928=0,0,O928/M928)</f>
        <v>0</v>
      </c>
      <c r="V928" s="41" t="n">
        <f aca="false">IF(M928=0,0,P928/M928)</f>
        <v>0</v>
      </c>
      <c r="W928" s="40" t="n">
        <f aca="false">IF(L928=0,0,Q928/L928)</f>
        <v>0</v>
      </c>
    </row>
    <row r="929" customFormat="false" ht="15" hidden="false" customHeight="false" outlineLevel="0" collapsed="false">
      <c r="A929" s="37" t="s">
        <v>2254</v>
      </c>
      <c r="B929" s="38" t="n">
        <v>45958.0213194444</v>
      </c>
      <c r="C929" s="37" t="s">
        <v>1201</v>
      </c>
      <c r="D929" s="37" t="s">
        <v>237</v>
      </c>
      <c r="E929" s="37" t="s">
        <v>238</v>
      </c>
      <c r="F929" s="37" t="s">
        <v>559</v>
      </c>
      <c r="G929" s="37"/>
      <c r="H929" s="37" t="s">
        <v>61</v>
      </c>
      <c r="I929" s="37" t="s">
        <v>234</v>
      </c>
      <c r="J929" s="37" t="s">
        <v>236</v>
      </c>
      <c r="K929" s="37" t="s">
        <v>1202</v>
      </c>
      <c r="L929" s="39" t="n">
        <v>4671</v>
      </c>
      <c r="M929" s="39" t="n">
        <v>4638</v>
      </c>
      <c r="N929" s="39" t="n">
        <v>1135</v>
      </c>
      <c r="O929" s="39" t="n">
        <v>154</v>
      </c>
      <c r="P929" s="39" t="n">
        <v>18</v>
      </c>
      <c r="Q929" s="39" t="n">
        <v>33</v>
      </c>
      <c r="R929" s="39" t="n">
        <v>26</v>
      </c>
      <c r="S929" s="39" t="n">
        <v>0</v>
      </c>
      <c r="T929" s="40" t="n">
        <f aca="false">IF(M929=0,0,N929/M929)</f>
        <v>0.244717550668392</v>
      </c>
      <c r="U929" s="40" t="n">
        <f aca="false">IF(M929=0,0,O929/M929)</f>
        <v>0.0332039672272531</v>
      </c>
      <c r="V929" s="41" t="n">
        <f aca="false">IF(M929=0,0,P929/M929)</f>
        <v>0.00388098318240621</v>
      </c>
      <c r="W929" s="40" t="n">
        <f aca="false">IF(L929=0,0,Q929/L929)</f>
        <v>0.00706486833654464</v>
      </c>
    </row>
    <row r="930" customFormat="false" ht="15" hidden="false" customHeight="false" outlineLevel="0" collapsed="false">
      <c r="A930" s="37" t="s">
        <v>2255</v>
      </c>
      <c r="B930" s="38" t="n">
        <v>45957.9794791667</v>
      </c>
      <c r="C930" s="37" t="s">
        <v>1201</v>
      </c>
      <c r="D930" s="37" t="s">
        <v>1372</v>
      </c>
      <c r="E930" s="37" t="s">
        <v>1373</v>
      </c>
      <c r="F930" s="37" t="s">
        <v>537</v>
      </c>
      <c r="G930" s="37"/>
      <c r="H930" s="37" t="s">
        <v>63</v>
      </c>
      <c r="I930" s="37"/>
      <c r="J930" s="37" t="s">
        <v>296</v>
      </c>
      <c r="K930" s="37" t="s">
        <v>1202</v>
      </c>
      <c r="L930" s="39" t="n">
        <v>2</v>
      </c>
      <c r="M930" s="39" t="n">
        <v>2</v>
      </c>
      <c r="N930" s="39" t="n">
        <v>2</v>
      </c>
      <c r="O930" s="39" t="n">
        <v>0</v>
      </c>
      <c r="P930" s="39" t="n">
        <v>0</v>
      </c>
      <c r="Q930" s="39" t="n">
        <v>0</v>
      </c>
      <c r="R930" s="39" t="n">
        <v>0</v>
      </c>
      <c r="S930" s="39" t="n">
        <v>0</v>
      </c>
      <c r="T930" s="40" t="n">
        <f aca="false">IF(M930=0,0,N930/M930)</f>
        <v>1</v>
      </c>
      <c r="U930" s="40" t="n">
        <f aca="false">IF(M930=0,0,O930/M930)</f>
        <v>0</v>
      </c>
      <c r="V930" s="41" t="n">
        <f aca="false">IF(M930=0,0,P930/M930)</f>
        <v>0</v>
      </c>
      <c r="W930" s="40" t="n">
        <f aca="false">IF(L930=0,0,Q930/L930)</f>
        <v>0</v>
      </c>
    </row>
    <row r="931" customFormat="false" ht="15" hidden="false" customHeight="false" outlineLevel="0" collapsed="false">
      <c r="A931" s="37" t="s">
        <v>2256</v>
      </c>
      <c r="B931" s="38" t="n">
        <v>45957.979375</v>
      </c>
      <c r="C931" s="37" t="s">
        <v>1201</v>
      </c>
      <c r="D931" s="37" t="s">
        <v>1372</v>
      </c>
      <c r="E931" s="37" t="s">
        <v>1373</v>
      </c>
      <c r="F931" s="37" t="s">
        <v>537</v>
      </c>
      <c r="G931" s="37"/>
      <c r="H931" s="37" t="s">
        <v>63</v>
      </c>
      <c r="I931" s="37"/>
      <c r="J931" s="37" t="s">
        <v>296</v>
      </c>
      <c r="K931" s="37" t="s">
        <v>1202</v>
      </c>
      <c r="L931" s="39" t="n">
        <v>2</v>
      </c>
      <c r="M931" s="39" t="n">
        <v>2</v>
      </c>
      <c r="N931" s="39" t="n">
        <v>1</v>
      </c>
      <c r="O931" s="39" t="n">
        <v>0</v>
      </c>
      <c r="P931" s="39" t="n">
        <v>0</v>
      </c>
      <c r="Q931" s="39" t="n">
        <v>0</v>
      </c>
      <c r="R931" s="39" t="n">
        <v>0</v>
      </c>
      <c r="S931" s="39" t="n">
        <v>0</v>
      </c>
      <c r="T931" s="40" t="n">
        <f aca="false">IF(M931=0,0,N931/M931)</f>
        <v>0.5</v>
      </c>
      <c r="U931" s="40" t="n">
        <f aca="false">IF(M931=0,0,O931/M931)</f>
        <v>0</v>
      </c>
      <c r="V931" s="41" t="n">
        <f aca="false">IF(M931=0,0,P931/M931)</f>
        <v>0</v>
      </c>
      <c r="W931" s="40" t="n">
        <f aca="false">IF(L931=0,0,Q931/L931)</f>
        <v>0</v>
      </c>
    </row>
    <row r="932" customFormat="false" ht="15" hidden="false" customHeight="false" outlineLevel="0" collapsed="false">
      <c r="A932" s="37" t="s">
        <v>2257</v>
      </c>
      <c r="B932" s="38" t="n">
        <v>45957.3963888889</v>
      </c>
      <c r="C932" s="37" t="s">
        <v>1201</v>
      </c>
      <c r="D932" s="37" t="s">
        <v>1372</v>
      </c>
      <c r="E932" s="37" t="s">
        <v>1373</v>
      </c>
      <c r="F932" s="37" t="s">
        <v>537</v>
      </c>
      <c r="G932" s="37"/>
      <c r="H932" s="37" t="s">
        <v>63</v>
      </c>
      <c r="I932" s="37"/>
      <c r="J932" s="37" t="s">
        <v>296</v>
      </c>
      <c r="K932" s="37" t="s">
        <v>1202</v>
      </c>
      <c r="L932" s="39" t="n">
        <v>2</v>
      </c>
      <c r="M932" s="39" t="n">
        <v>2</v>
      </c>
      <c r="N932" s="39" t="n">
        <v>2</v>
      </c>
      <c r="O932" s="39" t="n">
        <v>0</v>
      </c>
      <c r="P932" s="39" t="n">
        <v>0</v>
      </c>
      <c r="Q932" s="39" t="n">
        <v>0</v>
      </c>
      <c r="R932" s="39" t="n">
        <v>0</v>
      </c>
      <c r="S932" s="39" t="n">
        <v>0</v>
      </c>
      <c r="T932" s="40" t="n">
        <f aca="false">IF(M932=0,0,N932/M932)</f>
        <v>1</v>
      </c>
      <c r="U932" s="40" t="n">
        <f aca="false">IF(M932=0,0,O932/M932)</f>
        <v>0</v>
      </c>
      <c r="V932" s="41" t="n">
        <f aca="false">IF(M932=0,0,P932/M932)</f>
        <v>0</v>
      </c>
      <c r="W932" s="40" t="n">
        <f aca="false">IF(L932=0,0,Q932/L932)</f>
        <v>0</v>
      </c>
    </row>
    <row r="933" customFormat="false" ht="15" hidden="false" customHeight="false" outlineLevel="0" collapsed="false">
      <c r="A933" s="37" t="s">
        <v>2258</v>
      </c>
      <c r="B933" s="38" t="n">
        <v>45957.3750810185</v>
      </c>
      <c r="C933" s="37" t="s">
        <v>1201</v>
      </c>
      <c r="D933" s="37" t="s">
        <v>1372</v>
      </c>
      <c r="E933" s="37" t="s">
        <v>1373</v>
      </c>
      <c r="F933" s="37" t="s">
        <v>537</v>
      </c>
      <c r="G933" s="37"/>
      <c r="H933" s="37" t="s">
        <v>63</v>
      </c>
      <c r="I933" s="37"/>
      <c r="J933" s="37" t="s">
        <v>296</v>
      </c>
      <c r="K933" s="37" t="s">
        <v>1202</v>
      </c>
      <c r="L933" s="39" t="n">
        <v>2</v>
      </c>
      <c r="M933" s="39" t="n">
        <v>2</v>
      </c>
      <c r="N933" s="39" t="n">
        <v>2</v>
      </c>
      <c r="O933" s="39" t="n">
        <v>0</v>
      </c>
      <c r="P933" s="39" t="n">
        <v>0</v>
      </c>
      <c r="Q933" s="39" t="n">
        <v>0</v>
      </c>
      <c r="R933" s="39" t="n">
        <v>0</v>
      </c>
      <c r="S933" s="39" t="n">
        <v>0</v>
      </c>
      <c r="T933" s="40" t="n">
        <f aca="false">IF(M933=0,0,N933/M933)</f>
        <v>1</v>
      </c>
      <c r="U933" s="40" t="n">
        <f aca="false">IF(M933=0,0,O933/M933)</f>
        <v>0</v>
      </c>
      <c r="V933" s="41" t="n">
        <f aca="false">IF(M933=0,0,P933/M933)</f>
        <v>0</v>
      </c>
      <c r="W933" s="40" t="n">
        <f aca="false">IF(L933=0,0,Q933/L933)</f>
        <v>0</v>
      </c>
    </row>
    <row r="934" customFormat="false" ht="15" hidden="false" customHeight="false" outlineLevel="0" collapsed="false">
      <c r="A934" s="37" t="s">
        <v>2259</v>
      </c>
      <c r="B934" s="38" t="n">
        <v>45957.1275231482</v>
      </c>
      <c r="C934" s="37" t="s">
        <v>1201</v>
      </c>
      <c r="D934" s="37" t="s">
        <v>1324</v>
      </c>
      <c r="E934" s="37" t="s">
        <v>1974</v>
      </c>
      <c r="F934" s="37" t="s">
        <v>544</v>
      </c>
      <c r="G934" s="37" t="s">
        <v>1037</v>
      </c>
      <c r="H934" s="37" t="s">
        <v>60</v>
      </c>
      <c r="I934" s="37"/>
      <c r="J934" s="37" t="s">
        <v>357</v>
      </c>
      <c r="K934" s="37" t="s">
        <v>1202</v>
      </c>
      <c r="L934" s="39" t="n">
        <v>344</v>
      </c>
      <c r="M934" s="39" t="n">
        <v>324</v>
      </c>
      <c r="N934" s="39" t="n">
        <v>83</v>
      </c>
      <c r="O934" s="39" t="n">
        <v>38</v>
      </c>
      <c r="P934" s="39" t="n">
        <v>0</v>
      </c>
      <c r="Q934" s="39" t="n">
        <v>20</v>
      </c>
      <c r="R934" s="39" t="n">
        <v>19</v>
      </c>
      <c r="S934" s="39" t="n">
        <v>0</v>
      </c>
      <c r="T934" s="40" t="n">
        <f aca="false">IF(M934=0,0,N934/M934)</f>
        <v>0.256172839506173</v>
      </c>
      <c r="U934" s="40" t="n">
        <f aca="false">IF(M934=0,0,O934/M934)</f>
        <v>0.117283950617284</v>
      </c>
      <c r="V934" s="41" t="n">
        <f aca="false">IF(M934=0,0,P934/M934)</f>
        <v>0</v>
      </c>
      <c r="W934" s="40" t="n">
        <f aca="false">IF(L934=0,0,Q934/L934)</f>
        <v>0.0581395348837209</v>
      </c>
    </row>
    <row r="935" customFormat="false" ht="15" hidden="false" customHeight="false" outlineLevel="0" collapsed="false">
      <c r="A935" s="37" t="s">
        <v>2260</v>
      </c>
      <c r="B935" s="38" t="n">
        <v>45957.0146412037</v>
      </c>
      <c r="C935" s="37" t="s">
        <v>1241</v>
      </c>
      <c r="D935" s="37" t="s">
        <v>152</v>
      </c>
      <c r="E935" s="37" t="s">
        <v>2261</v>
      </c>
      <c r="F935" s="37" t="s">
        <v>152</v>
      </c>
      <c r="G935" s="37"/>
      <c r="H935" s="37" t="s">
        <v>63</v>
      </c>
      <c r="I935" s="37"/>
      <c r="J935" s="37" t="s">
        <v>151</v>
      </c>
      <c r="K935" s="37" t="s">
        <v>1202</v>
      </c>
      <c r="L935" s="39" t="n">
        <v>285</v>
      </c>
      <c r="M935" s="39" t="n">
        <v>281</v>
      </c>
      <c r="N935" s="39" t="n">
        <v>176</v>
      </c>
      <c r="O935" s="39" t="n">
        <v>63</v>
      </c>
      <c r="P935" s="39" t="n">
        <v>2</v>
      </c>
      <c r="Q935" s="39" t="n">
        <v>4</v>
      </c>
      <c r="R935" s="39" t="n">
        <v>4</v>
      </c>
      <c r="S935" s="39" t="n">
        <v>0</v>
      </c>
      <c r="T935" s="40" t="n">
        <f aca="false">IF(M935=0,0,N935/M935)</f>
        <v>0.626334519572954</v>
      </c>
      <c r="U935" s="40" t="n">
        <f aca="false">IF(M935=0,0,O935/M935)</f>
        <v>0.224199288256228</v>
      </c>
      <c r="V935" s="41" t="n">
        <f aca="false">IF(M935=0,0,P935/M935)</f>
        <v>0.00711743772241993</v>
      </c>
      <c r="W935" s="40" t="n">
        <f aca="false">IF(L935=0,0,Q935/L935)</f>
        <v>0.0140350877192982</v>
      </c>
    </row>
    <row r="936" customFormat="false" ht="15" hidden="false" customHeight="false" outlineLevel="0" collapsed="false">
      <c r="A936" s="37" t="s">
        <v>2262</v>
      </c>
      <c r="B936" s="38" t="n">
        <v>45956.3854282407</v>
      </c>
      <c r="C936" s="37" t="s">
        <v>1201</v>
      </c>
      <c r="D936" s="37" t="s">
        <v>1372</v>
      </c>
      <c r="E936" s="37" t="s">
        <v>1373</v>
      </c>
      <c r="F936" s="37" t="s">
        <v>537</v>
      </c>
      <c r="G936" s="37"/>
      <c r="H936" s="37" t="s">
        <v>64</v>
      </c>
      <c r="I936" s="37"/>
      <c r="J936" s="37" t="s">
        <v>296</v>
      </c>
      <c r="K936" s="37" t="s">
        <v>1202</v>
      </c>
      <c r="L936" s="39" t="n">
        <v>2</v>
      </c>
      <c r="M936" s="39" t="n">
        <v>2</v>
      </c>
      <c r="N936" s="39" t="n">
        <v>2</v>
      </c>
      <c r="O936" s="39" t="n">
        <v>0</v>
      </c>
      <c r="P936" s="39" t="n">
        <v>0</v>
      </c>
      <c r="Q936" s="39" t="n">
        <v>0</v>
      </c>
      <c r="R936" s="39" t="n">
        <v>0</v>
      </c>
      <c r="S936" s="39" t="n">
        <v>0</v>
      </c>
      <c r="T936" s="40" t="n">
        <f aca="false">IF(M936=0,0,N936/M936)</f>
        <v>1</v>
      </c>
      <c r="U936" s="40" t="n">
        <f aca="false">IF(M936=0,0,O936/M936)</f>
        <v>0</v>
      </c>
      <c r="V936" s="41" t="n">
        <f aca="false">IF(M936=0,0,P936/M936)</f>
        <v>0</v>
      </c>
      <c r="W936" s="40" t="n">
        <f aca="false">IF(L936=0,0,Q936/L936)</f>
        <v>0</v>
      </c>
    </row>
    <row r="937" customFormat="false" ht="15" hidden="false" customHeight="false" outlineLevel="0" collapsed="false">
      <c r="A937" s="37" t="s">
        <v>2263</v>
      </c>
      <c r="B937" s="38" t="n">
        <v>45955.4172685185</v>
      </c>
      <c r="C937" s="37" t="s">
        <v>1201</v>
      </c>
      <c r="D937" s="37" t="s">
        <v>1372</v>
      </c>
      <c r="E937" s="37" t="s">
        <v>1373</v>
      </c>
      <c r="F937" s="37" t="s">
        <v>537</v>
      </c>
      <c r="G937" s="37"/>
      <c r="H937" s="37" t="s">
        <v>60</v>
      </c>
      <c r="I937" s="37"/>
      <c r="J937" s="37" t="s">
        <v>296</v>
      </c>
      <c r="K937" s="37" t="s">
        <v>1202</v>
      </c>
      <c r="L937" s="39" t="n">
        <v>2</v>
      </c>
      <c r="M937" s="39" t="n">
        <v>2</v>
      </c>
      <c r="N937" s="39" t="n">
        <v>1</v>
      </c>
      <c r="O937" s="39" t="n">
        <v>0</v>
      </c>
      <c r="P937" s="39" t="n">
        <v>0</v>
      </c>
      <c r="Q937" s="39" t="n">
        <v>0</v>
      </c>
      <c r="R937" s="39" t="n">
        <v>0</v>
      </c>
      <c r="S937" s="39" t="n">
        <v>0</v>
      </c>
      <c r="T937" s="40" t="n">
        <f aca="false">IF(M937=0,0,N937/M937)</f>
        <v>0.5</v>
      </c>
      <c r="U937" s="40" t="n">
        <f aca="false">IF(M937=0,0,O937/M937)</f>
        <v>0</v>
      </c>
      <c r="V937" s="41" t="n">
        <f aca="false">IF(M937=0,0,P937/M937)</f>
        <v>0</v>
      </c>
      <c r="W937" s="40" t="n">
        <f aca="false">IF(L937=0,0,Q937/L937)</f>
        <v>0</v>
      </c>
    </row>
    <row r="938" customFormat="false" ht="15" hidden="false" customHeight="false" outlineLevel="0" collapsed="false">
      <c r="A938" s="37" t="s">
        <v>2264</v>
      </c>
      <c r="B938" s="38" t="n">
        <v>45955.406400463</v>
      </c>
      <c r="C938" s="37" t="s">
        <v>1201</v>
      </c>
      <c r="D938" s="37" t="s">
        <v>1372</v>
      </c>
      <c r="E938" s="37" t="s">
        <v>1373</v>
      </c>
      <c r="F938" s="37" t="s">
        <v>537</v>
      </c>
      <c r="G938" s="37"/>
      <c r="H938" s="37" t="s">
        <v>63</v>
      </c>
      <c r="I938" s="37"/>
      <c r="J938" s="37" t="s">
        <v>296</v>
      </c>
      <c r="K938" s="37" t="s">
        <v>1202</v>
      </c>
      <c r="L938" s="39" t="n">
        <v>2</v>
      </c>
      <c r="M938" s="39" t="n">
        <v>2</v>
      </c>
      <c r="N938" s="39" t="n">
        <v>2</v>
      </c>
      <c r="O938" s="39" t="n">
        <v>0</v>
      </c>
      <c r="P938" s="39" t="n">
        <v>0</v>
      </c>
      <c r="Q938" s="39" t="n">
        <v>0</v>
      </c>
      <c r="R938" s="39" t="n">
        <v>0</v>
      </c>
      <c r="S938" s="39" t="n">
        <v>0</v>
      </c>
      <c r="T938" s="40" t="n">
        <f aca="false">IF(M938=0,0,N938/M938)</f>
        <v>1</v>
      </c>
      <c r="U938" s="40" t="n">
        <f aca="false">IF(M938=0,0,O938/M938)</f>
        <v>0</v>
      </c>
      <c r="V938" s="41" t="n">
        <f aca="false">IF(M938=0,0,P938/M938)</f>
        <v>0</v>
      </c>
      <c r="W938" s="40" t="n">
        <f aca="false">IF(L938=0,0,Q938/L938)</f>
        <v>0</v>
      </c>
    </row>
    <row r="939" customFormat="false" ht="15" hidden="false" customHeight="false" outlineLevel="0" collapsed="false">
      <c r="A939" s="37" t="s">
        <v>2265</v>
      </c>
      <c r="B939" s="38" t="n">
        <v>45954.5723958333</v>
      </c>
      <c r="C939" s="37" t="s">
        <v>1201</v>
      </c>
      <c r="D939" s="37" t="s">
        <v>1392</v>
      </c>
      <c r="E939" s="37" t="s">
        <v>166</v>
      </c>
      <c r="F939" s="37" t="s">
        <v>671</v>
      </c>
      <c r="G939" s="37" t="s">
        <v>1734</v>
      </c>
      <c r="H939" s="37" t="s">
        <v>61</v>
      </c>
      <c r="I939" s="37" t="s">
        <v>260</v>
      </c>
      <c r="J939" s="37" t="s">
        <v>164</v>
      </c>
      <c r="K939" s="37" t="s">
        <v>1202</v>
      </c>
      <c r="L939" s="39" t="n">
        <v>16</v>
      </c>
      <c r="M939" s="39" t="n">
        <v>16</v>
      </c>
      <c r="N939" s="39" t="n">
        <v>14</v>
      </c>
      <c r="O939" s="39" t="n">
        <v>7</v>
      </c>
      <c r="P939" s="39" t="n">
        <v>0</v>
      </c>
      <c r="Q939" s="39" t="n">
        <v>0</v>
      </c>
      <c r="R939" s="39" t="n">
        <v>0</v>
      </c>
      <c r="S939" s="39" t="n">
        <v>0</v>
      </c>
      <c r="T939" s="40" t="n">
        <f aca="false">IF(M939=0,0,N939/M939)</f>
        <v>0.875</v>
      </c>
      <c r="U939" s="40" t="n">
        <f aca="false">IF(M939=0,0,O939/M939)</f>
        <v>0.4375</v>
      </c>
      <c r="V939" s="41" t="n">
        <f aca="false">IF(M939=0,0,P939/M939)</f>
        <v>0</v>
      </c>
      <c r="W939" s="40" t="n">
        <f aca="false">IF(L939=0,0,Q939/L939)</f>
        <v>0</v>
      </c>
    </row>
    <row r="940" customFormat="false" ht="15" hidden="false" customHeight="false" outlineLevel="0" collapsed="false">
      <c r="A940" s="37" t="s">
        <v>2266</v>
      </c>
      <c r="B940" s="38" t="n">
        <v>45954.3751157407</v>
      </c>
      <c r="C940" s="37" t="s">
        <v>1201</v>
      </c>
      <c r="D940" s="37" t="s">
        <v>1372</v>
      </c>
      <c r="E940" s="37" t="s">
        <v>1373</v>
      </c>
      <c r="F940" s="37" t="s">
        <v>537</v>
      </c>
      <c r="G940" s="37"/>
      <c r="H940" s="37" t="s">
        <v>63</v>
      </c>
      <c r="I940" s="37"/>
      <c r="J940" s="37" t="s">
        <v>296</v>
      </c>
      <c r="K940" s="37" t="s">
        <v>1202</v>
      </c>
      <c r="L940" s="39" t="n">
        <v>2</v>
      </c>
      <c r="M940" s="39" t="n">
        <v>2</v>
      </c>
      <c r="N940" s="39" t="n">
        <v>2</v>
      </c>
      <c r="O940" s="39" t="n">
        <v>0</v>
      </c>
      <c r="P940" s="39" t="n">
        <v>0</v>
      </c>
      <c r="Q940" s="39" t="n">
        <v>0</v>
      </c>
      <c r="R940" s="39" t="n">
        <v>0</v>
      </c>
      <c r="S940" s="39" t="n">
        <v>0</v>
      </c>
      <c r="T940" s="40" t="n">
        <f aca="false">IF(M940=0,0,N940/M940)</f>
        <v>1</v>
      </c>
      <c r="U940" s="40" t="n">
        <f aca="false">IF(M940=0,0,O940/M940)</f>
        <v>0</v>
      </c>
      <c r="V940" s="41" t="n">
        <f aca="false">IF(M940=0,0,P940/M940)</f>
        <v>0</v>
      </c>
      <c r="W940" s="40" t="n">
        <f aca="false">IF(L940=0,0,Q940/L940)</f>
        <v>0</v>
      </c>
    </row>
    <row r="941" customFormat="false" ht="15" hidden="false" customHeight="false" outlineLevel="0" collapsed="false">
      <c r="A941" s="37" t="s">
        <v>2267</v>
      </c>
      <c r="B941" s="38" t="n">
        <v>45954.0420601852</v>
      </c>
      <c r="C941" s="37" t="s">
        <v>1201</v>
      </c>
      <c r="D941" s="37" t="s">
        <v>152</v>
      </c>
      <c r="E941" s="37" t="s">
        <v>1204</v>
      </c>
      <c r="F941" s="37" t="s">
        <v>152</v>
      </c>
      <c r="G941" s="37" t="s">
        <v>2232</v>
      </c>
      <c r="H941" s="37" t="s">
        <v>66</v>
      </c>
      <c r="I941" s="37"/>
      <c r="J941" s="37" t="s">
        <v>151</v>
      </c>
      <c r="K941" s="37" t="s">
        <v>1202</v>
      </c>
      <c r="L941" s="39" t="n">
        <v>1695</v>
      </c>
      <c r="M941" s="39" t="n">
        <v>1692</v>
      </c>
      <c r="N941" s="39" t="n">
        <v>703</v>
      </c>
      <c r="O941" s="39" t="n">
        <v>163</v>
      </c>
      <c r="P941" s="39" t="n">
        <v>8</v>
      </c>
      <c r="Q941" s="39" t="n">
        <v>3</v>
      </c>
      <c r="R941" s="39" t="n">
        <v>2</v>
      </c>
      <c r="S941" s="39" t="n">
        <v>0</v>
      </c>
      <c r="T941" s="40" t="n">
        <f aca="false">IF(M941=0,0,N941/M941)</f>
        <v>0.41548463356974</v>
      </c>
      <c r="U941" s="40" t="n">
        <f aca="false">IF(M941=0,0,O941/M941)</f>
        <v>0.0963356973995272</v>
      </c>
      <c r="V941" s="41" t="n">
        <f aca="false">IF(M941=0,0,P941/M941)</f>
        <v>0.00472813238770686</v>
      </c>
      <c r="W941" s="40" t="n">
        <f aca="false">IF(L941=0,0,Q941/L941)</f>
        <v>0.00176991150442478</v>
      </c>
    </row>
    <row r="942" customFormat="false" ht="15" hidden="false" customHeight="false" outlineLevel="0" collapsed="false">
      <c r="A942" s="37" t="s">
        <v>2268</v>
      </c>
      <c r="B942" s="38" t="n">
        <v>45954.0411921296</v>
      </c>
      <c r="C942" s="37" t="s">
        <v>1201</v>
      </c>
      <c r="D942" s="37" t="s">
        <v>1527</v>
      </c>
      <c r="E942" s="37" t="s">
        <v>1527</v>
      </c>
      <c r="F942" s="37" t="s">
        <v>544</v>
      </c>
      <c r="G942" s="37"/>
      <c r="H942" s="37" t="s">
        <v>60</v>
      </c>
      <c r="I942" s="37"/>
      <c r="J942" s="37" t="s">
        <v>364</v>
      </c>
      <c r="K942" s="37" t="s">
        <v>1213</v>
      </c>
      <c r="L942" s="39" t="n">
        <v>132</v>
      </c>
      <c r="M942" s="39" t="n">
        <v>132</v>
      </c>
      <c r="N942" s="39" t="n">
        <v>72</v>
      </c>
      <c r="O942" s="39" t="n">
        <v>8</v>
      </c>
      <c r="P942" s="39" t="n">
        <v>0</v>
      </c>
      <c r="Q942" s="39" t="n">
        <v>0</v>
      </c>
      <c r="R942" s="39" t="n">
        <v>0</v>
      </c>
      <c r="S942" s="39" t="n">
        <v>0</v>
      </c>
      <c r="T942" s="40" t="n">
        <f aca="false">IF(M942=0,0,N942/M942)</f>
        <v>0.545454545454545</v>
      </c>
      <c r="U942" s="40" t="n">
        <f aca="false">IF(M942=0,0,O942/M942)</f>
        <v>0.0606060606060606</v>
      </c>
      <c r="V942" s="41" t="n">
        <f aca="false">IF(M942=0,0,P942/M942)</f>
        <v>0</v>
      </c>
      <c r="W942" s="40" t="n">
        <f aca="false">IF(L942=0,0,Q942/L942)</f>
        <v>0</v>
      </c>
    </row>
    <row r="943" customFormat="false" ht="15" hidden="false" customHeight="false" outlineLevel="0" collapsed="false">
      <c r="A943" s="37" t="s">
        <v>2269</v>
      </c>
      <c r="B943" s="38" t="n">
        <v>45953.9754861111</v>
      </c>
      <c r="C943" s="37" t="s">
        <v>1201</v>
      </c>
      <c r="D943" s="37" t="s">
        <v>127</v>
      </c>
      <c r="E943" s="37" t="s">
        <v>128</v>
      </c>
      <c r="F943" s="37" t="s">
        <v>127</v>
      </c>
      <c r="G943" s="37"/>
      <c r="H943" s="37" t="s">
        <v>60</v>
      </c>
      <c r="I943" s="37"/>
      <c r="J943" s="37" t="s">
        <v>126</v>
      </c>
      <c r="K943" s="37" t="s">
        <v>1202</v>
      </c>
      <c r="L943" s="39" t="n">
        <v>803</v>
      </c>
      <c r="M943" s="39" t="n">
        <v>800</v>
      </c>
      <c r="N943" s="39" t="n">
        <v>330</v>
      </c>
      <c r="O943" s="39" t="n">
        <v>73</v>
      </c>
      <c r="P943" s="39" t="n">
        <v>1</v>
      </c>
      <c r="Q943" s="39" t="n">
        <v>3</v>
      </c>
      <c r="R943" s="39" t="n">
        <v>3</v>
      </c>
      <c r="S943" s="39" t="n">
        <v>0</v>
      </c>
      <c r="T943" s="40" t="n">
        <f aca="false">IF(M943=0,0,N943/M943)</f>
        <v>0.4125</v>
      </c>
      <c r="U943" s="40" t="n">
        <f aca="false">IF(M943=0,0,O943/M943)</f>
        <v>0.09125</v>
      </c>
      <c r="V943" s="41" t="n">
        <f aca="false">IF(M943=0,0,P943/M943)</f>
        <v>0.00125</v>
      </c>
      <c r="W943" s="40" t="n">
        <f aca="false">IF(L943=0,0,Q943/L943)</f>
        <v>0.0037359900373599</v>
      </c>
    </row>
    <row r="944" customFormat="false" ht="15" hidden="false" customHeight="false" outlineLevel="0" collapsed="false">
      <c r="A944" s="37" t="s">
        <v>2270</v>
      </c>
      <c r="B944" s="38" t="n">
        <v>45953.5342824074</v>
      </c>
      <c r="C944" s="37" t="s">
        <v>1201</v>
      </c>
      <c r="D944" s="37" t="s">
        <v>1453</v>
      </c>
      <c r="E944" s="37" t="s">
        <v>1360</v>
      </c>
      <c r="F944" s="37" t="s">
        <v>544</v>
      </c>
      <c r="G944" s="37"/>
      <c r="H944" s="37" t="s">
        <v>60</v>
      </c>
      <c r="I944" s="37"/>
      <c r="J944" s="37" t="s">
        <v>100</v>
      </c>
      <c r="K944" s="37" t="s">
        <v>1202</v>
      </c>
      <c r="L944" s="39" t="n">
        <v>208</v>
      </c>
      <c r="M944" s="39" t="n">
        <v>208</v>
      </c>
      <c r="N944" s="39" t="n">
        <v>80</v>
      </c>
      <c r="O944" s="39" t="n">
        <v>43</v>
      </c>
      <c r="P944" s="39" t="n">
        <v>0</v>
      </c>
      <c r="Q944" s="39" t="n">
        <v>0</v>
      </c>
      <c r="R944" s="39" t="n">
        <v>0</v>
      </c>
      <c r="S944" s="39" t="n">
        <v>0</v>
      </c>
      <c r="T944" s="40" t="n">
        <f aca="false">IF(M944=0,0,N944/M944)</f>
        <v>0.384615384615385</v>
      </c>
      <c r="U944" s="40" t="n">
        <f aca="false">IF(M944=0,0,O944/M944)</f>
        <v>0.206730769230769</v>
      </c>
      <c r="V944" s="41" t="n">
        <f aca="false">IF(M944=0,0,P944/M944)</f>
        <v>0</v>
      </c>
      <c r="W944" s="40" t="n">
        <f aca="false">IF(L944=0,0,Q944/L944)</f>
        <v>0</v>
      </c>
    </row>
    <row r="945" customFormat="false" ht="15" hidden="false" customHeight="false" outlineLevel="0" collapsed="false">
      <c r="A945" s="37" t="s">
        <v>2271</v>
      </c>
      <c r="B945" s="38" t="n">
        <v>45953.0002777778</v>
      </c>
      <c r="C945" s="37" t="s">
        <v>1201</v>
      </c>
      <c r="D945" s="37" t="s">
        <v>1372</v>
      </c>
      <c r="E945" s="37" t="s">
        <v>1373</v>
      </c>
      <c r="F945" s="37" t="s">
        <v>537</v>
      </c>
      <c r="G945" s="37"/>
      <c r="H945" s="37" t="s">
        <v>60</v>
      </c>
      <c r="I945" s="37"/>
      <c r="J945" s="37" t="s">
        <v>296</v>
      </c>
      <c r="K945" s="37" t="s">
        <v>1202</v>
      </c>
      <c r="L945" s="39" t="n">
        <v>1</v>
      </c>
      <c r="M945" s="39" t="n">
        <v>1</v>
      </c>
      <c r="N945" s="39" t="n">
        <v>1</v>
      </c>
      <c r="O945" s="39" t="n">
        <v>0</v>
      </c>
      <c r="P945" s="39" t="n">
        <v>0</v>
      </c>
      <c r="Q945" s="39" t="n">
        <v>0</v>
      </c>
      <c r="R945" s="39" t="n">
        <v>0</v>
      </c>
      <c r="S945" s="39" t="n">
        <v>0</v>
      </c>
      <c r="T945" s="40" t="n">
        <f aca="false">IF(M945=0,0,N945/M945)</f>
        <v>1</v>
      </c>
      <c r="U945" s="40" t="n">
        <f aca="false">IF(M945=0,0,O945/M945)</f>
        <v>0</v>
      </c>
      <c r="V945" s="41" t="n">
        <f aca="false">IF(M945=0,0,P945/M945)</f>
        <v>0</v>
      </c>
      <c r="W945" s="40" t="n">
        <f aca="false">IF(L945=0,0,Q945/L945)</f>
        <v>0</v>
      </c>
    </row>
    <row r="946" customFormat="false" ht="15" hidden="false" customHeight="false" outlineLevel="0" collapsed="false">
      <c r="A946" s="37" t="s">
        <v>2272</v>
      </c>
      <c r="B946" s="38" t="n">
        <v>45952.8386111111</v>
      </c>
      <c r="C946" s="37" t="s">
        <v>1201</v>
      </c>
      <c r="D946" s="37" t="s">
        <v>1259</v>
      </c>
      <c r="E946" s="37" t="s">
        <v>1259</v>
      </c>
      <c r="F946" s="37" t="s">
        <v>127</v>
      </c>
      <c r="G946" s="37"/>
      <c r="H946" s="37" t="s">
        <v>60</v>
      </c>
      <c r="I946" s="37"/>
      <c r="J946" s="37" t="s">
        <v>126</v>
      </c>
      <c r="K946" s="37" t="s">
        <v>1213</v>
      </c>
      <c r="L946" s="39" t="n">
        <v>152</v>
      </c>
      <c r="M946" s="39" t="n">
        <v>151</v>
      </c>
      <c r="N946" s="39" t="n">
        <v>62</v>
      </c>
      <c r="O946" s="39" t="n">
        <v>9</v>
      </c>
      <c r="P946" s="39" t="n">
        <v>0</v>
      </c>
      <c r="Q946" s="39" t="n">
        <v>1</v>
      </c>
      <c r="R946" s="39" t="n">
        <v>0</v>
      </c>
      <c r="S946" s="39" t="n">
        <v>0</v>
      </c>
      <c r="T946" s="40" t="n">
        <f aca="false">IF(M946=0,0,N946/M946)</f>
        <v>0.410596026490066</v>
      </c>
      <c r="U946" s="40" t="n">
        <f aca="false">IF(M946=0,0,O946/M946)</f>
        <v>0.0596026490066225</v>
      </c>
      <c r="V946" s="41" t="n">
        <f aca="false">IF(M946=0,0,P946/M946)</f>
        <v>0</v>
      </c>
      <c r="W946" s="40" t="n">
        <f aca="false">IF(L946=0,0,Q946/L946)</f>
        <v>0.00657894736842105</v>
      </c>
    </row>
    <row r="947" customFormat="false" ht="15" hidden="false" customHeight="false" outlineLevel="0" collapsed="false">
      <c r="A947" s="37" t="s">
        <v>2273</v>
      </c>
      <c r="B947" s="38" t="n">
        <v>45952.3724305556</v>
      </c>
      <c r="C947" s="37" t="s">
        <v>1201</v>
      </c>
      <c r="D947" s="37" t="s">
        <v>2014</v>
      </c>
      <c r="E947" s="37" t="s">
        <v>2015</v>
      </c>
      <c r="F947" s="37" t="s">
        <v>650</v>
      </c>
      <c r="G947" s="37"/>
      <c r="H947" s="37" t="s">
        <v>60</v>
      </c>
      <c r="I947" s="37"/>
      <c r="J947" s="37" t="s">
        <v>382</v>
      </c>
      <c r="K947" s="37" t="s">
        <v>1202</v>
      </c>
      <c r="L947" s="39" t="n">
        <v>722</v>
      </c>
      <c r="M947" s="39" t="n">
        <v>719</v>
      </c>
      <c r="N947" s="39" t="n">
        <v>222</v>
      </c>
      <c r="O947" s="39" t="n">
        <v>35</v>
      </c>
      <c r="P947" s="39" t="n">
        <v>2</v>
      </c>
      <c r="Q947" s="39" t="n">
        <v>3</v>
      </c>
      <c r="R947" s="39" t="n">
        <v>0</v>
      </c>
      <c r="S947" s="39" t="n">
        <v>0</v>
      </c>
      <c r="T947" s="40" t="n">
        <f aca="false">IF(M947=0,0,N947/M947)</f>
        <v>0.308762169680111</v>
      </c>
      <c r="U947" s="40" t="n">
        <f aca="false">IF(M947=0,0,O947/M947)</f>
        <v>0.0486787204450626</v>
      </c>
      <c r="V947" s="41" t="n">
        <f aca="false">IF(M947=0,0,P947/M947)</f>
        <v>0.00278164116828929</v>
      </c>
      <c r="W947" s="40" t="n">
        <f aca="false">IF(L947=0,0,Q947/L947)</f>
        <v>0.00415512465373961</v>
      </c>
    </row>
    <row r="948" customFormat="false" ht="15" hidden="false" customHeight="false" outlineLevel="0" collapsed="false">
      <c r="A948" s="37" t="s">
        <v>2274</v>
      </c>
      <c r="B948" s="38" t="n">
        <v>45952.3339583333</v>
      </c>
      <c r="C948" s="37" t="s">
        <v>1201</v>
      </c>
      <c r="D948" s="37" t="s">
        <v>1600</v>
      </c>
      <c r="E948" s="37" t="s">
        <v>288</v>
      </c>
      <c r="F948" s="37" t="s">
        <v>505</v>
      </c>
      <c r="G948" s="37"/>
      <c r="H948" s="37" t="s">
        <v>60</v>
      </c>
      <c r="I948" s="37"/>
      <c r="J948" s="37" t="s">
        <v>287</v>
      </c>
      <c r="K948" s="37" t="s">
        <v>1213</v>
      </c>
      <c r="L948" s="39" t="n">
        <v>42</v>
      </c>
      <c r="M948" s="39" t="n">
        <v>42</v>
      </c>
      <c r="N948" s="39" t="n">
        <v>16</v>
      </c>
      <c r="O948" s="39" t="n">
        <v>5</v>
      </c>
      <c r="P948" s="39" t="n">
        <v>0</v>
      </c>
      <c r="Q948" s="39" t="n">
        <v>0</v>
      </c>
      <c r="R948" s="39" t="n">
        <v>0</v>
      </c>
      <c r="S948" s="39" t="n">
        <v>0</v>
      </c>
      <c r="T948" s="40" t="n">
        <f aca="false">IF(M948=0,0,N948/M948)</f>
        <v>0.380952380952381</v>
      </c>
      <c r="U948" s="40" t="n">
        <f aca="false">IF(M948=0,0,O948/M948)</f>
        <v>0.119047619047619</v>
      </c>
      <c r="V948" s="41" t="n">
        <f aca="false">IF(M948=0,0,P948/M948)</f>
        <v>0</v>
      </c>
      <c r="W948" s="40" t="n">
        <f aca="false">IF(L948=0,0,Q948/L948)</f>
        <v>0</v>
      </c>
    </row>
    <row r="949" customFormat="false" ht="15" hidden="false" customHeight="false" outlineLevel="0" collapsed="false">
      <c r="A949" s="37" t="s">
        <v>2275</v>
      </c>
      <c r="B949" s="38" t="n">
        <v>45952.0444097222</v>
      </c>
      <c r="C949" s="37" t="s">
        <v>1201</v>
      </c>
      <c r="D949" s="37" t="s">
        <v>1218</v>
      </c>
      <c r="E949" s="37" t="s">
        <v>238</v>
      </c>
      <c r="F949" s="37" t="s">
        <v>544</v>
      </c>
      <c r="G949" s="37"/>
      <c r="H949" s="37" t="s">
        <v>60</v>
      </c>
      <c r="I949" s="37"/>
      <c r="J949" s="37" t="s">
        <v>375</v>
      </c>
      <c r="K949" s="37" t="s">
        <v>1202</v>
      </c>
      <c r="L949" s="39" t="n">
        <v>923</v>
      </c>
      <c r="M949" s="39" t="n">
        <v>919</v>
      </c>
      <c r="N949" s="39" t="n">
        <v>415</v>
      </c>
      <c r="O949" s="39" t="n">
        <v>141</v>
      </c>
      <c r="P949" s="39" t="n">
        <v>9</v>
      </c>
      <c r="Q949" s="39" t="n">
        <v>4</v>
      </c>
      <c r="R949" s="39" t="n">
        <v>1</v>
      </c>
      <c r="S949" s="39" t="n">
        <v>0</v>
      </c>
      <c r="T949" s="40" t="n">
        <f aca="false">IF(M949=0,0,N949/M949)</f>
        <v>0.451577801958651</v>
      </c>
      <c r="U949" s="40" t="n">
        <f aca="false">IF(M949=0,0,O949/M949)</f>
        <v>0.153427638737758</v>
      </c>
      <c r="V949" s="41" t="n">
        <f aca="false">IF(M949=0,0,P949/M949)</f>
        <v>0.00979325353645267</v>
      </c>
      <c r="W949" s="40" t="n">
        <f aca="false">IF(L949=0,0,Q949/L949)</f>
        <v>0.00433369447453955</v>
      </c>
    </row>
    <row r="950" customFormat="false" ht="15" hidden="false" customHeight="false" outlineLevel="0" collapsed="false">
      <c r="A950" s="37" t="s">
        <v>2276</v>
      </c>
      <c r="B950" s="38" t="n">
        <v>45952.0106828704</v>
      </c>
      <c r="C950" s="37" t="s">
        <v>1201</v>
      </c>
      <c r="D950" s="37" t="s">
        <v>1372</v>
      </c>
      <c r="E950" s="37" t="s">
        <v>1373</v>
      </c>
      <c r="F950" s="37" t="s">
        <v>537</v>
      </c>
      <c r="G950" s="37"/>
      <c r="H950" s="37" t="s">
        <v>63</v>
      </c>
      <c r="I950" s="37"/>
      <c r="J950" s="37" t="s">
        <v>296</v>
      </c>
      <c r="K950" s="37" t="s">
        <v>1202</v>
      </c>
      <c r="L950" s="39" t="n">
        <v>2</v>
      </c>
      <c r="M950" s="39" t="n">
        <v>2</v>
      </c>
      <c r="N950" s="39" t="n">
        <v>2</v>
      </c>
      <c r="O950" s="39" t="n">
        <v>0</v>
      </c>
      <c r="P950" s="39" t="n">
        <v>0</v>
      </c>
      <c r="Q950" s="39" t="n">
        <v>0</v>
      </c>
      <c r="R950" s="39" t="n">
        <v>0</v>
      </c>
      <c r="S950" s="39" t="n">
        <v>0</v>
      </c>
      <c r="T950" s="40" t="n">
        <f aca="false">IF(M950=0,0,N950/M950)</f>
        <v>1</v>
      </c>
      <c r="U950" s="40" t="n">
        <f aca="false">IF(M950=0,0,O950/M950)</f>
        <v>0</v>
      </c>
      <c r="V950" s="41" t="n">
        <f aca="false">IF(M950=0,0,P950/M950)</f>
        <v>0</v>
      </c>
      <c r="W950" s="40" t="n">
        <f aca="false">IF(L950=0,0,Q950/L950)</f>
        <v>0</v>
      </c>
    </row>
    <row r="951" customFormat="false" ht="15" hidden="false" customHeight="false" outlineLevel="0" collapsed="false">
      <c r="A951" s="37" t="s">
        <v>2277</v>
      </c>
      <c r="B951" s="38" t="n">
        <v>45951.9168865741</v>
      </c>
      <c r="C951" s="37" t="s">
        <v>1201</v>
      </c>
      <c r="D951" s="37" t="s">
        <v>152</v>
      </c>
      <c r="E951" s="37" t="s">
        <v>1344</v>
      </c>
      <c r="F951" s="37" t="s">
        <v>152</v>
      </c>
      <c r="G951" s="37"/>
      <c r="H951" s="37" t="s">
        <v>60</v>
      </c>
      <c r="I951" s="37" t="s">
        <v>150</v>
      </c>
      <c r="J951" s="37" t="s">
        <v>151</v>
      </c>
      <c r="K951" s="37" t="s">
        <v>1202</v>
      </c>
      <c r="L951" s="39" t="n">
        <v>3324</v>
      </c>
      <c r="M951" s="39" t="n">
        <v>3320</v>
      </c>
      <c r="N951" s="39" t="n">
        <v>1522</v>
      </c>
      <c r="O951" s="39" t="n">
        <v>127</v>
      </c>
      <c r="P951" s="39" t="n">
        <v>6</v>
      </c>
      <c r="Q951" s="39" t="n">
        <v>4</v>
      </c>
      <c r="R951" s="39" t="n">
        <v>4</v>
      </c>
      <c r="S951" s="39" t="n">
        <v>0</v>
      </c>
      <c r="T951" s="40" t="n">
        <f aca="false">IF(M951=0,0,N951/M951)</f>
        <v>0.458433734939759</v>
      </c>
      <c r="U951" s="40" t="n">
        <f aca="false">IF(M951=0,0,O951/M951)</f>
        <v>0.0382530120481928</v>
      </c>
      <c r="V951" s="41" t="n">
        <f aca="false">IF(M951=0,0,P951/M951)</f>
        <v>0.00180722891566265</v>
      </c>
      <c r="W951" s="40" t="n">
        <f aca="false">IF(L951=0,0,Q951/L951)</f>
        <v>0.00120336943441637</v>
      </c>
    </row>
    <row r="952" customFormat="false" ht="15" hidden="false" customHeight="false" outlineLevel="0" collapsed="false">
      <c r="A952" s="37" t="s">
        <v>2278</v>
      </c>
      <c r="B952" s="38" t="n">
        <v>45951.6359143519</v>
      </c>
      <c r="C952" s="37" t="s">
        <v>1201</v>
      </c>
      <c r="D952" s="37" t="s">
        <v>1912</v>
      </c>
      <c r="E952" s="37" t="s">
        <v>1912</v>
      </c>
      <c r="F952" s="37" t="s">
        <v>590</v>
      </c>
      <c r="G952" s="37"/>
      <c r="H952" s="37" t="s">
        <v>65</v>
      </c>
      <c r="I952" s="37"/>
      <c r="J952" s="37" t="s">
        <v>394</v>
      </c>
      <c r="K952" s="37" t="s">
        <v>1213</v>
      </c>
      <c r="L952" s="39" t="n">
        <v>23</v>
      </c>
      <c r="M952" s="39" t="n">
        <v>23</v>
      </c>
      <c r="N952" s="39" t="n">
        <v>21</v>
      </c>
      <c r="O952" s="39" t="n">
        <v>15</v>
      </c>
      <c r="P952" s="39" t="n">
        <v>0</v>
      </c>
      <c r="Q952" s="39" t="n">
        <v>0</v>
      </c>
      <c r="R952" s="39" t="n">
        <v>0</v>
      </c>
      <c r="S952" s="39" t="n">
        <v>0</v>
      </c>
      <c r="T952" s="40" t="n">
        <f aca="false">IF(M952=0,0,N952/M952)</f>
        <v>0.91304347826087</v>
      </c>
      <c r="U952" s="40" t="n">
        <f aca="false">IF(M952=0,0,O952/M952)</f>
        <v>0.652173913043478</v>
      </c>
      <c r="V952" s="41" t="n">
        <f aca="false">IF(M952=0,0,P952/M952)</f>
        <v>0</v>
      </c>
      <c r="W952" s="40" t="n">
        <f aca="false">IF(L952=0,0,Q952/L952)</f>
        <v>0</v>
      </c>
    </row>
    <row r="953" customFormat="false" ht="15" hidden="false" customHeight="false" outlineLevel="0" collapsed="false">
      <c r="A953" s="37" t="s">
        <v>2279</v>
      </c>
      <c r="B953" s="38" t="n">
        <v>45951.2936342593</v>
      </c>
      <c r="C953" s="37" t="s">
        <v>1201</v>
      </c>
      <c r="D953" s="37" t="s">
        <v>656</v>
      </c>
      <c r="E953" s="37" t="s">
        <v>1546</v>
      </c>
      <c r="F953" s="37" t="s">
        <v>544</v>
      </c>
      <c r="G953" s="37"/>
      <c r="H953" s="37" t="s">
        <v>60</v>
      </c>
      <c r="I953" s="37"/>
      <c r="J953" s="37" t="s">
        <v>399</v>
      </c>
      <c r="K953" s="37" t="s">
        <v>1202</v>
      </c>
      <c r="L953" s="39" t="n">
        <v>409</v>
      </c>
      <c r="M953" s="39" t="n">
        <v>409</v>
      </c>
      <c r="N953" s="39" t="n">
        <v>129</v>
      </c>
      <c r="O953" s="39" t="n">
        <v>17</v>
      </c>
      <c r="P953" s="39" t="n">
        <v>3</v>
      </c>
      <c r="Q953" s="39" t="n">
        <v>0</v>
      </c>
      <c r="R953" s="39" t="n">
        <v>0</v>
      </c>
      <c r="S953" s="39" t="n">
        <v>0</v>
      </c>
      <c r="T953" s="40" t="n">
        <f aca="false">IF(M953=0,0,N953/M953)</f>
        <v>0.315403422982885</v>
      </c>
      <c r="U953" s="40" t="n">
        <f aca="false">IF(M953=0,0,O953/M953)</f>
        <v>0.0415647921760391</v>
      </c>
      <c r="V953" s="41" t="n">
        <f aca="false">IF(M953=0,0,P953/M953)</f>
        <v>0.00733496332518337</v>
      </c>
      <c r="W953" s="40" t="n">
        <f aca="false">IF(L953=0,0,Q953/L953)</f>
        <v>0</v>
      </c>
    </row>
    <row r="954" customFormat="false" ht="15" hidden="false" customHeight="false" outlineLevel="0" collapsed="false">
      <c r="A954" s="37" t="s">
        <v>2280</v>
      </c>
      <c r="B954" s="38" t="n">
        <v>45951.0352430556</v>
      </c>
      <c r="C954" s="37" t="s">
        <v>1201</v>
      </c>
      <c r="D954" s="37" t="s">
        <v>2281</v>
      </c>
      <c r="E954" s="37" t="s">
        <v>2281</v>
      </c>
      <c r="F954" s="37" t="s">
        <v>575</v>
      </c>
      <c r="G954" s="37"/>
      <c r="H954" s="37" t="s">
        <v>66</v>
      </c>
      <c r="I954" s="37"/>
      <c r="J954" s="37" t="s">
        <v>430</v>
      </c>
      <c r="K954" s="37" t="s">
        <v>8</v>
      </c>
      <c r="L954" s="39" t="n">
        <v>28</v>
      </c>
      <c r="M954" s="39" t="n">
        <v>28</v>
      </c>
      <c r="N954" s="39" t="n">
        <v>15</v>
      </c>
      <c r="O954" s="39" t="n">
        <v>0</v>
      </c>
      <c r="P954" s="39" t="n">
        <v>1</v>
      </c>
      <c r="Q954" s="39" t="n">
        <v>0</v>
      </c>
      <c r="R954" s="39" t="n">
        <v>0</v>
      </c>
      <c r="S954" s="39" t="n">
        <v>0</v>
      </c>
      <c r="T954" s="40" t="n">
        <f aca="false">IF(M954=0,0,N954/M954)</f>
        <v>0.535714285714286</v>
      </c>
      <c r="U954" s="40" t="n">
        <f aca="false">IF(M954=0,0,O954/M954)</f>
        <v>0</v>
      </c>
      <c r="V954" s="41" t="n">
        <f aca="false">IF(M954=0,0,P954/M954)</f>
        <v>0.0357142857142857</v>
      </c>
      <c r="W954" s="40" t="n">
        <f aca="false">IF(L954=0,0,Q954/L954)</f>
        <v>0</v>
      </c>
    </row>
    <row r="955" customFormat="false" ht="15" hidden="false" customHeight="false" outlineLevel="0" collapsed="false">
      <c r="A955" s="37" t="s">
        <v>2282</v>
      </c>
      <c r="B955" s="38" t="n">
        <v>45951.0007638889</v>
      </c>
      <c r="C955" s="37" t="s">
        <v>1201</v>
      </c>
      <c r="D955" s="37" t="s">
        <v>2283</v>
      </c>
      <c r="E955" s="37" t="s">
        <v>128</v>
      </c>
      <c r="F955" s="37" t="s">
        <v>127</v>
      </c>
      <c r="G955" s="37"/>
      <c r="H955" s="37" t="s">
        <v>60</v>
      </c>
      <c r="I955" s="37"/>
      <c r="J955" s="37" t="s">
        <v>126</v>
      </c>
      <c r="K955" s="37" t="s">
        <v>1202</v>
      </c>
      <c r="L955" s="39" t="n">
        <v>27</v>
      </c>
      <c r="M955" s="39" t="n">
        <v>27</v>
      </c>
      <c r="N955" s="39" t="n">
        <v>11</v>
      </c>
      <c r="O955" s="39" t="n">
        <v>1</v>
      </c>
      <c r="P955" s="39" t="n">
        <v>0</v>
      </c>
      <c r="Q955" s="39" t="n">
        <v>0</v>
      </c>
      <c r="R955" s="39" t="n">
        <v>0</v>
      </c>
      <c r="S955" s="39" t="n">
        <v>0</v>
      </c>
      <c r="T955" s="40" t="n">
        <f aca="false">IF(M955=0,0,N955/M955)</f>
        <v>0.407407407407407</v>
      </c>
      <c r="U955" s="40" t="n">
        <f aca="false">IF(M955=0,0,O955/M955)</f>
        <v>0.037037037037037</v>
      </c>
      <c r="V955" s="41" t="n">
        <f aca="false">IF(M955=0,0,P955/M955)</f>
        <v>0</v>
      </c>
      <c r="W955" s="40" t="n">
        <f aca="false">IF(L955=0,0,Q955/L955)</f>
        <v>0</v>
      </c>
    </row>
    <row r="956" customFormat="false" ht="15" hidden="false" customHeight="false" outlineLevel="0" collapsed="false">
      <c r="A956" s="37" t="s">
        <v>2284</v>
      </c>
      <c r="B956" s="38" t="n">
        <v>45950.9714930556</v>
      </c>
      <c r="C956" s="37" t="s">
        <v>1201</v>
      </c>
      <c r="D956" s="37" t="s">
        <v>2285</v>
      </c>
      <c r="E956" s="37" t="s">
        <v>1591</v>
      </c>
      <c r="F956" s="37" t="s">
        <v>127</v>
      </c>
      <c r="G956" s="37"/>
      <c r="H956" s="37" t="s">
        <v>60</v>
      </c>
      <c r="I956" s="37"/>
      <c r="J956" s="37" t="s">
        <v>126</v>
      </c>
      <c r="K956" s="37" t="s">
        <v>1202</v>
      </c>
      <c r="L956" s="39" t="n">
        <v>230</v>
      </c>
      <c r="M956" s="39" t="n">
        <v>215</v>
      </c>
      <c r="N956" s="39" t="n">
        <v>49</v>
      </c>
      <c r="O956" s="39" t="n">
        <v>1</v>
      </c>
      <c r="P956" s="39" t="n">
        <v>0</v>
      </c>
      <c r="Q956" s="39" t="n">
        <v>15</v>
      </c>
      <c r="R956" s="39" t="n">
        <v>15</v>
      </c>
      <c r="S956" s="39" t="n">
        <v>0</v>
      </c>
      <c r="T956" s="40" t="n">
        <f aca="false">IF(M956=0,0,N956/M956)</f>
        <v>0.227906976744186</v>
      </c>
      <c r="U956" s="40" t="n">
        <f aca="false">IF(M956=0,0,O956/M956)</f>
        <v>0.00465116279069767</v>
      </c>
      <c r="V956" s="41" t="n">
        <f aca="false">IF(M956=0,0,P956/M956)</f>
        <v>0</v>
      </c>
      <c r="W956" s="40" t="n">
        <f aca="false">IF(L956=0,0,Q956/L956)</f>
        <v>0.0652173913043478</v>
      </c>
    </row>
    <row r="957" customFormat="false" ht="15" hidden="false" customHeight="false" outlineLevel="0" collapsed="false">
      <c r="A957" s="37" t="s">
        <v>2286</v>
      </c>
      <c r="B957" s="38" t="n">
        <v>45950.970150463</v>
      </c>
      <c r="C957" s="37" t="s">
        <v>1201</v>
      </c>
      <c r="D957" s="37" t="s">
        <v>2287</v>
      </c>
      <c r="E957" s="37" t="s">
        <v>128</v>
      </c>
      <c r="F957" s="37" t="s">
        <v>127</v>
      </c>
      <c r="G957" s="37"/>
      <c r="H957" s="37" t="s">
        <v>60</v>
      </c>
      <c r="I957" s="37"/>
      <c r="J957" s="37" t="s">
        <v>126</v>
      </c>
      <c r="K957" s="37" t="s">
        <v>1202</v>
      </c>
      <c r="L957" s="39" t="n">
        <v>32</v>
      </c>
      <c r="M957" s="39" t="n">
        <v>32</v>
      </c>
      <c r="N957" s="39" t="n">
        <v>12</v>
      </c>
      <c r="O957" s="39" t="n">
        <v>6</v>
      </c>
      <c r="P957" s="39" t="n">
        <v>0</v>
      </c>
      <c r="Q957" s="39" t="n">
        <v>0</v>
      </c>
      <c r="R957" s="39" t="n">
        <v>0</v>
      </c>
      <c r="S957" s="39" t="n">
        <v>0</v>
      </c>
      <c r="T957" s="40" t="n">
        <f aca="false">IF(M957=0,0,N957/M957)</f>
        <v>0.375</v>
      </c>
      <c r="U957" s="40" t="n">
        <f aca="false">IF(M957=0,0,O957/M957)</f>
        <v>0.1875</v>
      </c>
      <c r="V957" s="41" t="n">
        <f aca="false">IF(M957=0,0,P957/M957)</f>
        <v>0</v>
      </c>
      <c r="W957" s="40" t="n">
        <f aca="false">IF(L957=0,0,Q957/L957)</f>
        <v>0</v>
      </c>
    </row>
    <row r="958" customFormat="false" ht="15" hidden="false" customHeight="false" outlineLevel="0" collapsed="false">
      <c r="A958" s="37" t="s">
        <v>2288</v>
      </c>
      <c r="B958" s="38" t="n">
        <v>45950.969375</v>
      </c>
      <c r="C958" s="37" t="s">
        <v>1201</v>
      </c>
      <c r="D958" s="37" t="s">
        <v>2289</v>
      </c>
      <c r="E958" s="37" t="s">
        <v>1591</v>
      </c>
      <c r="F958" s="37" t="s">
        <v>127</v>
      </c>
      <c r="G958" s="37"/>
      <c r="H958" s="37" t="s">
        <v>60</v>
      </c>
      <c r="I958" s="37"/>
      <c r="J958" s="37" t="s">
        <v>126</v>
      </c>
      <c r="K958" s="37" t="s">
        <v>1202</v>
      </c>
      <c r="L958" s="39" t="n">
        <v>1110</v>
      </c>
      <c r="M958" s="39" t="n">
        <v>1104</v>
      </c>
      <c r="N958" s="39" t="n">
        <v>109</v>
      </c>
      <c r="O958" s="39" t="n">
        <v>3</v>
      </c>
      <c r="P958" s="39" t="n">
        <v>0</v>
      </c>
      <c r="Q958" s="39" t="n">
        <v>6</v>
      </c>
      <c r="R958" s="39" t="n">
        <v>2</v>
      </c>
      <c r="S958" s="39" t="n">
        <v>0</v>
      </c>
      <c r="T958" s="40" t="n">
        <f aca="false">IF(M958=0,0,N958/M958)</f>
        <v>0.098731884057971</v>
      </c>
      <c r="U958" s="40" t="n">
        <f aca="false">IF(M958=0,0,O958/M958)</f>
        <v>0.00271739130434783</v>
      </c>
      <c r="V958" s="41" t="n">
        <f aca="false">IF(M958=0,0,P958/M958)</f>
        <v>0</v>
      </c>
      <c r="W958" s="40" t="n">
        <f aca="false">IF(L958=0,0,Q958/L958)</f>
        <v>0.00540540540540541</v>
      </c>
    </row>
    <row r="959" customFormat="false" ht="15" hidden="false" customHeight="false" outlineLevel="0" collapsed="false">
      <c r="A959" s="37" t="s">
        <v>2290</v>
      </c>
      <c r="B959" s="38" t="n">
        <v>45950.958912037</v>
      </c>
      <c r="C959" s="37" t="s">
        <v>1201</v>
      </c>
      <c r="D959" s="37" t="s">
        <v>1708</v>
      </c>
      <c r="E959" s="37" t="s">
        <v>1591</v>
      </c>
      <c r="F959" s="37" t="s">
        <v>127</v>
      </c>
      <c r="G959" s="37"/>
      <c r="H959" s="37" t="s">
        <v>60</v>
      </c>
      <c r="I959" s="37"/>
      <c r="J959" s="37" t="s">
        <v>126</v>
      </c>
      <c r="K959" s="37" t="s">
        <v>1202</v>
      </c>
      <c r="L959" s="39" t="n">
        <v>407</v>
      </c>
      <c r="M959" s="39" t="n">
        <v>404</v>
      </c>
      <c r="N959" s="39" t="n">
        <v>71</v>
      </c>
      <c r="O959" s="39" t="n">
        <v>11</v>
      </c>
      <c r="P959" s="39" t="n">
        <v>0</v>
      </c>
      <c r="Q959" s="39" t="n">
        <v>3</v>
      </c>
      <c r="R959" s="39" t="n">
        <v>0</v>
      </c>
      <c r="S959" s="39" t="n">
        <v>0</v>
      </c>
      <c r="T959" s="40" t="n">
        <f aca="false">IF(M959=0,0,N959/M959)</f>
        <v>0.175742574257426</v>
      </c>
      <c r="U959" s="40" t="n">
        <f aca="false">IF(M959=0,0,O959/M959)</f>
        <v>0.0272277227722772</v>
      </c>
      <c r="V959" s="41" t="n">
        <f aca="false">IF(M959=0,0,P959/M959)</f>
        <v>0</v>
      </c>
      <c r="W959" s="40" t="n">
        <f aca="false">IF(L959=0,0,Q959/L959)</f>
        <v>0.00737100737100737</v>
      </c>
    </row>
    <row r="960" customFormat="false" ht="15" hidden="false" customHeight="false" outlineLevel="0" collapsed="false">
      <c r="A960" s="37" t="s">
        <v>2291</v>
      </c>
      <c r="B960" s="38" t="n">
        <v>45950.9586689815</v>
      </c>
      <c r="C960" s="37" t="s">
        <v>1201</v>
      </c>
      <c r="D960" s="37" t="s">
        <v>2292</v>
      </c>
      <c r="E960" s="37" t="s">
        <v>1591</v>
      </c>
      <c r="F960" s="37" t="s">
        <v>127</v>
      </c>
      <c r="G960" s="37"/>
      <c r="H960" s="37" t="s">
        <v>60</v>
      </c>
      <c r="I960" s="37"/>
      <c r="J960" s="37" t="s">
        <v>126</v>
      </c>
      <c r="K960" s="37" t="s">
        <v>1202</v>
      </c>
      <c r="L960" s="39" t="n">
        <v>981</v>
      </c>
      <c r="M960" s="39" t="n">
        <v>968</v>
      </c>
      <c r="N960" s="39" t="n">
        <v>184</v>
      </c>
      <c r="O960" s="39" t="n">
        <v>18</v>
      </c>
      <c r="P960" s="39" t="n">
        <v>4</v>
      </c>
      <c r="Q960" s="39" t="n">
        <v>13</v>
      </c>
      <c r="R960" s="39" t="n">
        <v>4</v>
      </c>
      <c r="S960" s="39" t="n">
        <v>0</v>
      </c>
      <c r="T960" s="40" t="n">
        <f aca="false">IF(M960=0,0,N960/M960)</f>
        <v>0.190082644628099</v>
      </c>
      <c r="U960" s="40" t="n">
        <f aca="false">IF(M960=0,0,O960/M960)</f>
        <v>0.0185950413223141</v>
      </c>
      <c r="V960" s="41" t="n">
        <f aca="false">IF(M960=0,0,P960/M960)</f>
        <v>0.00413223140495868</v>
      </c>
      <c r="W960" s="40" t="n">
        <f aca="false">IF(L960=0,0,Q960/L960)</f>
        <v>0.0132517838939857</v>
      </c>
    </row>
    <row r="961" customFormat="false" ht="15" hidden="false" customHeight="false" outlineLevel="0" collapsed="false">
      <c r="A961" s="37" t="s">
        <v>2293</v>
      </c>
      <c r="B961" s="38" t="n">
        <v>45950.9586689815</v>
      </c>
      <c r="C961" s="37" t="s">
        <v>1201</v>
      </c>
      <c r="D961" s="37" t="s">
        <v>127</v>
      </c>
      <c r="E961" s="37" t="s">
        <v>1591</v>
      </c>
      <c r="F961" s="37" t="s">
        <v>127</v>
      </c>
      <c r="G961" s="37"/>
      <c r="H961" s="37" t="s">
        <v>60</v>
      </c>
      <c r="I961" s="37"/>
      <c r="J961" s="37" t="s">
        <v>126</v>
      </c>
      <c r="K961" s="37" t="s">
        <v>1202</v>
      </c>
      <c r="L961" s="39" t="n">
        <v>5844</v>
      </c>
      <c r="M961" s="39" t="n">
        <v>5675</v>
      </c>
      <c r="N961" s="39" t="n">
        <v>1132</v>
      </c>
      <c r="O961" s="39" t="n">
        <v>128</v>
      </c>
      <c r="P961" s="39" t="n">
        <v>19</v>
      </c>
      <c r="Q961" s="39" t="n">
        <v>169</v>
      </c>
      <c r="R961" s="39" t="n">
        <v>134</v>
      </c>
      <c r="S961" s="39" t="n">
        <v>0</v>
      </c>
      <c r="T961" s="40" t="n">
        <f aca="false">IF(M961=0,0,N961/M961)</f>
        <v>0.199471365638767</v>
      </c>
      <c r="U961" s="40" t="n">
        <f aca="false">IF(M961=0,0,O961/M961)</f>
        <v>0.0225550660792952</v>
      </c>
      <c r="V961" s="41" t="n">
        <f aca="false">IF(M961=0,0,P961/M961)</f>
        <v>0.00334801762114537</v>
      </c>
      <c r="W961" s="40" t="n">
        <f aca="false">IF(L961=0,0,Q961/L961)</f>
        <v>0.0289185489390828</v>
      </c>
    </row>
    <row r="962" customFormat="false" ht="15" hidden="false" customHeight="false" outlineLevel="0" collapsed="false">
      <c r="A962" s="37" t="s">
        <v>2294</v>
      </c>
      <c r="B962" s="38" t="n">
        <v>45950.9586342593</v>
      </c>
      <c r="C962" s="37" t="s">
        <v>1201</v>
      </c>
      <c r="D962" s="37" t="s">
        <v>2295</v>
      </c>
      <c r="E962" s="37" t="s">
        <v>1591</v>
      </c>
      <c r="F962" s="37" t="s">
        <v>127</v>
      </c>
      <c r="G962" s="37"/>
      <c r="H962" s="37" t="s">
        <v>60</v>
      </c>
      <c r="I962" s="37"/>
      <c r="J962" s="37" t="s">
        <v>126</v>
      </c>
      <c r="K962" s="37" t="s">
        <v>1202</v>
      </c>
      <c r="L962" s="39" t="n">
        <v>42</v>
      </c>
      <c r="M962" s="39" t="n">
        <v>42</v>
      </c>
      <c r="N962" s="39" t="n">
        <v>6</v>
      </c>
      <c r="O962" s="39" t="n">
        <v>0</v>
      </c>
      <c r="P962" s="39" t="n">
        <v>0</v>
      </c>
      <c r="Q962" s="39" t="n">
        <v>0</v>
      </c>
      <c r="R962" s="39" t="n">
        <v>0</v>
      </c>
      <c r="S962" s="39" t="n">
        <v>0</v>
      </c>
      <c r="T962" s="40" t="n">
        <f aca="false">IF(M962=0,0,N962/M962)</f>
        <v>0.142857142857143</v>
      </c>
      <c r="U962" s="40" t="n">
        <f aca="false">IF(M962=0,0,O962/M962)</f>
        <v>0</v>
      </c>
      <c r="V962" s="41" t="n">
        <f aca="false">IF(M962=0,0,P962/M962)</f>
        <v>0</v>
      </c>
      <c r="W962" s="40" t="n">
        <f aca="false">IF(L962=0,0,Q962/L962)</f>
        <v>0</v>
      </c>
    </row>
    <row r="963" customFormat="false" ht="15" hidden="false" customHeight="false" outlineLevel="0" collapsed="false">
      <c r="A963" s="37" t="s">
        <v>2296</v>
      </c>
      <c r="B963" s="38" t="n">
        <v>45950.9584953704</v>
      </c>
      <c r="C963" s="37" t="s">
        <v>1201</v>
      </c>
      <c r="D963" s="37" t="s">
        <v>2297</v>
      </c>
      <c r="E963" s="37" t="s">
        <v>1591</v>
      </c>
      <c r="F963" s="37" t="s">
        <v>127</v>
      </c>
      <c r="G963" s="37"/>
      <c r="H963" s="37" t="s">
        <v>60</v>
      </c>
      <c r="I963" s="37"/>
      <c r="J963" s="37" t="s">
        <v>126</v>
      </c>
      <c r="K963" s="37" t="s">
        <v>1202</v>
      </c>
      <c r="L963" s="39" t="n">
        <v>46</v>
      </c>
      <c r="M963" s="39" t="n">
        <v>46</v>
      </c>
      <c r="N963" s="39" t="n">
        <v>11</v>
      </c>
      <c r="O963" s="39" t="n">
        <v>4</v>
      </c>
      <c r="P963" s="39" t="n">
        <v>0</v>
      </c>
      <c r="Q963" s="39" t="n">
        <v>0</v>
      </c>
      <c r="R963" s="39" t="n">
        <v>0</v>
      </c>
      <c r="S963" s="39" t="n">
        <v>0</v>
      </c>
      <c r="T963" s="40" t="n">
        <f aca="false">IF(M963=0,0,N963/M963)</f>
        <v>0.239130434782609</v>
      </c>
      <c r="U963" s="40" t="n">
        <f aca="false">IF(M963=0,0,O963/M963)</f>
        <v>0.0869565217391304</v>
      </c>
      <c r="V963" s="41" t="n">
        <f aca="false">IF(M963=0,0,P963/M963)</f>
        <v>0</v>
      </c>
      <c r="W963" s="40" t="n">
        <f aca="false">IF(L963=0,0,Q963/L963)</f>
        <v>0</v>
      </c>
    </row>
    <row r="964" customFormat="false" ht="15" hidden="false" customHeight="false" outlineLevel="0" collapsed="false">
      <c r="A964" s="37" t="s">
        <v>2298</v>
      </c>
      <c r="B964" s="38" t="n">
        <v>45950.9584606482</v>
      </c>
      <c r="C964" s="37" t="s">
        <v>1201</v>
      </c>
      <c r="D964" s="37" t="s">
        <v>2299</v>
      </c>
      <c r="E964" s="37" t="s">
        <v>1591</v>
      </c>
      <c r="F964" s="37" t="s">
        <v>127</v>
      </c>
      <c r="G964" s="37"/>
      <c r="H964" s="37" t="s">
        <v>60</v>
      </c>
      <c r="I964" s="37"/>
      <c r="J964" s="37" t="s">
        <v>126</v>
      </c>
      <c r="K964" s="37" t="s">
        <v>1202</v>
      </c>
      <c r="L964" s="39" t="n">
        <v>76</v>
      </c>
      <c r="M964" s="39" t="n">
        <v>75</v>
      </c>
      <c r="N964" s="39" t="n">
        <v>23</v>
      </c>
      <c r="O964" s="39" t="n">
        <v>3</v>
      </c>
      <c r="P964" s="39" t="n">
        <v>0</v>
      </c>
      <c r="Q964" s="39" t="n">
        <v>1</v>
      </c>
      <c r="R964" s="39" t="n">
        <v>1</v>
      </c>
      <c r="S964" s="39" t="n">
        <v>0</v>
      </c>
      <c r="T964" s="40" t="n">
        <f aca="false">IF(M964=0,0,N964/M964)</f>
        <v>0.306666666666667</v>
      </c>
      <c r="U964" s="40" t="n">
        <f aca="false">IF(M964=0,0,O964/M964)</f>
        <v>0.04</v>
      </c>
      <c r="V964" s="41" t="n">
        <f aca="false">IF(M964=0,0,P964/M964)</f>
        <v>0</v>
      </c>
      <c r="W964" s="40" t="n">
        <f aca="false">IF(L964=0,0,Q964/L964)</f>
        <v>0.0131578947368421</v>
      </c>
    </row>
    <row r="965" customFormat="false" ht="15" hidden="false" customHeight="false" outlineLevel="0" collapsed="false">
      <c r="A965" s="37" t="s">
        <v>2300</v>
      </c>
      <c r="B965" s="38" t="n">
        <v>45950.3964236111</v>
      </c>
      <c r="C965" s="37" t="s">
        <v>1201</v>
      </c>
      <c r="D965" s="37" t="s">
        <v>1372</v>
      </c>
      <c r="E965" s="37" t="s">
        <v>1373</v>
      </c>
      <c r="F965" s="37" t="s">
        <v>537</v>
      </c>
      <c r="G965" s="37"/>
      <c r="H965" s="37" t="s">
        <v>60</v>
      </c>
      <c r="I965" s="37"/>
      <c r="J965" s="37" t="s">
        <v>296</v>
      </c>
      <c r="K965" s="37" t="s">
        <v>1202</v>
      </c>
      <c r="L965" s="39" t="n">
        <v>1</v>
      </c>
      <c r="M965" s="39" t="n">
        <v>1</v>
      </c>
      <c r="N965" s="39" t="n">
        <v>1</v>
      </c>
      <c r="O965" s="39" t="n">
        <v>0</v>
      </c>
      <c r="P965" s="39" t="n">
        <v>0</v>
      </c>
      <c r="Q965" s="39" t="n">
        <v>0</v>
      </c>
      <c r="R965" s="39" t="n">
        <v>0</v>
      </c>
      <c r="S965" s="39" t="n">
        <v>0</v>
      </c>
      <c r="T965" s="40" t="n">
        <f aca="false">IF(M965=0,0,N965/M965)</f>
        <v>1</v>
      </c>
      <c r="U965" s="40" t="n">
        <f aca="false">IF(M965=0,0,O965/M965)</f>
        <v>0</v>
      </c>
      <c r="V965" s="41" t="n">
        <f aca="false">IF(M965=0,0,P965/M965)</f>
        <v>0</v>
      </c>
      <c r="W965" s="40" t="n">
        <f aca="false">IF(L965=0,0,Q965/L965)</f>
        <v>0</v>
      </c>
    </row>
    <row r="966" customFormat="false" ht="15" hidden="false" customHeight="false" outlineLevel="0" collapsed="false">
      <c r="A966" s="37" t="s">
        <v>241</v>
      </c>
      <c r="B966" s="38" t="n">
        <v>45950.3418402778</v>
      </c>
      <c r="C966" s="37" t="s">
        <v>1201</v>
      </c>
      <c r="D966" s="37" t="s">
        <v>243</v>
      </c>
      <c r="E966" s="37" t="s">
        <v>193</v>
      </c>
      <c r="F966" s="37" t="s">
        <v>546</v>
      </c>
      <c r="G966" s="37" t="s">
        <v>546</v>
      </c>
      <c r="H966" s="37" t="s">
        <v>61</v>
      </c>
      <c r="I966" s="37" t="s">
        <v>241</v>
      </c>
      <c r="J966" s="37" t="s">
        <v>242</v>
      </c>
      <c r="K966" s="37" t="s">
        <v>1202</v>
      </c>
      <c r="L966" s="39" t="n">
        <v>797</v>
      </c>
      <c r="M966" s="39" t="n">
        <v>725</v>
      </c>
      <c r="N966" s="39" t="n">
        <v>198</v>
      </c>
      <c r="O966" s="39" t="n">
        <v>32</v>
      </c>
      <c r="P966" s="39" t="n">
        <v>7</v>
      </c>
      <c r="Q966" s="39" t="n">
        <v>72</v>
      </c>
      <c r="R966" s="39" t="n">
        <v>71</v>
      </c>
      <c r="S966" s="39" t="n">
        <v>0</v>
      </c>
      <c r="T966" s="40" t="n">
        <f aca="false">IF(M966=0,0,N966/M966)</f>
        <v>0.273103448275862</v>
      </c>
      <c r="U966" s="40" t="n">
        <f aca="false">IF(M966=0,0,O966/M966)</f>
        <v>0.0441379310344828</v>
      </c>
      <c r="V966" s="41" t="n">
        <f aca="false">IF(M966=0,0,P966/M966)</f>
        <v>0.0096551724137931</v>
      </c>
      <c r="W966" s="40" t="n">
        <f aca="false">IF(L966=0,0,Q966/L966)</f>
        <v>0.0903387703889586</v>
      </c>
    </row>
    <row r="967" customFormat="false" ht="15" hidden="false" customHeight="false" outlineLevel="0" collapsed="false">
      <c r="A967" s="37" t="s">
        <v>1960</v>
      </c>
      <c r="B967" s="38" t="n">
        <v>45950.3374768519</v>
      </c>
      <c r="C967" s="37" t="s">
        <v>1201</v>
      </c>
      <c r="D967" s="37" t="s">
        <v>1211</v>
      </c>
      <c r="E967" s="37" t="s">
        <v>1212</v>
      </c>
      <c r="F967" s="37" t="s">
        <v>544</v>
      </c>
      <c r="G967" s="37"/>
      <c r="H967" s="37" t="s">
        <v>60</v>
      </c>
      <c r="I967" s="37"/>
      <c r="J967" s="37" t="s">
        <v>100</v>
      </c>
      <c r="K967" s="37" t="s">
        <v>1213</v>
      </c>
      <c r="L967" s="39" t="n">
        <v>144</v>
      </c>
      <c r="M967" s="39" t="n">
        <v>144</v>
      </c>
      <c r="N967" s="39" t="n">
        <v>64</v>
      </c>
      <c r="O967" s="39" t="n">
        <v>12</v>
      </c>
      <c r="P967" s="39" t="n">
        <v>0</v>
      </c>
      <c r="Q967" s="39" t="n">
        <v>0</v>
      </c>
      <c r="R967" s="39" t="n">
        <v>0</v>
      </c>
      <c r="S967" s="39" t="n">
        <v>0</v>
      </c>
      <c r="T967" s="40" t="n">
        <f aca="false">IF(M967=0,0,N967/M967)</f>
        <v>0.444444444444444</v>
      </c>
      <c r="U967" s="40" t="n">
        <f aca="false">IF(M967=0,0,O967/M967)</f>
        <v>0.0833333333333333</v>
      </c>
      <c r="V967" s="41" t="n">
        <f aca="false">IF(M967=0,0,P967/M967)</f>
        <v>0</v>
      </c>
      <c r="W967" s="40" t="n">
        <f aca="false">IF(L967=0,0,Q967/L967)</f>
        <v>0</v>
      </c>
    </row>
    <row r="968" customFormat="false" ht="15" hidden="false" customHeight="false" outlineLevel="0" collapsed="false">
      <c r="A968" s="37" t="s">
        <v>2301</v>
      </c>
      <c r="B968" s="38" t="n">
        <v>45950.1956597222</v>
      </c>
      <c r="C968" s="37" t="s">
        <v>1201</v>
      </c>
      <c r="D968" s="37" t="s">
        <v>1372</v>
      </c>
      <c r="E968" s="37" t="s">
        <v>1373</v>
      </c>
      <c r="F968" s="37" t="s">
        <v>537</v>
      </c>
      <c r="G968" s="37"/>
      <c r="H968" s="37" t="s">
        <v>63</v>
      </c>
      <c r="I968" s="37"/>
      <c r="J968" s="37" t="s">
        <v>296</v>
      </c>
      <c r="K968" s="37" t="s">
        <v>1202</v>
      </c>
      <c r="L968" s="39" t="n">
        <v>2</v>
      </c>
      <c r="M968" s="39" t="n">
        <v>2</v>
      </c>
      <c r="N968" s="39" t="n">
        <v>2</v>
      </c>
      <c r="O968" s="39" t="n">
        <v>0</v>
      </c>
      <c r="P968" s="39" t="n">
        <v>0</v>
      </c>
      <c r="Q968" s="39" t="n">
        <v>0</v>
      </c>
      <c r="R968" s="39" t="n">
        <v>0</v>
      </c>
      <c r="S968" s="39" t="n">
        <v>0</v>
      </c>
      <c r="T968" s="40" t="n">
        <f aca="false">IF(M968=0,0,N968/M968)</f>
        <v>1</v>
      </c>
      <c r="U968" s="40" t="n">
        <f aca="false">IF(M968=0,0,O968/M968)</f>
        <v>0</v>
      </c>
      <c r="V968" s="41" t="n">
        <f aca="false">IF(M968=0,0,P968/M968)</f>
        <v>0</v>
      </c>
      <c r="W968" s="40" t="n">
        <f aca="false">IF(L968=0,0,Q968/L968)</f>
        <v>0</v>
      </c>
    </row>
    <row r="969" customFormat="false" ht="15" hidden="false" customHeight="false" outlineLevel="0" collapsed="false">
      <c r="A969" s="37" t="s">
        <v>2302</v>
      </c>
      <c r="B969" s="38" t="n">
        <v>45950.1915393519</v>
      </c>
      <c r="C969" s="37" t="s">
        <v>1201</v>
      </c>
      <c r="D969" s="37" t="s">
        <v>152</v>
      </c>
      <c r="E969" s="37" t="s">
        <v>1204</v>
      </c>
      <c r="F969" s="37" t="s">
        <v>152</v>
      </c>
      <c r="G969" s="37" t="s">
        <v>2232</v>
      </c>
      <c r="H969" s="37" t="s">
        <v>60</v>
      </c>
      <c r="I969" s="37"/>
      <c r="J969" s="37" t="s">
        <v>151</v>
      </c>
      <c r="K969" s="37" t="s">
        <v>1202</v>
      </c>
      <c r="L969" s="39" t="n">
        <v>11</v>
      </c>
      <c r="M969" s="39" t="n">
        <v>11</v>
      </c>
      <c r="N969" s="39" t="n">
        <v>9</v>
      </c>
      <c r="O969" s="39" t="n">
        <v>3</v>
      </c>
      <c r="P969" s="39" t="n">
        <v>0</v>
      </c>
      <c r="Q969" s="39" t="n">
        <v>0</v>
      </c>
      <c r="R969" s="39" t="n">
        <v>0</v>
      </c>
      <c r="S969" s="39" t="n">
        <v>0</v>
      </c>
      <c r="T969" s="40" t="n">
        <f aca="false">IF(M969=0,0,N969/M969)</f>
        <v>0.818181818181818</v>
      </c>
      <c r="U969" s="40" t="n">
        <f aca="false">IF(M969=0,0,O969/M969)</f>
        <v>0.272727272727273</v>
      </c>
      <c r="V969" s="41" t="n">
        <f aca="false">IF(M969=0,0,P969/M969)</f>
        <v>0</v>
      </c>
      <c r="W969" s="40" t="n">
        <f aca="false">IF(L969=0,0,Q969/L969)</f>
        <v>0</v>
      </c>
    </row>
    <row r="970" customFormat="false" ht="15" hidden="false" customHeight="false" outlineLevel="0" collapsed="false">
      <c r="A970" s="37" t="s">
        <v>2303</v>
      </c>
      <c r="B970" s="38" t="n">
        <v>45950.190162037</v>
      </c>
      <c r="C970" s="37" t="s">
        <v>1201</v>
      </c>
      <c r="D970" s="37" t="s">
        <v>152</v>
      </c>
      <c r="E970" s="37" t="s">
        <v>1204</v>
      </c>
      <c r="F970" s="37" t="s">
        <v>152</v>
      </c>
      <c r="G970" s="37" t="s">
        <v>2232</v>
      </c>
      <c r="H970" s="37" t="s">
        <v>60</v>
      </c>
      <c r="I970" s="37"/>
      <c r="J970" s="37" t="s">
        <v>151</v>
      </c>
      <c r="K970" s="37" t="s">
        <v>1202</v>
      </c>
      <c r="L970" s="39" t="n">
        <v>0</v>
      </c>
      <c r="M970" s="39" t="n">
        <v>0</v>
      </c>
      <c r="N970" s="39" t="n">
        <v>0</v>
      </c>
      <c r="O970" s="39" t="n">
        <v>0</v>
      </c>
      <c r="P970" s="39" t="n">
        <v>0</v>
      </c>
      <c r="Q970" s="39" t="n">
        <v>0</v>
      </c>
      <c r="R970" s="39" t="n">
        <v>0</v>
      </c>
      <c r="S970" s="39" t="n">
        <v>0</v>
      </c>
      <c r="T970" s="40" t="n">
        <f aca="false">IF(M970=0,0,N970/M970)</f>
        <v>0</v>
      </c>
      <c r="U970" s="40" t="n">
        <f aca="false">IF(M970=0,0,O970/M970)</f>
        <v>0</v>
      </c>
      <c r="V970" s="41" t="n">
        <f aca="false">IF(M970=0,0,P970/M970)</f>
        <v>0</v>
      </c>
      <c r="W970" s="40" t="n">
        <f aca="false">IF(L970=0,0,Q970/L970)</f>
        <v>0</v>
      </c>
    </row>
    <row r="971" customFormat="false" ht="15" hidden="false" customHeight="false" outlineLevel="0" collapsed="false">
      <c r="A971" s="37" t="s">
        <v>2304</v>
      </c>
      <c r="B971" s="38" t="n">
        <v>45949.9995138889</v>
      </c>
      <c r="C971" s="37" t="s">
        <v>1201</v>
      </c>
      <c r="D971" s="37" t="s">
        <v>152</v>
      </c>
      <c r="E971" s="37" t="s">
        <v>1344</v>
      </c>
      <c r="F971" s="37" t="s">
        <v>152</v>
      </c>
      <c r="G971" s="37" t="s">
        <v>2232</v>
      </c>
      <c r="H971" s="37" t="s">
        <v>60</v>
      </c>
      <c r="I971" s="37"/>
      <c r="J971" s="37" t="s">
        <v>151</v>
      </c>
      <c r="K971" s="37" t="s">
        <v>1202</v>
      </c>
      <c r="L971" s="39" t="n">
        <v>18</v>
      </c>
      <c r="M971" s="39" t="n">
        <v>18</v>
      </c>
      <c r="N971" s="39" t="n">
        <v>3</v>
      </c>
      <c r="O971" s="39" t="n">
        <v>0</v>
      </c>
      <c r="P971" s="39" t="n">
        <v>0</v>
      </c>
      <c r="Q971" s="39" t="n">
        <v>0</v>
      </c>
      <c r="R971" s="39" t="n">
        <v>0</v>
      </c>
      <c r="S971" s="39" t="n">
        <v>0</v>
      </c>
      <c r="T971" s="40" t="n">
        <f aca="false">IF(M971=0,0,N971/M971)</f>
        <v>0.166666666666667</v>
      </c>
      <c r="U971" s="40" t="n">
        <f aca="false">IF(M971=0,0,O971/M971)</f>
        <v>0</v>
      </c>
      <c r="V971" s="41" t="n">
        <f aca="false">IF(M971=0,0,P971/M971)</f>
        <v>0</v>
      </c>
      <c r="W971" s="40" t="n">
        <f aca="false">IF(L971=0,0,Q971/L971)</f>
        <v>0</v>
      </c>
    </row>
    <row r="972" customFormat="false" ht="15" hidden="false" customHeight="false" outlineLevel="0" collapsed="false">
      <c r="A972" s="37" t="s">
        <v>2305</v>
      </c>
      <c r="B972" s="38" t="n">
        <v>45949.9942939815</v>
      </c>
      <c r="C972" s="37" t="s">
        <v>1201</v>
      </c>
      <c r="D972" s="37" t="s">
        <v>152</v>
      </c>
      <c r="E972" s="37" t="s">
        <v>1204</v>
      </c>
      <c r="F972" s="37" t="s">
        <v>152</v>
      </c>
      <c r="G972" s="37" t="s">
        <v>2232</v>
      </c>
      <c r="H972" s="37" t="s">
        <v>60</v>
      </c>
      <c r="I972" s="37"/>
      <c r="J972" s="37" t="s">
        <v>151</v>
      </c>
      <c r="K972" s="37" t="s">
        <v>1202</v>
      </c>
      <c r="L972" s="39" t="n">
        <v>5</v>
      </c>
      <c r="M972" s="39" t="n">
        <v>5</v>
      </c>
      <c r="N972" s="39" t="n">
        <v>3</v>
      </c>
      <c r="O972" s="39" t="n">
        <v>1</v>
      </c>
      <c r="P972" s="39" t="n">
        <v>0</v>
      </c>
      <c r="Q972" s="39" t="n">
        <v>0</v>
      </c>
      <c r="R972" s="39" t="n">
        <v>0</v>
      </c>
      <c r="S972" s="39" t="n">
        <v>0</v>
      </c>
      <c r="T972" s="40" t="n">
        <f aca="false">IF(M972=0,0,N972/M972)</f>
        <v>0.6</v>
      </c>
      <c r="U972" s="40" t="n">
        <f aca="false">IF(M972=0,0,O972/M972)</f>
        <v>0.2</v>
      </c>
      <c r="V972" s="41" t="n">
        <f aca="false">IF(M972=0,0,P972/M972)</f>
        <v>0</v>
      </c>
      <c r="W972" s="40" t="n">
        <f aca="false">IF(L972=0,0,Q972/L972)</f>
        <v>0</v>
      </c>
    </row>
    <row r="973" customFormat="false" ht="15" hidden="false" customHeight="false" outlineLevel="0" collapsed="false">
      <c r="A973" s="37" t="s">
        <v>2306</v>
      </c>
      <c r="B973" s="38" t="n">
        <v>45949.9900462963</v>
      </c>
      <c r="C973" s="37" t="s">
        <v>1201</v>
      </c>
      <c r="D973" s="37" t="s">
        <v>152</v>
      </c>
      <c r="E973" s="37" t="s">
        <v>1344</v>
      </c>
      <c r="F973" s="37" t="s">
        <v>152</v>
      </c>
      <c r="G973" s="37" t="s">
        <v>2232</v>
      </c>
      <c r="H973" s="37" t="s">
        <v>60</v>
      </c>
      <c r="I973" s="37"/>
      <c r="J973" s="37" t="s">
        <v>151</v>
      </c>
      <c r="K973" s="37" t="s">
        <v>1202</v>
      </c>
      <c r="L973" s="39" t="n">
        <v>109</v>
      </c>
      <c r="M973" s="39" t="n">
        <v>105</v>
      </c>
      <c r="N973" s="39" t="n">
        <v>46</v>
      </c>
      <c r="O973" s="39" t="n">
        <v>21</v>
      </c>
      <c r="P973" s="39" t="n">
        <v>0</v>
      </c>
      <c r="Q973" s="39" t="n">
        <v>4</v>
      </c>
      <c r="R973" s="39" t="n">
        <v>4</v>
      </c>
      <c r="S973" s="39" t="n">
        <v>0</v>
      </c>
      <c r="T973" s="40" t="n">
        <f aca="false">IF(M973=0,0,N973/M973)</f>
        <v>0.438095238095238</v>
      </c>
      <c r="U973" s="40" t="n">
        <f aca="false">IF(M973=0,0,O973/M973)</f>
        <v>0.2</v>
      </c>
      <c r="V973" s="41" t="n">
        <f aca="false">IF(M973=0,0,P973/M973)</f>
        <v>0</v>
      </c>
      <c r="W973" s="40" t="n">
        <f aca="false">IF(L973=0,0,Q973/L973)</f>
        <v>0.036697247706422</v>
      </c>
    </row>
    <row r="974" customFormat="false" ht="15" hidden="false" customHeight="false" outlineLevel="0" collapsed="false">
      <c r="A974" s="37" t="s">
        <v>2307</v>
      </c>
      <c r="B974" s="38" t="n">
        <v>45949.9260532407</v>
      </c>
      <c r="C974" s="37" t="s">
        <v>1201</v>
      </c>
      <c r="D974" s="37" t="s">
        <v>1211</v>
      </c>
      <c r="E974" s="37" t="s">
        <v>1212</v>
      </c>
      <c r="F974" s="37" t="s">
        <v>544</v>
      </c>
      <c r="G974" s="37"/>
      <c r="H974" s="37" t="s">
        <v>60</v>
      </c>
      <c r="I974" s="37"/>
      <c r="J974" s="37" t="s">
        <v>100</v>
      </c>
      <c r="K974" s="37" t="s">
        <v>1213</v>
      </c>
      <c r="L974" s="39" t="n">
        <v>144</v>
      </c>
      <c r="M974" s="39" t="n">
        <v>144</v>
      </c>
      <c r="N974" s="39" t="n">
        <v>82</v>
      </c>
      <c r="O974" s="39" t="n">
        <v>9</v>
      </c>
      <c r="P974" s="39" t="n">
        <v>0</v>
      </c>
      <c r="Q974" s="39" t="n">
        <v>0</v>
      </c>
      <c r="R974" s="39" t="n">
        <v>0</v>
      </c>
      <c r="S974" s="39" t="n">
        <v>0</v>
      </c>
      <c r="T974" s="40" t="n">
        <f aca="false">IF(M974=0,0,N974/M974)</f>
        <v>0.569444444444444</v>
      </c>
      <c r="U974" s="40" t="n">
        <f aca="false">IF(M974=0,0,O974/M974)</f>
        <v>0.0625</v>
      </c>
      <c r="V974" s="41" t="n">
        <f aca="false">IF(M974=0,0,P974/M974)</f>
        <v>0</v>
      </c>
      <c r="W974" s="40" t="n">
        <f aca="false">IF(L974=0,0,Q974/L974)</f>
        <v>0</v>
      </c>
    </row>
    <row r="975" customFormat="false" ht="15" hidden="false" customHeight="false" outlineLevel="0" collapsed="false">
      <c r="A975" s="37" t="s">
        <v>2188</v>
      </c>
      <c r="B975" s="38" t="n">
        <v>45948.042025463</v>
      </c>
      <c r="C975" s="37" t="s">
        <v>1201</v>
      </c>
      <c r="D975" s="37" t="s">
        <v>1372</v>
      </c>
      <c r="E975" s="37" t="s">
        <v>1373</v>
      </c>
      <c r="F975" s="37" t="s">
        <v>537</v>
      </c>
      <c r="G975" s="37"/>
      <c r="H975" s="37" t="s">
        <v>60</v>
      </c>
      <c r="I975" s="37"/>
      <c r="J975" s="37" t="s">
        <v>296</v>
      </c>
      <c r="K975" s="37" t="s">
        <v>1202</v>
      </c>
      <c r="L975" s="39" t="n">
        <v>1</v>
      </c>
      <c r="M975" s="39" t="n">
        <v>1</v>
      </c>
      <c r="N975" s="39" t="n">
        <v>1</v>
      </c>
      <c r="O975" s="39" t="n">
        <v>0</v>
      </c>
      <c r="P975" s="39" t="n">
        <v>0</v>
      </c>
      <c r="Q975" s="39" t="n">
        <v>0</v>
      </c>
      <c r="R975" s="39" t="n">
        <v>0</v>
      </c>
      <c r="S975" s="39" t="n">
        <v>0</v>
      </c>
      <c r="T975" s="40" t="n">
        <f aca="false">IF(M975=0,0,N975/M975)</f>
        <v>1</v>
      </c>
      <c r="U975" s="40" t="n">
        <f aca="false">IF(M975=0,0,O975/M975)</f>
        <v>0</v>
      </c>
      <c r="V975" s="41" t="n">
        <f aca="false">IF(M975=0,0,P975/M975)</f>
        <v>0</v>
      </c>
      <c r="W975" s="40" t="n">
        <f aca="false">IF(L975=0,0,Q975/L975)</f>
        <v>0</v>
      </c>
    </row>
    <row r="976" customFormat="false" ht="15" hidden="false" customHeight="false" outlineLevel="0" collapsed="false">
      <c r="A976" s="37" t="s">
        <v>1773</v>
      </c>
      <c r="B976" s="38" t="n">
        <v>45948.0418171296</v>
      </c>
      <c r="C976" s="37" t="s">
        <v>1201</v>
      </c>
      <c r="D976" s="37" t="s">
        <v>1372</v>
      </c>
      <c r="E976" s="37" t="s">
        <v>1373</v>
      </c>
      <c r="F976" s="37" t="s">
        <v>537</v>
      </c>
      <c r="G976" s="37"/>
      <c r="H976" s="37" t="s">
        <v>63</v>
      </c>
      <c r="I976" s="37"/>
      <c r="J976" s="37" t="s">
        <v>296</v>
      </c>
      <c r="K976" s="37" t="s">
        <v>1202</v>
      </c>
      <c r="L976" s="39" t="n">
        <v>2</v>
      </c>
      <c r="M976" s="39" t="n">
        <v>2</v>
      </c>
      <c r="N976" s="39" t="n">
        <v>2</v>
      </c>
      <c r="O976" s="39" t="n">
        <v>0</v>
      </c>
      <c r="P976" s="39" t="n">
        <v>0</v>
      </c>
      <c r="Q976" s="39" t="n">
        <v>0</v>
      </c>
      <c r="R976" s="39" t="n">
        <v>0</v>
      </c>
      <c r="S976" s="39" t="n">
        <v>0</v>
      </c>
      <c r="T976" s="40" t="n">
        <f aca="false">IF(M976=0,0,N976/M976)</f>
        <v>1</v>
      </c>
      <c r="U976" s="40" t="n">
        <f aca="false">IF(M976=0,0,O976/M976)</f>
        <v>0</v>
      </c>
      <c r="V976" s="41" t="n">
        <f aca="false">IF(M976=0,0,P976/M976)</f>
        <v>0</v>
      </c>
      <c r="W976" s="40" t="n">
        <f aca="false">IF(L976=0,0,Q976/L976)</f>
        <v>0</v>
      </c>
    </row>
    <row r="977" customFormat="false" ht="15" hidden="false" customHeight="false" outlineLevel="0" collapsed="false">
      <c r="A977" s="37" t="s">
        <v>2308</v>
      </c>
      <c r="B977" s="38" t="n">
        <v>45947.7712731482</v>
      </c>
      <c r="C977" s="37" t="s">
        <v>1201</v>
      </c>
      <c r="D977" s="37" t="s">
        <v>1372</v>
      </c>
      <c r="E977" s="37" t="s">
        <v>1373</v>
      </c>
      <c r="F977" s="37" t="s">
        <v>537</v>
      </c>
      <c r="G977" s="37"/>
      <c r="H977" s="37" t="s">
        <v>60</v>
      </c>
      <c r="I977" s="37"/>
      <c r="J977" s="37" t="s">
        <v>296</v>
      </c>
      <c r="K977" s="37" t="s">
        <v>1202</v>
      </c>
      <c r="L977" s="39" t="n">
        <v>2</v>
      </c>
      <c r="M977" s="39" t="n">
        <v>2</v>
      </c>
      <c r="N977" s="39" t="n">
        <v>2</v>
      </c>
      <c r="O977" s="39" t="n">
        <v>0</v>
      </c>
      <c r="P977" s="39" t="n">
        <v>0</v>
      </c>
      <c r="Q977" s="39" t="n">
        <v>0</v>
      </c>
      <c r="R977" s="39" t="n">
        <v>0</v>
      </c>
      <c r="S977" s="39" t="n">
        <v>0</v>
      </c>
      <c r="T977" s="40" t="n">
        <f aca="false">IF(M977=0,0,N977/M977)</f>
        <v>1</v>
      </c>
      <c r="U977" s="40" t="n">
        <f aca="false">IF(M977=0,0,O977/M977)</f>
        <v>0</v>
      </c>
      <c r="V977" s="41" t="n">
        <f aca="false">IF(M977=0,0,P977/M977)</f>
        <v>0</v>
      </c>
      <c r="W977" s="40" t="n">
        <f aca="false">IF(L977=0,0,Q977/L977)</f>
        <v>0</v>
      </c>
    </row>
    <row r="978" customFormat="false" ht="15" hidden="false" customHeight="false" outlineLevel="0" collapsed="false">
      <c r="A978" s="37" t="s">
        <v>2309</v>
      </c>
      <c r="B978" s="38" t="n">
        <v>45947.6254050926</v>
      </c>
      <c r="C978" s="37" t="s">
        <v>1252</v>
      </c>
      <c r="D978" s="37" t="s">
        <v>623</v>
      </c>
      <c r="E978" s="37" t="s">
        <v>166</v>
      </c>
      <c r="F978" s="37" t="s">
        <v>623</v>
      </c>
      <c r="G978" s="37"/>
      <c r="H978" s="37" t="s">
        <v>60</v>
      </c>
      <c r="I978" s="37"/>
      <c r="J978" s="37" t="s">
        <v>164</v>
      </c>
      <c r="K978" s="37" t="s">
        <v>1202</v>
      </c>
      <c r="L978" s="39" t="n">
        <v>2</v>
      </c>
      <c r="M978" s="39" t="n">
        <v>2</v>
      </c>
      <c r="N978" s="39" t="n">
        <v>1</v>
      </c>
      <c r="O978" s="39" t="n">
        <v>0</v>
      </c>
      <c r="P978" s="39" t="n">
        <v>0</v>
      </c>
      <c r="Q978" s="39" t="n">
        <v>0</v>
      </c>
      <c r="R978" s="39" t="n">
        <v>0</v>
      </c>
      <c r="S978" s="39" t="n">
        <v>0</v>
      </c>
      <c r="T978" s="40" t="n">
        <f aca="false">IF(M978=0,0,N978/M978)</f>
        <v>0.5</v>
      </c>
      <c r="U978" s="40" t="n">
        <f aca="false">IF(M978=0,0,O978/M978)</f>
        <v>0</v>
      </c>
      <c r="V978" s="41" t="n">
        <f aca="false">IF(M978=0,0,P978/M978)</f>
        <v>0</v>
      </c>
      <c r="W978" s="40" t="n">
        <f aca="false">IF(L978=0,0,Q978/L978)</f>
        <v>0</v>
      </c>
    </row>
    <row r="979" customFormat="false" ht="15" hidden="false" customHeight="false" outlineLevel="0" collapsed="false">
      <c r="A979" s="37" t="s">
        <v>2310</v>
      </c>
      <c r="B979" s="38" t="n">
        <v>45947.6252314815</v>
      </c>
      <c r="C979" s="37" t="s">
        <v>1252</v>
      </c>
      <c r="D979" s="37" t="s">
        <v>623</v>
      </c>
      <c r="E979" s="37" t="s">
        <v>166</v>
      </c>
      <c r="F979" s="37" t="s">
        <v>623</v>
      </c>
      <c r="G979" s="37"/>
      <c r="H979" s="37" t="s">
        <v>60</v>
      </c>
      <c r="I979" s="37"/>
      <c r="J979" s="37" t="s">
        <v>164</v>
      </c>
      <c r="K979" s="37" t="s">
        <v>1202</v>
      </c>
      <c r="L979" s="39" t="n">
        <v>18</v>
      </c>
      <c r="M979" s="39" t="n">
        <v>18</v>
      </c>
      <c r="N979" s="39" t="n">
        <v>7</v>
      </c>
      <c r="O979" s="39" t="n">
        <v>1</v>
      </c>
      <c r="P979" s="39" t="n">
        <v>0</v>
      </c>
      <c r="Q979" s="39" t="n">
        <v>0</v>
      </c>
      <c r="R979" s="39" t="n">
        <v>0</v>
      </c>
      <c r="S979" s="39" t="n">
        <v>0</v>
      </c>
      <c r="T979" s="40" t="n">
        <f aca="false">IF(M979=0,0,N979/M979)</f>
        <v>0.388888888888889</v>
      </c>
      <c r="U979" s="40" t="n">
        <f aca="false">IF(M979=0,0,O979/M979)</f>
        <v>0.0555555555555556</v>
      </c>
      <c r="V979" s="41" t="n">
        <f aca="false">IF(M979=0,0,P979/M979)</f>
        <v>0</v>
      </c>
      <c r="W979" s="40" t="n">
        <f aca="false">IF(L979=0,0,Q979/L979)</f>
        <v>0</v>
      </c>
    </row>
    <row r="980" customFormat="false" ht="15" hidden="false" customHeight="false" outlineLevel="0" collapsed="false">
      <c r="A980" s="37" t="s">
        <v>2311</v>
      </c>
      <c r="B980" s="38" t="n">
        <v>45947.0421759259</v>
      </c>
      <c r="C980" s="37" t="s">
        <v>1201</v>
      </c>
      <c r="D980" s="37" t="s">
        <v>152</v>
      </c>
      <c r="E980" s="37" t="s">
        <v>1929</v>
      </c>
      <c r="F980" s="37" t="s">
        <v>152</v>
      </c>
      <c r="G980" s="37" t="s">
        <v>2232</v>
      </c>
      <c r="H980" s="37" t="s">
        <v>60</v>
      </c>
      <c r="I980" s="37"/>
      <c r="J980" s="37" t="s">
        <v>151</v>
      </c>
      <c r="K980" s="37" t="s">
        <v>1202</v>
      </c>
      <c r="L980" s="39" t="n">
        <v>2826</v>
      </c>
      <c r="M980" s="39" t="n">
        <v>2808</v>
      </c>
      <c r="N980" s="39" t="n">
        <v>722</v>
      </c>
      <c r="O980" s="39" t="n">
        <v>61</v>
      </c>
      <c r="P980" s="39" t="n">
        <v>9</v>
      </c>
      <c r="Q980" s="39" t="n">
        <v>18</v>
      </c>
      <c r="R980" s="39" t="n">
        <v>11</v>
      </c>
      <c r="S980" s="39" t="n">
        <v>0</v>
      </c>
      <c r="T980" s="40" t="n">
        <f aca="false">IF(M980=0,0,N980/M980)</f>
        <v>0.257122507122507</v>
      </c>
      <c r="U980" s="40" t="n">
        <f aca="false">IF(M980=0,0,O980/M980)</f>
        <v>0.0217236467236467</v>
      </c>
      <c r="V980" s="41" t="n">
        <f aca="false">IF(M980=0,0,P980/M980)</f>
        <v>0.00320512820512821</v>
      </c>
      <c r="W980" s="40" t="n">
        <f aca="false">IF(L980=0,0,Q980/L980)</f>
        <v>0.00636942675159236</v>
      </c>
    </row>
    <row r="981" customFormat="false" ht="15" hidden="false" customHeight="false" outlineLevel="0" collapsed="false">
      <c r="A981" s="37" t="s">
        <v>2271</v>
      </c>
      <c r="B981" s="38" t="n">
        <v>45947.0002893519</v>
      </c>
      <c r="C981" s="37" t="s">
        <v>1201</v>
      </c>
      <c r="D981" s="37" t="s">
        <v>1372</v>
      </c>
      <c r="E981" s="37" t="s">
        <v>1373</v>
      </c>
      <c r="F981" s="37" t="s">
        <v>537</v>
      </c>
      <c r="G981" s="37"/>
      <c r="H981" s="37" t="s">
        <v>60</v>
      </c>
      <c r="I981" s="37"/>
      <c r="J981" s="37" t="s">
        <v>296</v>
      </c>
      <c r="K981" s="37" t="s">
        <v>1202</v>
      </c>
      <c r="L981" s="39" t="n">
        <v>2</v>
      </c>
      <c r="M981" s="39" t="n">
        <v>2</v>
      </c>
      <c r="N981" s="39" t="n">
        <v>1</v>
      </c>
      <c r="O981" s="39" t="n">
        <v>0</v>
      </c>
      <c r="P981" s="39" t="n">
        <v>0</v>
      </c>
      <c r="Q981" s="39" t="n">
        <v>0</v>
      </c>
      <c r="R981" s="39" t="n">
        <v>0</v>
      </c>
      <c r="S981" s="39" t="n">
        <v>0</v>
      </c>
      <c r="T981" s="40" t="n">
        <f aca="false">IF(M981=0,0,N981/M981)</f>
        <v>0.5</v>
      </c>
      <c r="U981" s="40" t="n">
        <f aca="false">IF(M981=0,0,O981/M981)</f>
        <v>0</v>
      </c>
      <c r="V981" s="41" t="n">
        <f aca="false">IF(M981=0,0,P981/M981)</f>
        <v>0</v>
      </c>
      <c r="W981" s="40" t="n">
        <f aca="false">IF(L981=0,0,Q981/L981)</f>
        <v>0</v>
      </c>
    </row>
    <row r="982" customFormat="false" ht="15" hidden="false" customHeight="false" outlineLevel="0" collapsed="false">
      <c r="A982" s="37" t="s">
        <v>2312</v>
      </c>
      <c r="B982" s="38" t="n">
        <v>45946.6253125</v>
      </c>
      <c r="C982" s="37" t="s">
        <v>1252</v>
      </c>
      <c r="D982" s="37" t="s">
        <v>1463</v>
      </c>
      <c r="E982" s="37" t="s">
        <v>1250</v>
      </c>
      <c r="F982" s="37" t="s">
        <v>555</v>
      </c>
      <c r="G982" s="37" t="s">
        <v>1134</v>
      </c>
      <c r="H982" s="37" t="s">
        <v>61</v>
      </c>
      <c r="I982" s="37"/>
      <c r="J982" s="37" t="s">
        <v>229</v>
      </c>
      <c r="K982" s="37" t="s">
        <v>1202</v>
      </c>
      <c r="L982" s="39" t="n">
        <v>2366</v>
      </c>
      <c r="M982" s="39" t="n">
        <v>2335</v>
      </c>
      <c r="N982" s="39" t="n">
        <v>448</v>
      </c>
      <c r="O982" s="39" t="n">
        <v>65</v>
      </c>
      <c r="P982" s="39" t="n">
        <v>14</v>
      </c>
      <c r="Q982" s="39" t="n">
        <v>31</v>
      </c>
      <c r="R982" s="39" t="n">
        <v>20</v>
      </c>
      <c r="S982" s="39" t="n">
        <v>0</v>
      </c>
      <c r="T982" s="40" t="n">
        <f aca="false">IF(M982=0,0,N982/M982)</f>
        <v>0.19186295503212</v>
      </c>
      <c r="U982" s="40" t="n">
        <f aca="false">IF(M982=0,0,O982/M982)</f>
        <v>0.0278372591006424</v>
      </c>
      <c r="V982" s="41" t="n">
        <f aca="false">IF(M982=0,0,P982/M982)</f>
        <v>0.00599571734475375</v>
      </c>
      <c r="W982" s="40" t="n">
        <f aca="false">IF(L982=0,0,Q982/L982)</f>
        <v>0.0131022823330516</v>
      </c>
    </row>
    <row r="983" customFormat="false" ht="15" hidden="false" customHeight="false" outlineLevel="0" collapsed="false">
      <c r="A983" s="37" t="s">
        <v>2313</v>
      </c>
      <c r="B983" s="38" t="n">
        <v>45946.3750115741</v>
      </c>
      <c r="C983" s="37" t="s">
        <v>1201</v>
      </c>
      <c r="D983" s="37" t="s">
        <v>1372</v>
      </c>
      <c r="E983" s="37" t="s">
        <v>1373</v>
      </c>
      <c r="F983" s="37" t="s">
        <v>537</v>
      </c>
      <c r="G983" s="37"/>
      <c r="H983" s="37" t="s">
        <v>63</v>
      </c>
      <c r="I983" s="37"/>
      <c r="J983" s="37" t="s">
        <v>296</v>
      </c>
      <c r="K983" s="37" t="s">
        <v>1202</v>
      </c>
      <c r="L983" s="39" t="n">
        <v>2</v>
      </c>
      <c r="M983" s="39" t="n">
        <v>2</v>
      </c>
      <c r="N983" s="39" t="n">
        <v>2</v>
      </c>
      <c r="O983" s="39" t="n">
        <v>0</v>
      </c>
      <c r="P983" s="39" t="n">
        <v>0</v>
      </c>
      <c r="Q983" s="39" t="n">
        <v>0</v>
      </c>
      <c r="R983" s="39" t="n">
        <v>0</v>
      </c>
      <c r="S983" s="39" t="n">
        <v>0</v>
      </c>
      <c r="T983" s="40" t="n">
        <f aca="false">IF(M983=0,0,N983/M983)</f>
        <v>1</v>
      </c>
      <c r="U983" s="40" t="n">
        <f aca="false">IF(M983=0,0,O983/M983)</f>
        <v>0</v>
      </c>
      <c r="V983" s="41" t="n">
        <f aca="false">IF(M983=0,0,P983/M983)</f>
        <v>0</v>
      </c>
      <c r="W983" s="40" t="n">
        <f aca="false">IF(L983=0,0,Q983/L983)</f>
        <v>0</v>
      </c>
    </row>
    <row r="984" customFormat="false" ht="15" hidden="false" customHeight="false" outlineLevel="0" collapsed="false">
      <c r="A984" s="37" t="s">
        <v>2314</v>
      </c>
      <c r="B984" s="38" t="n">
        <v>45946.2625578704</v>
      </c>
      <c r="C984" s="37" t="s">
        <v>1201</v>
      </c>
      <c r="D984" s="37" t="s">
        <v>1526</v>
      </c>
      <c r="E984" s="37" t="s">
        <v>1527</v>
      </c>
      <c r="F984" s="37" t="s">
        <v>544</v>
      </c>
      <c r="G984" s="37"/>
      <c r="H984" s="37" t="s">
        <v>60</v>
      </c>
      <c r="I984" s="37"/>
      <c r="J984" s="37" t="s">
        <v>394</v>
      </c>
      <c r="K984" s="37" t="s">
        <v>1202</v>
      </c>
      <c r="L984" s="39" t="n">
        <v>882</v>
      </c>
      <c r="M984" s="39" t="n">
        <v>879</v>
      </c>
      <c r="N984" s="39" t="n">
        <v>397</v>
      </c>
      <c r="O984" s="39" t="n">
        <v>23</v>
      </c>
      <c r="P984" s="39" t="n">
        <v>11</v>
      </c>
      <c r="Q984" s="39" t="n">
        <v>3</v>
      </c>
      <c r="R984" s="39" t="n">
        <v>1</v>
      </c>
      <c r="S984" s="39" t="n">
        <v>0</v>
      </c>
      <c r="T984" s="40" t="n">
        <f aca="false">IF(M984=0,0,N984/M984)</f>
        <v>0.45164960182025</v>
      </c>
      <c r="U984" s="40" t="n">
        <f aca="false">IF(M984=0,0,O984/M984)</f>
        <v>0.0261660978384528</v>
      </c>
      <c r="V984" s="41" t="n">
        <f aca="false">IF(M984=0,0,P984/M984)</f>
        <v>0.012514220705347</v>
      </c>
      <c r="W984" s="40" t="n">
        <f aca="false">IF(L984=0,0,Q984/L984)</f>
        <v>0.00340136054421769</v>
      </c>
    </row>
    <row r="985" customFormat="false" ht="15" hidden="false" customHeight="false" outlineLevel="0" collapsed="false">
      <c r="A985" s="37" t="s">
        <v>2315</v>
      </c>
      <c r="B985" s="38" t="n">
        <v>45945.4724074074</v>
      </c>
      <c r="C985" s="37" t="s">
        <v>1201</v>
      </c>
      <c r="D985" s="37" t="s">
        <v>198</v>
      </c>
      <c r="E985" s="37" t="s">
        <v>1222</v>
      </c>
      <c r="F985" s="37" t="s">
        <v>555</v>
      </c>
      <c r="G985" s="37" t="s">
        <v>1134</v>
      </c>
      <c r="H985" s="37" t="s">
        <v>65</v>
      </c>
      <c r="I985" s="37" t="s">
        <v>197</v>
      </c>
      <c r="J985" s="37" t="s">
        <v>191</v>
      </c>
      <c r="K985" s="37" t="s">
        <v>1202</v>
      </c>
      <c r="L985" s="39" t="n">
        <v>6587</v>
      </c>
      <c r="M985" s="39" t="n">
        <v>6514</v>
      </c>
      <c r="N985" s="39" t="n">
        <v>2012</v>
      </c>
      <c r="O985" s="39" t="n">
        <v>85</v>
      </c>
      <c r="P985" s="39" t="n">
        <v>54</v>
      </c>
      <c r="Q985" s="39" t="n">
        <v>73</v>
      </c>
      <c r="R985" s="39" t="n">
        <v>46</v>
      </c>
      <c r="S985" s="39" t="n">
        <v>0</v>
      </c>
      <c r="T985" s="40" t="n">
        <f aca="false">IF(M985=0,0,N985/M985)</f>
        <v>0.308873196192815</v>
      </c>
      <c r="U985" s="40" t="n">
        <f aca="false">IF(M985=0,0,O985/M985)</f>
        <v>0.013048817930611</v>
      </c>
      <c r="V985" s="41" t="n">
        <f aca="false">IF(M985=0,0,P985/M985)</f>
        <v>0.00828983727356463</v>
      </c>
      <c r="W985" s="40" t="n">
        <f aca="false">IF(L985=0,0,Q985/L985)</f>
        <v>0.0110824350994383</v>
      </c>
    </row>
    <row r="986" customFormat="false" ht="15" hidden="false" customHeight="false" outlineLevel="0" collapsed="false">
      <c r="A986" s="37" t="s">
        <v>2316</v>
      </c>
      <c r="B986" s="38" t="n">
        <v>45945.3675810185</v>
      </c>
      <c r="C986" s="37" t="s">
        <v>1201</v>
      </c>
      <c r="D986" s="37" t="s">
        <v>1211</v>
      </c>
      <c r="E986" s="37" t="s">
        <v>1212</v>
      </c>
      <c r="F986" s="37" t="s">
        <v>544</v>
      </c>
      <c r="G986" s="37"/>
      <c r="H986" s="37" t="s">
        <v>60</v>
      </c>
      <c r="I986" s="37"/>
      <c r="J986" s="37" t="s">
        <v>100</v>
      </c>
      <c r="K986" s="37" t="s">
        <v>1213</v>
      </c>
      <c r="L986" s="39" t="n">
        <v>146</v>
      </c>
      <c r="M986" s="39" t="n">
        <v>146</v>
      </c>
      <c r="N986" s="39" t="n">
        <v>78</v>
      </c>
      <c r="O986" s="39" t="n">
        <v>7</v>
      </c>
      <c r="P986" s="39" t="n">
        <v>0</v>
      </c>
      <c r="Q986" s="39" t="n">
        <v>0</v>
      </c>
      <c r="R986" s="39" t="n">
        <v>0</v>
      </c>
      <c r="S986" s="39" t="n">
        <v>0</v>
      </c>
      <c r="T986" s="40" t="n">
        <f aca="false">IF(M986=0,0,N986/M986)</f>
        <v>0.534246575342466</v>
      </c>
      <c r="U986" s="40" t="n">
        <f aca="false">IF(M986=0,0,O986/M986)</f>
        <v>0.0479452054794521</v>
      </c>
      <c r="V986" s="41" t="n">
        <f aca="false">IF(M986=0,0,P986/M986)</f>
        <v>0</v>
      </c>
      <c r="W986" s="40" t="n">
        <f aca="false">IF(L986=0,0,Q986/L986)</f>
        <v>0</v>
      </c>
    </row>
    <row r="987" customFormat="false" ht="15" hidden="false" customHeight="false" outlineLevel="0" collapsed="false">
      <c r="A987" s="37" t="s">
        <v>2317</v>
      </c>
      <c r="B987" s="38" t="n">
        <v>45944.8128125</v>
      </c>
      <c r="C987" s="37" t="s">
        <v>1201</v>
      </c>
      <c r="D987" s="37" t="s">
        <v>152</v>
      </c>
      <c r="E987" s="37" t="s">
        <v>1344</v>
      </c>
      <c r="F987" s="37" t="s">
        <v>152</v>
      </c>
      <c r="G987" s="37" t="s">
        <v>2232</v>
      </c>
      <c r="H987" s="37" t="s">
        <v>60</v>
      </c>
      <c r="I987" s="37"/>
      <c r="J987" s="37" t="s">
        <v>151</v>
      </c>
      <c r="K987" s="37" t="s">
        <v>1202</v>
      </c>
      <c r="L987" s="39" t="n">
        <v>4048</v>
      </c>
      <c r="M987" s="39" t="n">
        <v>3827</v>
      </c>
      <c r="N987" s="39" t="n">
        <v>834</v>
      </c>
      <c r="O987" s="39" t="n">
        <v>51</v>
      </c>
      <c r="P987" s="39" t="n">
        <v>35</v>
      </c>
      <c r="Q987" s="39" t="n">
        <v>221</v>
      </c>
      <c r="R987" s="39" t="n">
        <v>205</v>
      </c>
      <c r="S987" s="39" t="n">
        <v>0</v>
      </c>
      <c r="T987" s="40" t="n">
        <f aca="false">IF(M987=0,0,N987/M987)</f>
        <v>0.217925267833812</v>
      </c>
      <c r="U987" s="40" t="n">
        <f aca="false">IF(M987=0,0,O987/M987)</f>
        <v>0.01332636529919</v>
      </c>
      <c r="V987" s="41" t="n">
        <f aca="false">IF(M987=0,0,P987/M987)</f>
        <v>0.00914554481316958</v>
      </c>
      <c r="W987" s="40" t="n">
        <f aca="false">IF(L987=0,0,Q987/L987)</f>
        <v>0.0545948616600791</v>
      </c>
    </row>
    <row r="988" customFormat="false" ht="15" hidden="false" customHeight="false" outlineLevel="0" collapsed="false">
      <c r="A988" s="37" t="s">
        <v>2318</v>
      </c>
      <c r="B988" s="38" t="n">
        <v>45944.6570138889</v>
      </c>
      <c r="C988" s="37" t="s">
        <v>1201</v>
      </c>
      <c r="D988" s="37" t="s">
        <v>1453</v>
      </c>
      <c r="E988" s="37" t="s">
        <v>1360</v>
      </c>
      <c r="F988" s="37" t="s">
        <v>544</v>
      </c>
      <c r="G988" s="37"/>
      <c r="H988" s="37" t="s">
        <v>60</v>
      </c>
      <c r="I988" s="37"/>
      <c r="J988" s="37" t="s">
        <v>100</v>
      </c>
      <c r="K988" s="37" t="s">
        <v>1202</v>
      </c>
      <c r="L988" s="39" t="n">
        <v>1716</v>
      </c>
      <c r="M988" s="39" t="n">
        <v>1703</v>
      </c>
      <c r="N988" s="39" t="n">
        <v>676</v>
      </c>
      <c r="O988" s="39" t="n">
        <v>219</v>
      </c>
      <c r="P988" s="39" t="n">
        <v>11</v>
      </c>
      <c r="Q988" s="39" t="n">
        <v>13</v>
      </c>
      <c r="R988" s="39" t="n">
        <v>9</v>
      </c>
      <c r="S988" s="39" t="n">
        <v>0</v>
      </c>
      <c r="T988" s="40" t="n">
        <f aca="false">IF(M988=0,0,N988/M988)</f>
        <v>0.396946564885496</v>
      </c>
      <c r="U988" s="40" t="n">
        <f aca="false">IF(M988=0,0,O988/M988)</f>
        <v>0.128596594245449</v>
      </c>
      <c r="V988" s="41" t="n">
        <f aca="false">IF(M988=0,0,P988/M988)</f>
        <v>0.00645918966529654</v>
      </c>
      <c r="W988" s="40" t="n">
        <f aca="false">IF(L988=0,0,Q988/L988)</f>
        <v>0.00757575757575758</v>
      </c>
    </row>
    <row r="989" customFormat="false" ht="15" hidden="false" customHeight="false" outlineLevel="0" collapsed="false">
      <c r="A989" s="37" t="s">
        <v>2319</v>
      </c>
      <c r="B989" s="38" t="n">
        <v>45944.4841435185</v>
      </c>
      <c r="C989" s="37" t="s">
        <v>1201</v>
      </c>
      <c r="D989" s="37" t="s">
        <v>1211</v>
      </c>
      <c r="E989" s="37" t="s">
        <v>1212</v>
      </c>
      <c r="F989" s="37" t="s">
        <v>544</v>
      </c>
      <c r="G989" s="37"/>
      <c r="H989" s="37" t="s">
        <v>60</v>
      </c>
      <c r="I989" s="37"/>
      <c r="J989" s="37" t="s">
        <v>100</v>
      </c>
      <c r="K989" s="37" t="s">
        <v>1213</v>
      </c>
      <c r="L989" s="39" t="n">
        <v>146</v>
      </c>
      <c r="M989" s="39" t="n">
        <v>146</v>
      </c>
      <c r="N989" s="39" t="n">
        <v>87</v>
      </c>
      <c r="O989" s="39" t="n">
        <v>0</v>
      </c>
      <c r="P989" s="39" t="n">
        <v>0</v>
      </c>
      <c r="Q989" s="39" t="n">
        <v>0</v>
      </c>
      <c r="R989" s="39" t="n">
        <v>0</v>
      </c>
      <c r="S989" s="39" t="n">
        <v>0</v>
      </c>
      <c r="T989" s="40" t="n">
        <f aca="false">IF(M989=0,0,N989/M989)</f>
        <v>0.595890410958904</v>
      </c>
      <c r="U989" s="40" t="n">
        <f aca="false">IF(M989=0,0,O989/M989)</f>
        <v>0</v>
      </c>
      <c r="V989" s="41" t="n">
        <f aca="false">IF(M989=0,0,P989/M989)</f>
        <v>0</v>
      </c>
      <c r="W989" s="40" t="n">
        <f aca="false">IF(L989=0,0,Q989/L989)</f>
        <v>0</v>
      </c>
    </row>
    <row r="990" customFormat="false" ht="15" hidden="false" customHeight="false" outlineLevel="0" collapsed="false">
      <c r="A990" s="37" t="s">
        <v>2320</v>
      </c>
      <c r="B990" s="38" t="n">
        <v>45944.4558101852</v>
      </c>
      <c r="C990" s="37" t="s">
        <v>1201</v>
      </c>
      <c r="D990" s="37" t="s">
        <v>1211</v>
      </c>
      <c r="E990" s="37" t="s">
        <v>1212</v>
      </c>
      <c r="F990" s="37" t="s">
        <v>544</v>
      </c>
      <c r="G990" s="37"/>
      <c r="H990" s="37" t="s">
        <v>64</v>
      </c>
      <c r="I990" s="37"/>
      <c r="J990" s="37" t="s">
        <v>100</v>
      </c>
      <c r="K990" s="37" t="s">
        <v>1213</v>
      </c>
      <c r="L990" s="39" t="n">
        <v>147</v>
      </c>
      <c r="M990" s="39" t="n">
        <v>147</v>
      </c>
      <c r="N990" s="39" t="n">
        <v>86</v>
      </c>
      <c r="O990" s="39" t="n">
        <v>0</v>
      </c>
      <c r="P990" s="39" t="n">
        <v>1</v>
      </c>
      <c r="Q990" s="39" t="n">
        <v>0</v>
      </c>
      <c r="R990" s="39" t="n">
        <v>0</v>
      </c>
      <c r="S990" s="39" t="n">
        <v>0</v>
      </c>
      <c r="T990" s="40" t="n">
        <f aca="false">IF(M990=0,0,N990/M990)</f>
        <v>0.585034013605442</v>
      </c>
      <c r="U990" s="40" t="n">
        <f aca="false">IF(M990=0,0,O990/M990)</f>
        <v>0</v>
      </c>
      <c r="V990" s="41" t="n">
        <f aca="false">IF(M990=0,0,P990/M990)</f>
        <v>0.00680272108843537</v>
      </c>
      <c r="W990" s="40" t="n">
        <f aca="false">IF(L990=0,0,Q990/L990)</f>
        <v>0</v>
      </c>
    </row>
    <row r="991" customFormat="false" ht="15" hidden="false" customHeight="false" outlineLevel="0" collapsed="false">
      <c r="A991" s="37" t="s">
        <v>2321</v>
      </c>
      <c r="B991" s="38" t="n">
        <v>45944.3365277778</v>
      </c>
      <c r="C991" s="37" t="s">
        <v>1201</v>
      </c>
      <c r="D991" s="37" t="s">
        <v>2281</v>
      </c>
      <c r="E991" s="37" t="s">
        <v>2281</v>
      </c>
      <c r="F991" s="37" t="s">
        <v>575</v>
      </c>
      <c r="G991" s="37"/>
      <c r="H991" s="37" t="s">
        <v>66</v>
      </c>
      <c r="I991" s="37"/>
      <c r="J991" s="37" t="s">
        <v>430</v>
      </c>
      <c r="K991" s="37" t="s">
        <v>8</v>
      </c>
      <c r="L991" s="39" t="n">
        <v>372</v>
      </c>
      <c r="M991" s="39" t="n">
        <v>366</v>
      </c>
      <c r="N991" s="39" t="n">
        <v>196</v>
      </c>
      <c r="O991" s="39" t="n">
        <v>0</v>
      </c>
      <c r="P991" s="39" t="n">
        <v>0</v>
      </c>
      <c r="Q991" s="39" t="n">
        <v>6</v>
      </c>
      <c r="R991" s="39" t="n">
        <v>6</v>
      </c>
      <c r="S991" s="39" t="n">
        <v>0</v>
      </c>
      <c r="T991" s="40" t="n">
        <f aca="false">IF(M991=0,0,N991/M991)</f>
        <v>0.53551912568306</v>
      </c>
      <c r="U991" s="40" t="n">
        <f aca="false">IF(M991=0,0,O991/M991)</f>
        <v>0</v>
      </c>
      <c r="V991" s="41" t="n">
        <f aca="false">IF(M991=0,0,P991/M991)</f>
        <v>0</v>
      </c>
      <c r="W991" s="40" t="n">
        <f aca="false">IF(L991=0,0,Q991/L991)</f>
        <v>0.0161290322580645</v>
      </c>
    </row>
    <row r="992" customFormat="false" ht="15" hidden="false" customHeight="false" outlineLevel="0" collapsed="false">
      <c r="A992" s="37" t="s">
        <v>2322</v>
      </c>
      <c r="B992" s="38" t="n">
        <v>45944.3337615741</v>
      </c>
      <c r="C992" s="37" t="s">
        <v>1252</v>
      </c>
      <c r="D992" s="37" t="s">
        <v>166</v>
      </c>
      <c r="E992" s="37" t="s">
        <v>166</v>
      </c>
      <c r="F992" s="37" t="s">
        <v>671</v>
      </c>
      <c r="G992" s="37" t="s">
        <v>1997</v>
      </c>
      <c r="H992" s="37" t="s">
        <v>61</v>
      </c>
      <c r="I992" s="37" t="s">
        <v>174</v>
      </c>
      <c r="J992" s="37" t="s">
        <v>164</v>
      </c>
      <c r="K992" s="37" t="s">
        <v>1202</v>
      </c>
      <c r="L992" s="39" t="n">
        <v>768</v>
      </c>
      <c r="M992" s="39" t="n">
        <v>767</v>
      </c>
      <c r="N992" s="39" t="n">
        <v>381</v>
      </c>
      <c r="O992" s="39" t="n">
        <v>39</v>
      </c>
      <c r="P992" s="39" t="n">
        <v>2</v>
      </c>
      <c r="Q992" s="39" t="n">
        <v>1</v>
      </c>
      <c r="R992" s="39" t="n">
        <v>1</v>
      </c>
      <c r="S992" s="39" t="n">
        <v>0</v>
      </c>
      <c r="T992" s="40" t="n">
        <f aca="false">IF(M992=0,0,N992/M992)</f>
        <v>0.496740547588005</v>
      </c>
      <c r="U992" s="40" t="n">
        <f aca="false">IF(M992=0,0,O992/M992)</f>
        <v>0.0508474576271187</v>
      </c>
      <c r="V992" s="41" t="n">
        <f aca="false">IF(M992=0,0,P992/M992)</f>
        <v>0.00260756192959583</v>
      </c>
      <c r="W992" s="40" t="n">
        <f aca="false">IF(L992=0,0,Q992/L992)</f>
        <v>0.00130208333333333</v>
      </c>
    </row>
    <row r="993" customFormat="false" ht="15" hidden="false" customHeight="false" outlineLevel="0" collapsed="false">
      <c r="A993" s="37" t="s">
        <v>2323</v>
      </c>
      <c r="B993" s="38" t="n">
        <v>45944.1455555556</v>
      </c>
      <c r="C993" s="37" t="s">
        <v>1201</v>
      </c>
      <c r="D993" s="37" t="s">
        <v>1218</v>
      </c>
      <c r="E993" s="37" t="s">
        <v>238</v>
      </c>
      <c r="F993" s="37" t="s">
        <v>544</v>
      </c>
      <c r="G993" s="37"/>
      <c r="H993" s="37" t="s">
        <v>60</v>
      </c>
      <c r="I993" s="37"/>
      <c r="J993" s="37" t="s">
        <v>375</v>
      </c>
      <c r="K993" s="37" t="s">
        <v>1202</v>
      </c>
      <c r="L993" s="39" t="n">
        <v>271</v>
      </c>
      <c r="M993" s="39" t="n">
        <v>269</v>
      </c>
      <c r="N993" s="39" t="n">
        <v>120</v>
      </c>
      <c r="O993" s="39" t="n">
        <v>31</v>
      </c>
      <c r="P993" s="39" t="n">
        <v>3</v>
      </c>
      <c r="Q993" s="39" t="n">
        <v>2</v>
      </c>
      <c r="R993" s="39" t="n">
        <v>0</v>
      </c>
      <c r="S993" s="39" t="n">
        <v>0</v>
      </c>
      <c r="T993" s="40" t="n">
        <f aca="false">IF(M993=0,0,N993/M993)</f>
        <v>0.446096654275093</v>
      </c>
      <c r="U993" s="40" t="n">
        <f aca="false">IF(M993=0,0,O993/M993)</f>
        <v>0.115241635687732</v>
      </c>
      <c r="V993" s="41" t="n">
        <f aca="false">IF(M993=0,0,P993/M993)</f>
        <v>0.0111524163568773</v>
      </c>
      <c r="W993" s="40" t="n">
        <f aca="false">IF(L993=0,0,Q993/L993)</f>
        <v>0.00738007380073801</v>
      </c>
    </row>
    <row r="994" customFormat="false" ht="15" hidden="false" customHeight="false" outlineLevel="0" collapsed="false">
      <c r="A994" s="37" t="s">
        <v>2324</v>
      </c>
      <c r="B994" s="38" t="n">
        <v>45944.0110532407</v>
      </c>
      <c r="C994" s="37" t="s">
        <v>1201</v>
      </c>
      <c r="D994" s="37" t="s">
        <v>1372</v>
      </c>
      <c r="E994" s="37" t="s">
        <v>1373</v>
      </c>
      <c r="F994" s="37" t="s">
        <v>537</v>
      </c>
      <c r="G994" s="37"/>
      <c r="H994" s="37" t="s">
        <v>63</v>
      </c>
      <c r="I994" s="37"/>
      <c r="J994" s="37" t="s">
        <v>296</v>
      </c>
      <c r="K994" s="37" t="s">
        <v>1202</v>
      </c>
      <c r="L994" s="39" t="n">
        <v>2</v>
      </c>
      <c r="M994" s="39" t="n">
        <v>2</v>
      </c>
      <c r="N994" s="39" t="n">
        <v>2</v>
      </c>
      <c r="O994" s="39" t="n">
        <v>0</v>
      </c>
      <c r="P994" s="39" t="n">
        <v>0</v>
      </c>
      <c r="Q994" s="39" t="n">
        <v>0</v>
      </c>
      <c r="R994" s="39" t="n">
        <v>0</v>
      </c>
      <c r="S994" s="39" t="n">
        <v>0</v>
      </c>
      <c r="T994" s="40" t="n">
        <f aca="false">IF(M994=0,0,N994/M994)</f>
        <v>1</v>
      </c>
      <c r="U994" s="40" t="n">
        <f aca="false">IF(M994=0,0,O994/M994)</f>
        <v>0</v>
      </c>
      <c r="V994" s="41" t="n">
        <f aca="false">IF(M994=0,0,P994/M994)</f>
        <v>0</v>
      </c>
      <c r="W994" s="40" t="n">
        <f aca="false">IF(L994=0,0,Q994/L994)</f>
        <v>0</v>
      </c>
    </row>
    <row r="995" customFormat="false" ht="15" hidden="false" customHeight="false" outlineLevel="0" collapsed="false">
      <c r="A995" s="37" t="s">
        <v>2325</v>
      </c>
      <c r="B995" s="38" t="n">
        <v>45943.9792361111</v>
      </c>
      <c r="C995" s="37" t="s">
        <v>1201</v>
      </c>
      <c r="D995" s="37" t="s">
        <v>1218</v>
      </c>
      <c r="E995" s="37" t="s">
        <v>238</v>
      </c>
      <c r="F995" s="37" t="s">
        <v>544</v>
      </c>
      <c r="G995" s="37"/>
      <c r="H995" s="37" t="s">
        <v>60</v>
      </c>
      <c r="I995" s="37"/>
      <c r="J995" s="37" t="s">
        <v>375</v>
      </c>
      <c r="K995" s="37" t="s">
        <v>1202</v>
      </c>
      <c r="L995" s="39" t="n">
        <v>291</v>
      </c>
      <c r="M995" s="39" t="n">
        <v>290</v>
      </c>
      <c r="N995" s="39" t="n">
        <v>145</v>
      </c>
      <c r="O995" s="39" t="n">
        <v>44</v>
      </c>
      <c r="P995" s="39" t="n">
        <v>4</v>
      </c>
      <c r="Q995" s="39" t="n">
        <v>1</v>
      </c>
      <c r="R995" s="39" t="n">
        <v>1</v>
      </c>
      <c r="S995" s="39" t="n">
        <v>0</v>
      </c>
      <c r="T995" s="40" t="n">
        <f aca="false">IF(M995=0,0,N995/M995)</f>
        <v>0.5</v>
      </c>
      <c r="U995" s="40" t="n">
        <f aca="false">IF(M995=0,0,O995/M995)</f>
        <v>0.151724137931034</v>
      </c>
      <c r="V995" s="41" t="n">
        <f aca="false">IF(M995=0,0,P995/M995)</f>
        <v>0.0137931034482759</v>
      </c>
      <c r="W995" s="40" t="n">
        <f aca="false">IF(L995=0,0,Q995/L995)</f>
        <v>0.00343642611683849</v>
      </c>
    </row>
    <row r="996" customFormat="false" ht="15" hidden="false" customHeight="false" outlineLevel="0" collapsed="false">
      <c r="A996" s="37" t="s">
        <v>2326</v>
      </c>
      <c r="B996" s="38" t="n">
        <v>45943.7875462963</v>
      </c>
      <c r="C996" s="37" t="s">
        <v>1201</v>
      </c>
      <c r="D996" s="37" t="s">
        <v>2285</v>
      </c>
      <c r="E996" s="37" t="s">
        <v>128</v>
      </c>
      <c r="F996" s="37" t="s">
        <v>127</v>
      </c>
      <c r="G996" s="37"/>
      <c r="H996" s="37" t="s">
        <v>60</v>
      </c>
      <c r="I996" s="37"/>
      <c r="J996" s="37" t="s">
        <v>126</v>
      </c>
      <c r="K996" s="37" t="s">
        <v>1202</v>
      </c>
      <c r="L996" s="39" t="n">
        <v>41</v>
      </c>
      <c r="M996" s="39" t="n">
        <v>39</v>
      </c>
      <c r="N996" s="39" t="n">
        <v>8</v>
      </c>
      <c r="O996" s="39" t="n">
        <v>0</v>
      </c>
      <c r="P996" s="39" t="n">
        <v>0</v>
      </c>
      <c r="Q996" s="39" t="n">
        <v>2</v>
      </c>
      <c r="R996" s="39" t="n">
        <v>2</v>
      </c>
      <c r="S996" s="39" t="n">
        <v>0</v>
      </c>
      <c r="T996" s="40" t="n">
        <f aca="false">IF(M996=0,0,N996/M996)</f>
        <v>0.205128205128205</v>
      </c>
      <c r="U996" s="40" t="n">
        <f aca="false">IF(M996=0,0,O996/M996)</f>
        <v>0</v>
      </c>
      <c r="V996" s="41" t="n">
        <f aca="false">IF(M996=0,0,P996/M996)</f>
        <v>0</v>
      </c>
      <c r="W996" s="40" t="n">
        <f aca="false">IF(L996=0,0,Q996/L996)</f>
        <v>0.0487804878048781</v>
      </c>
    </row>
    <row r="997" customFormat="false" ht="15" hidden="false" customHeight="false" outlineLevel="0" collapsed="false">
      <c r="A997" s="37" t="s">
        <v>2327</v>
      </c>
      <c r="B997" s="38" t="n">
        <v>45943.7858217593</v>
      </c>
      <c r="C997" s="37" t="s">
        <v>1201</v>
      </c>
      <c r="D997" s="37" t="s">
        <v>2289</v>
      </c>
      <c r="E997" s="37" t="s">
        <v>128</v>
      </c>
      <c r="F997" s="37" t="s">
        <v>127</v>
      </c>
      <c r="G997" s="37"/>
      <c r="H997" s="37" t="s">
        <v>60</v>
      </c>
      <c r="I997" s="37"/>
      <c r="J997" s="37" t="s">
        <v>126</v>
      </c>
      <c r="K997" s="37" t="s">
        <v>1202</v>
      </c>
      <c r="L997" s="39" t="n">
        <v>407</v>
      </c>
      <c r="M997" s="39" t="n">
        <v>375</v>
      </c>
      <c r="N997" s="39" t="n">
        <v>40</v>
      </c>
      <c r="O997" s="39" t="n">
        <v>6</v>
      </c>
      <c r="P997" s="39" t="n">
        <v>0</v>
      </c>
      <c r="Q997" s="39" t="n">
        <v>32</v>
      </c>
      <c r="R997" s="39" t="n">
        <v>28</v>
      </c>
      <c r="S997" s="39" t="n">
        <v>0</v>
      </c>
      <c r="T997" s="40" t="n">
        <f aca="false">IF(M997=0,0,N997/M997)</f>
        <v>0.106666666666667</v>
      </c>
      <c r="U997" s="40" t="n">
        <f aca="false">IF(M997=0,0,O997/M997)</f>
        <v>0.016</v>
      </c>
      <c r="V997" s="41" t="n">
        <f aca="false">IF(M997=0,0,P997/M997)</f>
        <v>0</v>
      </c>
      <c r="W997" s="40" t="n">
        <f aca="false">IF(L997=0,0,Q997/L997)</f>
        <v>0.0786240786240786</v>
      </c>
    </row>
    <row r="998" customFormat="false" ht="15" hidden="false" customHeight="false" outlineLevel="0" collapsed="false">
      <c r="A998" s="37" t="s">
        <v>2328</v>
      </c>
      <c r="B998" s="38" t="n">
        <v>45943.7855555556</v>
      </c>
      <c r="C998" s="37" t="s">
        <v>1201</v>
      </c>
      <c r="D998" s="37" t="s">
        <v>2299</v>
      </c>
      <c r="E998" s="37" t="s">
        <v>128</v>
      </c>
      <c r="F998" s="37" t="s">
        <v>127</v>
      </c>
      <c r="G998" s="37"/>
      <c r="H998" s="37" t="s">
        <v>60</v>
      </c>
      <c r="I998" s="37"/>
      <c r="J998" s="37" t="s">
        <v>126</v>
      </c>
      <c r="K998" s="37" t="s">
        <v>1202</v>
      </c>
      <c r="L998" s="39" t="n">
        <v>1</v>
      </c>
      <c r="M998" s="39" t="n">
        <v>1</v>
      </c>
      <c r="N998" s="39" t="n">
        <v>0</v>
      </c>
      <c r="O998" s="39" t="n">
        <v>0</v>
      </c>
      <c r="P998" s="39" t="n">
        <v>0</v>
      </c>
      <c r="Q998" s="39" t="n">
        <v>0</v>
      </c>
      <c r="R998" s="39" t="n">
        <v>0</v>
      </c>
      <c r="S998" s="39" t="n">
        <v>0</v>
      </c>
      <c r="T998" s="40" t="n">
        <f aca="false">IF(M998=0,0,N998/M998)</f>
        <v>0</v>
      </c>
      <c r="U998" s="40" t="n">
        <f aca="false">IF(M998=0,0,O998/M998)</f>
        <v>0</v>
      </c>
      <c r="V998" s="41" t="n">
        <f aca="false">IF(M998=0,0,P998/M998)</f>
        <v>0</v>
      </c>
      <c r="W998" s="40" t="n">
        <f aca="false">IF(L998=0,0,Q998/L998)</f>
        <v>0</v>
      </c>
    </row>
    <row r="999" customFormat="false" ht="15" hidden="false" customHeight="false" outlineLevel="0" collapsed="false">
      <c r="A999" s="37" t="s">
        <v>2329</v>
      </c>
      <c r="B999" s="38" t="n">
        <v>45943.7627199074</v>
      </c>
      <c r="C999" s="37" t="s">
        <v>1201</v>
      </c>
      <c r="D999" s="37" t="s">
        <v>2292</v>
      </c>
      <c r="E999" s="37" t="s">
        <v>128</v>
      </c>
      <c r="F999" s="37" t="s">
        <v>127</v>
      </c>
      <c r="G999" s="37"/>
      <c r="H999" s="37" t="s">
        <v>60</v>
      </c>
      <c r="I999" s="37"/>
      <c r="J999" s="37" t="s">
        <v>126</v>
      </c>
      <c r="K999" s="37" t="s">
        <v>1202</v>
      </c>
      <c r="L999" s="39" t="n">
        <v>443</v>
      </c>
      <c r="M999" s="39" t="n">
        <v>425</v>
      </c>
      <c r="N999" s="39" t="n">
        <v>75</v>
      </c>
      <c r="O999" s="39" t="n">
        <v>2</v>
      </c>
      <c r="P999" s="39" t="n">
        <v>1</v>
      </c>
      <c r="Q999" s="39" t="n">
        <v>18</v>
      </c>
      <c r="R999" s="39" t="n">
        <v>17</v>
      </c>
      <c r="S999" s="39" t="n">
        <v>0</v>
      </c>
      <c r="T999" s="40" t="n">
        <f aca="false">IF(M999=0,0,N999/M999)</f>
        <v>0.176470588235294</v>
      </c>
      <c r="U999" s="40" t="n">
        <f aca="false">IF(M999=0,0,O999/M999)</f>
        <v>0.00470588235294118</v>
      </c>
      <c r="V999" s="41" t="n">
        <f aca="false">IF(M999=0,0,P999/M999)</f>
        <v>0.00235294117647059</v>
      </c>
      <c r="W999" s="40" t="n">
        <f aca="false">IF(L999=0,0,Q999/L999)</f>
        <v>0.0406320541760722</v>
      </c>
    </row>
    <row r="1000" customFormat="false" ht="15" hidden="false" customHeight="false" outlineLevel="0" collapsed="false">
      <c r="A1000" s="37" t="s">
        <v>2330</v>
      </c>
      <c r="B1000" s="38" t="n">
        <v>45943.7608912037</v>
      </c>
      <c r="C1000" s="37" t="s">
        <v>1201</v>
      </c>
      <c r="D1000" s="37" t="s">
        <v>1708</v>
      </c>
      <c r="E1000" s="37" t="s">
        <v>128</v>
      </c>
      <c r="F1000" s="37" t="s">
        <v>127</v>
      </c>
      <c r="G1000" s="37"/>
      <c r="H1000" s="37" t="s">
        <v>60</v>
      </c>
      <c r="I1000" s="37"/>
      <c r="J1000" s="37" t="s">
        <v>126</v>
      </c>
      <c r="K1000" s="37" t="s">
        <v>1202</v>
      </c>
      <c r="L1000" s="39" t="n">
        <v>110</v>
      </c>
      <c r="M1000" s="39" t="n">
        <v>101</v>
      </c>
      <c r="N1000" s="39" t="n">
        <v>19</v>
      </c>
      <c r="O1000" s="39" t="n">
        <v>2</v>
      </c>
      <c r="P1000" s="39" t="n">
        <v>0</v>
      </c>
      <c r="Q1000" s="39" t="n">
        <v>9</v>
      </c>
      <c r="R1000" s="39" t="n">
        <v>8</v>
      </c>
      <c r="S1000" s="39" t="n">
        <v>0</v>
      </c>
      <c r="T1000" s="40" t="n">
        <f aca="false">IF(M1000=0,0,N1000/M1000)</f>
        <v>0.188118811881188</v>
      </c>
      <c r="U1000" s="40" t="n">
        <f aca="false">IF(M1000=0,0,O1000/M1000)</f>
        <v>0.0198019801980198</v>
      </c>
      <c r="V1000" s="41" t="n">
        <f aca="false">IF(M1000=0,0,P1000/M1000)</f>
        <v>0</v>
      </c>
      <c r="W1000" s="40" t="n">
        <f aca="false">IF(L1000=0,0,Q1000/L1000)</f>
        <v>0.0818181818181818</v>
      </c>
    </row>
    <row r="1001" customFormat="false" ht="15" hidden="false" customHeight="false" outlineLevel="0" collapsed="false">
      <c r="A1001" s="37" t="s">
        <v>2331</v>
      </c>
      <c r="B1001" s="38" t="n">
        <v>45943.7598726852</v>
      </c>
      <c r="C1001" s="37" t="s">
        <v>1201</v>
      </c>
      <c r="D1001" s="37" t="s">
        <v>2332</v>
      </c>
      <c r="E1001" s="37" t="s">
        <v>128</v>
      </c>
      <c r="F1001" s="37" t="s">
        <v>127</v>
      </c>
      <c r="G1001" s="37"/>
      <c r="H1001" s="37" t="s">
        <v>60</v>
      </c>
      <c r="I1001" s="37"/>
      <c r="J1001" s="37" t="s">
        <v>126</v>
      </c>
      <c r="K1001" s="37" t="s">
        <v>1202</v>
      </c>
      <c r="L1001" s="39" t="n">
        <v>1</v>
      </c>
      <c r="M1001" s="39" t="n">
        <v>1</v>
      </c>
      <c r="N1001" s="39" t="n">
        <v>0</v>
      </c>
      <c r="O1001" s="39" t="n">
        <v>0</v>
      </c>
      <c r="P1001" s="39" t="n">
        <v>0</v>
      </c>
      <c r="Q1001" s="39" t="n">
        <v>0</v>
      </c>
      <c r="R1001" s="39" t="n">
        <v>0</v>
      </c>
      <c r="S1001" s="39" t="n">
        <v>0</v>
      </c>
      <c r="T1001" s="40" t="n">
        <f aca="false">IF(M1001=0,0,N1001/M1001)</f>
        <v>0</v>
      </c>
      <c r="U1001" s="40" t="n">
        <f aca="false">IF(M1001=0,0,O1001/M1001)</f>
        <v>0</v>
      </c>
      <c r="V1001" s="41" t="n">
        <f aca="false">IF(M1001=0,0,P1001/M1001)</f>
        <v>0</v>
      </c>
      <c r="W1001" s="40" t="n">
        <f aca="false">IF(L1001=0,0,Q1001/L1001)</f>
        <v>0</v>
      </c>
    </row>
    <row r="1002" customFormat="false" ht="15" hidden="false" customHeight="false" outlineLevel="0" collapsed="false">
      <c r="A1002" s="37" t="s">
        <v>2333</v>
      </c>
      <c r="B1002" s="38" t="n">
        <v>45943.7567361111</v>
      </c>
      <c r="C1002" s="37" t="s">
        <v>1201</v>
      </c>
      <c r="D1002" s="37" t="s">
        <v>2297</v>
      </c>
      <c r="E1002" s="37" t="s">
        <v>128</v>
      </c>
      <c r="F1002" s="37" t="s">
        <v>127</v>
      </c>
      <c r="G1002" s="37"/>
      <c r="H1002" s="37" t="s">
        <v>60</v>
      </c>
      <c r="I1002" s="37"/>
      <c r="J1002" s="37" t="s">
        <v>126</v>
      </c>
      <c r="K1002" s="37" t="s">
        <v>1202</v>
      </c>
      <c r="L1002" s="39" t="n">
        <v>8</v>
      </c>
      <c r="M1002" s="39" t="n">
        <v>8</v>
      </c>
      <c r="N1002" s="39" t="n">
        <v>0</v>
      </c>
      <c r="O1002" s="39" t="n">
        <v>0</v>
      </c>
      <c r="P1002" s="39" t="n">
        <v>0</v>
      </c>
      <c r="Q1002" s="39" t="n">
        <v>0</v>
      </c>
      <c r="R1002" s="39" t="n">
        <v>0</v>
      </c>
      <c r="S1002" s="39" t="n">
        <v>0</v>
      </c>
      <c r="T1002" s="40" t="n">
        <f aca="false">IF(M1002=0,0,N1002/M1002)</f>
        <v>0</v>
      </c>
      <c r="U1002" s="40" t="n">
        <f aca="false">IF(M1002=0,0,O1002/M1002)</f>
        <v>0</v>
      </c>
      <c r="V1002" s="41" t="n">
        <f aca="false">IF(M1002=0,0,P1002/M1002)</f>
        <v>0</v>
      </c>
      <c r="W1002" s="40" t="n">
        <f aca="false">IF(L1002=0,0,Q1002/L1002)</f>
        <v>0</v>
      </c>
    </row>
    <row r="1003" customFormat="false" ht="15" hidden="false" customHeight="false" outlineLevel="0" collapsed="false">
      <c r="A1003" s="37" t="s">
        <v>2334</v>
      </c>
      <c r="B1003" s="38" t="n">
        <v>45943.755775463</v>
      </c>
      <c r="C1003" s="37" t="s">
        <v>1201</v>
      </c>
      <c r="D1003" s="37" t="s">
        <v>2295</v>
      </c>
      <c r="E1003" s="37" t="s">
        <v>128</v>
      </c>
      <c r="F1003" s="37" t="s">
        <v>127</v>
      </c>
      <c r="G1003" s="37"/>
      <c r="H1003" s="37" t="s">
        <v>60</v>
      </c>
      <c r="I1003" s="37"/>
      <c r="J1003" s="37" t="s">
        <v>126</v>
      </c>
      <c r="K1003" s="37" t="s">
        <v>1202</v>
      </c>
      <c r="L1003" s="39" t="n">
        <v>19</v>
      </c>
      <c r="M1003" s="39" t="n">
        <v>19</v>
      </c>
      <c r="N1003" s="39" t="n">
        <v>2</v>
      </c>
      <c r="O1003" s="39" t="n">
        <v>0</v>
      </c>
      <c r="P1003" s="39" t="n">
        <v>0</v>
      </c>
      <c r="Q1003" s="39" t="n">
        <v>0</v>
      </c>
      <c r="R1003" s="39" t="n">
        <v>0</v>
      </c>
      <c r="S1003" s="39" t="n">
        <v>0</v>
      </c>
      <c r="T1003" s="40" t="n">
        <f aca="false">IF(M1003=0,0,N1003/M1003)</f>
        <v>0.105263157894737</v>
      </c>
      <c r="U1003" s="40" t="n">
        <f aca="false">IF(M1003=0,0,O1003/M1003)</f>
        <v>0</v>
      </c>
      <c r="V1003" s="41" t="n">
        <f aca="false">IF(M1003=0,0,P1003/M1003)</f>
        <v>0</v>
      </c>
      <c r="W1003" s="40" t="n">
        <f aca="false">IF(L1003=0,0,Q1003/L1003)</f>
        <v>0</v>
      </c>
    </row>
    <row r="1004" customFormat="false" ht="15" hidden="false" customHeight="false" outlineLevel="0" collapsed="false">
      <c r="A1004" s="37" t="s">
        <v>2335</v>
      </c>
      <c r="B1004" s="38" t="n">
        <v>45943.3750462963</v>
      </c>
      <c r="C1004" s="37" t="s">
        <v>1252</v>
      </c>
      <c r="D1004" s="37" t="s">
        <v>1237</v>
      </c>
      <c r="E1004" s="37" t="s">
        <v>1237</v>
      </c>
      <c r="F1004" s="37" t="s">
        <v>2116</v>
      </c>
      <c r="G1004" s="37"/>
      <c r="H1004" s="37" t="s">
        <v>60</v>
      </c>
      <c r="I1004" s="37"/>
      <c r="J1004" s="37" t="s">
        <v>430</v>
      </c>
      <c r="K1004" s="37" t="s">
        <v>8</v>
      </c>
      <c r="L1004" s="39" t="n">
        <v>77</v>
      </c>
      <c r="M1004" s="39" t="n">
        <v>73</v>
      </c>
      <c r="N1004" s="39" t="n">
        <v>37</v>
      </c>
      <c r="O1004" s="39" t="n">
        <v>7</v>
      </c>
      <c r="P1004" s="39" t="n">
        <v>0</v>
      </c>
      <c r="Q1004" s="39" t="n">
        <v>4</v>
      </c>
      <c r="R1004" s="39" t="n">
        <v>4</v>
      </c>
      <c r="S1004" s="39" t="n">
        <v>0</v>
      </c>
      <c r="T1004" s="40" t="n">
        <f aca="false">IF(M1004=0,0,N1004/M1004)</f>
        <v>0.506849315068493</v>
      </c>
      <c r="U1004" s="40" t="n">
        <f aca="false">IF(M1004=0,0,O1004/M1004)</f>
        <v>0.0958904109589041</v>
      </c>
      <c r="V1004" s="41" t="n">
        <f aca="false">IF(M1004=0,0,P1004/M1004)</f>
        <v>0</v>
      </c>
      <c r="W1004" s="40" t="n">
        <f aca="false">IF(L1004=0,0,Q1004/L1004)</f>
        <v>0.051948051948052</v>
      </c>
    </row>
    <row r="1005" customFormat="false" ht="15" hidden="false" customHeight="false" outlineLevel="0" collapsed="false">
      <c r="A1005" s="37" t="s">
        <v>2336</v>
      </c>
      <c r="B1005" s="38" t="n">
        <v>45942.8115972222</v>
      </c>
      <c r="C1005" s="37" t="s">
        <v>1201</v>
      </c>
      <c r="D1005" s="37" t="s">
        <v>2289</v>
      </c>
      <c r="E1005" s="37" t="s">
        <v>128</v>
      </c>
      <c r="F1005" s="37" t="s">
        <v>127</v>
      </c>
      <c r="G1005" s="37"/>
      <c r="H1005" s="37" t="s">
        <v>60</v>
      </c>
      <c r="I1005" s="37"/>
      <c r="J1005" s="37" t="s">
        <v>126</v>
      </c>
      <c r="K1005" s="37" t="s">
        <v>1202</v>
      </c>
      <c r="L1005" s="39" t="n">
        <v>752</v>
      </c>
      <c r="M1005" s="39" t="n">
        <v>750</v>
      </c>
      <c r="N1005" s="39" t="n">
        <v>80</v>
      </c>
      <c r="O1005" s="39" t="n">
        <v>12</v>
      </c>
      <c r="P1005" s="39" t="n">
        <v>2</v>
      </c>
      <c r="Q1005" s="39" t="n">
        <v>2</v>
      </c>
      <c r="R1005" s="39" t="n">
        <v>0</v>
      </c>
      <c r="S1005" s="39" t="n">
        <v>0</v>
      </c>
      <c r="T1005" s="40" t="n">
        <f aca="false">IF(M1005=0,0,N1005/M1005)</f>
        <v>0.106666666666667</v>
      </c>
      <c r="U1005" s="40" t="n">
        <f aca="false">IF(M1005=0,0,O1005/M1005)</f>
        <v>0.016</v>
      </c>
      <c r="V1005" s="41" t="n">
        <f aca="false">IF(M1005=0,0,P1005/M1005)</f>
        <v>0.00266666666666667</v>
      </c>
      <c r="W1005" s="40" t="n">
        <f aca="false">IF(L1005=0,0,Q1005/L1005)</f>
        <v>0.00265957446808511</v>
      </c>
    </row>
    <row r="1006" customFormat="false" ht="15" hidden="false" customHeight="false" outlineLevel="0" collapsed="false">
      <c r="A1006" s="37" t="s">
        <v>2337</v>
      </c>
      <c r="B1006" s="38" t="n">
        <v>45941.7609606482</v>
      </c>
      <c r="C1006" s="37" t="s">
        <v>1201</v>
      </c>
      <c r="D1006" s="37" t="s">
        <v>1372</v>
      </c>
      <c r="E1006" s="37" t="s">
        <v>1373</v>
      </c>
      <c r="F1006" s="37" t="s">
        <v>537</v>
      </c>
      <c r="G1006" s="37"/>
      <c r="H1006" s="37" t="s">
        <v>63</v>
      </c>
      <c r="I1006" s="37"/>
      <c r="J1006" s="37" t="s">
        <v>296</v>
      </c>
      <c r="K1006" s="37" t="s">
        <v>1202</v>
      </c>
      <c r="L1006" s="39" t="n">
        <v>2</v>
      </c>
      <c r="M1006" s="39" t="n">
        <v>2</v>
      </c>
      <c r="N1006" s="39" t="n">
        <v>2</v>
      </c>
      <c r="O1006" s="39" t="n">
        <v>0</v>
      </c>
      <c r="P1006" s="39" t="n">
        <v>0</v>
      </c>
      <c r="Q1006" s="39" t="n">
        <v>0</v>
      </c>
      <c r="R1006" s="39" t="n">
        <v>0</v>
      </c>
      <c r="S1006" s="39" t="n">
        <v>0</v>
      </c>
      <c r="T1006" s="40" t="n">
        <f aca="false">IF(M1006=0,0,N1006/M1006)</f>
        <v>1</v>
      </c>
      <c r="U1006" s="40" t="n">
        <f aca="false">IF(M1006=0,0,O1006/M1006)</f>
        <v>0</v>
      </c>
      <c r="V1006" s="41" t="n">
        <f aca="false">IF(M1006=0,0,P1006/M1006)</f>
        <v>0</v>
      </c>
      <c r="W1006" s="40" t="n">
        <f aca="false">IF(L1006=0,0,Q1006/L1006)</f>
        <v>0</v>
      </c>
    </row>
    <row r="1007" customFormat="false" ht="15" hidden="false" customHeight="false" outlineLevel="0" collapsed="false">
      <c r="A1007" s="37" t="s">
        <v>2338</v>
      </c>
      <c r="B1007" s="38" t="n">
        <v>45940.3897569445</v>
      </c>
      <c r="C1007" s="37" t="s">
        <v>1201</v>
      </c>
      <c r="D1007" s="37" t="s">
        <v>1211</v>
      </c>
      <c r="E1007" s="37" t="s">
        <v>1212</v>
      </c>
      <c r="F1007" s="37" t="s">
        <v>544</v>
      </c>
      <c r="G1007" s="37"/>
      <c r="H1007" s="37" t="s">
        <v>60</v>
      </c>
      <c r="I1007" s="37"/>
      <c r="J1007" s="37" t="s">
        <v>100</v>
      </c>
      <c r="K1007" s="37" t="s">
        <v>1213</v>
      </c>
      <c r="L1007" s="39" t="n">
        <v>147</v>
      </c>
      <c r="M1007" s="39" t="n">
        <v>147</v>
      </c>
      <c r="N1007" s="39" t="n">
        <v>78</v>
      </c>
      <c r="O1007" s="39" t="n">
        <v>0</v>
      </c>
      <c r="P1007" s="39" t="n">
        <v>0</v>
      </c>
      <c r="Q1007" s="39" t="n">
        <v>0</v>
      </c>
      <c r="R1007" s="39" t="n">
        <v>0</v>
      </c>
      <c r="S1007" s="39" t="n">
        <v>0</v>
      </c>
      <c r="T1007" s="40" t="n">
        <f aca="false">IF(M1007=0,0,N1007/M1007)</f>
        <v>0.530612244897959</v>
      </c>
      <c r="U1007" s="40" t="n">
        <f aca="false">IF(M1007=0,0,O1007/M1007)</f>
        <v>0</v>
      </c>
      <c r="V1007" s="41" t="n">
        <f aca="false">IF(M1007=0,0,P1007/M1007)</f>
        <v>0</v>
      </c>
      <c r="W1007" s="40" t="n">
        <f aca="false">IF(L1007=0,0,Q1007/L1007)</f>
        <v>0</v>
      </c>
    </row>
    <row r="1008" customFormat="false" ht="15" hidden="false" customHeight="false" outlineLevel="0" collapsed="false">
      <c r="A1008" s="37" t="s">
        <v>2339</v>
      </c>
      <c r="B1008" s="38" t="n">
        <v>45940.3861574074</v>
      </c>
      <c r="C1008" s="37" t="s">
        <v>1201</v>
      </c>
      <c r="D1008" s="37" t="s">
        <v>1211</v>
      </c>
      <c r="E1008" s="37" t="s">
        <v>1212</v>
      </c>
      <c r="F1008" s="37" t="s">
        <v>544</v>
      </c>
      <c r="G1008" s="37"/>
      <c r="H1008" s="37" t="s">
        <v>60</v>
      </c>
      <c r="I1008" s="37"/>
      <c r="J1008" s="37" t="s">
        <v>100</v>
      </c>
      <c r="K1008" s="37" t="s">
        <v>1213</v>
      </c>
      <c r="L1008" s="39" t="n">
        <v>147</v>
      </c>
      <c r="M1008" s="39" t="n">
        <v>147</v>
      </c>
      <c r="N1008" s="39" t="n">
        <v>81</v>
      </c>
      <c r="O1008" s="39" t="n">
        <v>0</v>
      </c>
      <c r="P1008" s="39" t="n">
        <v>0</v>
      </c>
      <c r="Q1008" s="39" t="n">
        <v>0</v>
      </c>
      <c r="R1008" s="39" t="n">
        <v>0</v>
      </c>
      <c r="S1008" s="39" t="n">
        <v>0</v>
      </c>
      <c r="T1008" s="40" t="n">
        <f aca="false">IF(M1008=0,0,N1008/M1008)</f>
        <v>0.551020408163265</v>
      </c>
      <c r="U1008" s="40" t="n">
        <f aca="false">IF(M1008=0,0,O1008/M1008)</f>
        <v>0</v>
      </c>
      <c r="V1008" s="41" t="n">
        <f aca="false">IF(M1008=0,0,P1008/M1008)</f>
        <v>0</v>
      </c>
      <c r="W1008" s="40" t="n">
        <f aca="false">IF(L1008=0,0,Q1008/L1008)</f>
        <v>0</v>
      </c>
    </row>
    <row r="1009" customFormat="false" ht="15" hidden="false" customHeight="false" outlineLevel="0" collapsed="false">
      <c r="A1009" s="37" t="s">
        <v>2340</v>
      </c>
      <c r="B1009" s="38" t="n">
        <v>45939.7083796296</v>
      </c>
      <c r="C1009" s="37" t="s">
        <v>1201</v>
      </c>
      <c r="D1009" s="37" t="s">
        <v>152</v>
      </c>
      <c r="E1009" s="37" t="s">
        <v>1344</v>
      </c>
      <c r="F1009" s="37" t="s">
        <v>152</v>
      </c>
      <c r="G1009" s="37" t="s">
        <v>2232</v>
      </c>
      <c r="H1009" s="37" t="s">
        <v>60</v>
      </c>
      <c r="I1009" s="37"/>
      <c r="J1009" s="37" t="s">
        <v>151</v>
      </c>
      <c r="K1009" s="37" t="s">
        <v>1202</v>
      </c>
      <c r="L1009" s="39" t="n">
        <v>2539</v>
      </c>
      <c r="M1009" s="39" t="n">
        <v>2516</v>
      </c>
      <c r="N1009" s="39" t="n">
        <v>672</v>
      </c>
      <c r="O1009" s="39" t="n">
        <v>33</v>
      </c>
      <c r="P1009" s="39" t="n">
        <v>12</v>
      </c>
      <c r="Q1009" s="39" t="n">
        <v>23</v>
      </c>
      <c r="R1009" s="39" t="n">
        <v>17</v>
      </c>
      <c r="S1009" s="39" t="n">
        <v>0</v>
      </c>
      <c r="T1009" s="40" t="n">
        <f aca="false">IF(M1009=0,0,N1009/M1009)</f>
        <v>0.267090620031797</v>
      </c>
      <c r="U1009" s="40" t="n">
        <f aca="false">IF(M1009=0,0,O1009/M1009)</f>
        <v>0.0131160572337043</v>
      </c>
      <c r="V1009" s="41" t="n">
        <f aca="false">IF(M1009=0,0,P1009/M1009)</f>
        <v>0.00476947535771065</v>
      </c>
      <c r="W1009" s="40" t="n">
        <f aca="false">IF(L1009=0,0,Q1009/L1009)</f>
        <v>0.00905868452146515</v>
      </c>
    </row>
    <row r="1010" customFormat="false" ht="15" hidden="false" customHeight="false" outlineLevel="0" collapsed="false">
      <c r="A1010" s="37" t="s">
        <v>2341</v>
      </c>
      <c r="B1010" s="38" t="n">
        <v>45939.5617361111</v>
      </c>
      <c r="C1010" s="37" t="s">
        <v>1201</v>
      </c>
      <c r="D1010" s="37" t="s">
        <v>1600</v>
      </c>
      <c r="E1010" s="37" t="s">
        <v>288</v>
      </c>
      <c r="F1010" s="37" t="s">
        <v>505</v>
      </c>
      <c r="G1010" s="37"/>
      <c r="H1010" s="37" t="s">
        <v>60</v>
      </c>
      <c r="I1010" s="37"/>
      <c r="J1010" s="37" t="s">
        <v>287</v>
      </c>
      <c r="K1010" s="37" t="s">
        <v>1213</v>
      </c>
      <c r="L1010" s="39" t="n">
        <v>46</v>
      </c>
      <c r="M1010" s="39" t="n">
        <v>46</v>
      </c>
      <c r="N1010" s="39" t="n">
        <v>16</v>
      </c>
      <c r="O1010" s="39" t="n">
        <v>4</v>
      </c>
      <c r="P1010" s="39" t="n">
        <v>0</v>
      </c>
      <c r="Q1010" s="39" t="n">
        <v>0</v>
      </c>
      <c r="R1010" s="39" t="n">
        <v>0</v>
      </c>
      <c r="S1010" s="39" t="n">
        <v>0</v>
      </c>
      <c r="T1010" s="40" t="n">
        <f aca="false">IF(M1010=0,0,N1010/M1010)</f>
        <v>0.347826086956522</v>
      </c>
      <c r="U1010" s="40" t="n">
        <f aca="false">IF(M1010=0,0,O1010/M1010)</f>
        <v>0.0869565217391304</v>
      </c>
      <c r="V1010" s="41" t="n">
        <f aca="false">IF(M1010=0,0,P1010/M1010)</f>
        <v>0</v>
      </c>
      <c r="W1010" s="40" t="n">
        <f aca="false">IF(L1010=0,0,Q1010/L1010)</f>
        <v>0</v>
      </c>
    </row>
    <row r="1011" customFormat="false" ht="15" hidden="false" customHeight="false" outlineLevel="0" collapsed="false">
      <c r="A1011" s="37" t="s">
        <v>2342</v>
      </c>
      <c r="B1011" s="38" t="n">
        <v>45939.3542824074</v>
      </c>
      <c r="C1011" s="37" t="s">
        <v>1201</v>
      </c>
      <c r="D1011" s="37" t="s">
        <v>1372</v>
      </c>
      <c r="E1011" s="37" t="s">
        <v>1373</v>
      </c>
      <c r="F1011" s="37" t="s">
        <v>537</v>
      </c>
      <c r="G1011" s="37"/>
      <c r="H1011" s="37" t="s">
        <v>60</v>
      </c>
      <c r="I1011" s="37"/>
      <c r="J1011" s="37" t="s">
        <v>296</v>
      </c>
      <c r="K1011" s="37" t="s">
        <v>1202</v>
      </c>
      <c r="L1011" s="39" t="n">
        <v>2</v>
      </c>
      <c r="M1011" s="39" t="n">
        <v>2</v>
      </c>
      <c r="N1011" s="39" t="n">
        <v>1</v>
      </c>
      <c r="O1011" s="39" t="n">
        <v>0</v>
      </c>
      <c r="P1011" s="39" t="n">
        <v>0</v>
      </c>
      <c r="Q1011" s="39" t="n">
        <v>0</v>
      </c>
      <c r="R1011" s="39" t="n">
        <v>0</v>
      </c>
      <c r="S1011" s="39" t="n">
        <v>0</v>
      </c>
      <c r="T1011" s="40" t="n">
        <f aca="false">IF(M1011=0,0,N1011/M1011)</f>
        <v>0.5</v>
      </c>
      <c r="U1011" s="40" t="n">
        <f aca="false">IF(M1011=0,0,O1011/M1011)</f>
        <v>0</v>
      </c>
      <c r="V1011" s="41" t="n">
        <f aca="false">IF(M1011=0,0,P1011/M1011)</f>
        <v>0</v>
      </c>
      <c r="W1011" s="40" t="n">
        <f aca="false">IF(L1011=0,0,Q1011/L1011)</f>
        <v>0</v>
      </c>
    </row>
    <row r="1012" customFormat="false" ht="15" hidden="false" customHeight="false" outlineLevel="0" collapsed="false">
      <c r="A1012" s="37" t="s">
        <v>2343</v>
      </c>
      <c r="B1012" s="38" t="n">
        <v>45939.3262152778</v>
      </c>
      <c r="C1012" s="37" t="s">
        <v>1201</v>
      </c>
      <c r="D1012" s="37" t="s">
        <v>1211</v>
      </c>
      <c r="E1012" s="37" t="s">
        <v>1212</v>
      </c>
      <c r="F1012" s="37" t="s">
        <v>544</v>
      </c>
      <c r="G1012" s="37"/>
      <c r="H1012" s="37" t="s">
        <v>60</v>
      </c>
      <c r="I1012" s="37"/>
      <c r="J1012" s="37" t="s">
        <v>100</v>
      </c>
      <c r="K1012" s="37" t="s">
        <v>1213</v>
      </c>
      <c r="L1012" s="39" t="n">
        <v>148</v>
      </c>
      <c r="M1012" s="39" t="n">
        <v>148</v>
      </c>
      <c r="N1012" s="39" t="n">
        <v>91</v>
      </c>
      <c r="O1012" s="39" t="n">
        <v>8</v>
      </c>
      <c r="P1012" s="39" t="n">
        <v>0</v>
      </c>
      <c r="Q1012" s="39" t="n">
        <v>0</v>
      </c>
      <c r="R1012" s="39" t="n">
        <v>0</v>
      </c>
      <c r="S1012" s="39" t="n">
        <v>0</v>
      </c>
      <c r="T1012" s="40" t="n">
        <f aca="false">IF(M1012=0,0,N1012/M1012)</f>
        <v>0.614864864864865</v>
      </c>
      <c r="U1012" s="40" t="n">
        <f aca="false">IF(M1012=0,0,O1012/M1012)</f>
        <v>0.0540540540540541</v>
      </c>
      <c r="V1012" s="41" t="n">
        <f aca="false">IF(M1012=0,0,P1012/M1012)</f>
        <v>0</v>
      </c>
      <c r="W1012" s="40" t="n">
        <f aca="false">IF(L1012=0,0,Q1012/L1012)</f>
        <v>0</v>
      </c>
    </row>
    <row r="1013" customFormat="false" ht="15" hidden="false" customHeight="false" outlineLevel="0" collapsed="false">
      <c r="A1013" s="37" t="s">
        <v>2344</v>
      </c>
      <c r="B1013" s="38" t="n">
        <v>45939.3087152778</v>
      </c>
      <c r="C1013" s="37" t="s">
        <v>1241</v>
      </c>
      <c r="D1013" s="37" t="s">
        <v>1335</v>
      </c>
      <c r="E1013" s="37" t="s">
        <v>2261</v>
      </c>
      <c r="F1013" s="37" t="s">
        <v>152</v>
      </c>
      <c r="G1013" s="37"/>
      <c r="H1013" s="37" t="s">
        <v>64</v>
      </c>
      <c r="I1013" s="37"/>
      <c r="J1013" s="37" t="s">
        <v>151</v>
      </c>
      <c r="K1013" s="37" t="s">
        <v>1202</v>
      </c>
      <c r="L1013" s="39" t="n">
        <v>460</v>
      </c>
      <c r="M1013" s="39" t="n">
        <v>460</v>
      </c>
      <c r="N1013" s="39" t="n">
        <v>288</v>
      </c>
      <c r="O1013" s="39" t="n">
        <v>2</v>
      </c>
      <c r="P1013" s="39" t="n">
        <v>0</v>
      </c>
      <c r="Q1013" s="39" t="n">
        <v>0</v>
      </c>
      <c r="R1013" s="39" t="n">
        <v>0</v>
      </c>
      <c r="S1013" s="39" t="n">
        <v>0</v>
      </c>
      <c r="T1013" s="40" t="n">
        <f aca="false">IF(M1013=0,0,N1013/M1013)</f>
        <v>0.626086956521739</v>
      </c>
      <c r="U1013" s="40" t="n">
        <f aca="false">IF(M1013=0,0,O1013/M1013)</f>
        <v>0.00434782608695652</v>
      </c>
      <c r="V1013" s="41" t="n">
        <f aca="false">IF(M1013=0,0,P1013/M1013)</f>
        <v>0</v>
      </c>
      <c r="W1013" s="40" t="n">
        <f aca="false">IF(L1013=0,0,Q1013/L1013)</f>
        <v>0</v>
      </c>
    </row>
    <row r="1014" customFormat="false" ht="15" hidden="false" customHeight="false" outlineLevel="0" collapsed="false">
      <c r="A1014" s="37" t="s">
        <v>2345</v>
      </c>
      <c r="B1014" s="38" t="n">
        <v>45939.1910416667</v>
      </c>
      <c r="C1014" s="37" t="s">
        <v>1201</v>
      </c>
      <c r="D1014" s="37" t="s">
        <v>1218</v>
      </c>
      <c r="E1014" s="37" t="s">
        <v>1974</v>
      </c>
      <c r="F1014" s="37" t="s">
        <v>544</v>
      </c>
      <c r="G1014" s="37"/>
      <c r="H1014" s="37" t="s">
        <v>60</v>
      </c>
      <c r="I1014" s="37"/>
      <c r="J1014" s="37" t="s">
        <v>375</v>
      </c>
      <c r="K1014" s="37" t="s">
        <v>1202</v>
      </c>
      <c r="L1014" s="39" t="n">
        <v>358</v>
      </c>
      <c r="M1014" s="39" t="n">
        <v>357</v>
      </c>
      <c r="N1014" s="39" t="n">
        <v>159</v>
      </c>
      <c r="O1014" s="39" t="n">
        <v>41</v>
      </c>
      <c r="P1014" s="39" t="n">
        <v>3</v>
      </c>
      <c r="Q1014" s="39" t="n">
        <v>1</v>
      </c>
      <c r="R1014" s="39" t="n">
        <v>0</v>
      </c>
      <c r="S1014" s="39" t="n">
        <v>0</v>
      </c>
      <c r="T1014" s="40" t="n">
        <f aca="false">IF(M1014=0,0,N1014/M1014)</f>
        <v>0.445378151260504</v>
      </c>
      <c r="U1014" s="40" t="n">
        <f aca="false">IF(M1014=0,0,O1014/M1014)</f>
        <v>0.11484593837535</v>
      </c>
      <c r="V1014" s="41" t="n">
        <f aca="false">IF(M1014=0,0,P1014/M1014)</f>
        <v>0.00840336134453782</v>
      </c>
      <c r="W1014" s="40" t="n">
        <f aca="false">IF(L1014=0,0,Q1014/L1014)</f>
        <v>0.00279329608938548</v>
      </c>
    </row>
    <row r="1015" customFormat="false" ht="15" hidden="false" customHeight="false" outlineLevel="0" collapsed="false">
      <c r="A1015" s="37" t="s">
        <v>2346</v>
      </c>
      <c r="B1015" s="38" t="n">
        <v>45939.0948611111</v>
      </c>
      <c r="C1015" s="37" t="s">
        <v>1201</v>
      </c>
      <c r="D1015" s="37" t="s">
        <v>122</v>
      </c>
      <c r="E1015" s="37" t="s">
        <v>2347</v>
      </c>
      <c r="F1015" s="37" t="s">
        <v>629</v>
      </c>
      <c r="G1015" s="37"/>
      <c r="H1015" s="37" t="s">
        <v>61</v>
      </c>
      <c r="I1015" s="37" t="s">
        <v>120</v>
      </c>
      <c r="J1015" s="37" t="s">
        <v>121</v>
      </c>
      <c r="K1015" s="37" t="s">
        <v>1202</v>
      </c>
      <c r="L1015" s="39" t="n">
        <v>4043</v>
      </c>
      <c r="M1015" s="39" t="n">
        <v>3819</v>
      </c>
      <c r="N1015" s="39" t="n">
        <v>817</v>
      </c>
      <c r="O1015" s="39" t="n">
        <v>35</v>
      </c>
      <c r="P1015" s="39" t="n">
        <v>18</v>
      </c>
      <c r="Q1015" s="39" t="n">
        <v>224</v>
      </c>
      <c r="R1015" s="39" t="n">
        <v>213</v>
      </c>
      <c r="S1015" s="39" t="n">
        <v>0</v>
      </c>
      <c r="T1015" s="40" t="n">
        <f aca="false">IF(M1015=0,0,N1015/M1015)</f>
        <v>0.213930348258706</v>
      </c>
      <c r="U1015" s="40" t="n">
        <f aca="false">IF(M1015=0,0,O1015/M1015)</f>
        <v>0.00916470280178057</v>
      </c>
      <c r="V1015" s="41" t="n">
        <f aca="false">IF(M1015=0,0,P1015/M1015)</f>
        <v>0.00471327572663001</v>
      </c>
      <c r="W1015" s="40" t="n">
        <f aca="false">IF(L1015=0,0,Q1015/L1015)</f>
        <v>0.0554044026712837</v>
      </c>
    </row>
    <row r="1016" customFormat="false" ht="15" hidden="false" customHeight="false" outlineLevel="0" collapsed="false">
      <c r="A1016" s="37" t="s">
        <v>2348</v>
      </c>
      <c r="B1016" s="38" t="n">
        <v>45939.0810069444</v>
      </c>
      <c r="C1016" s="37" t="s">
        <v>1201</v>
      </c>
      <c r="D1016" s="37" t="s">
        <v>251</v>
      </c>
      <c r="E1016" s="37" t="s">
        <v>252</v>
      </c>
      <c r="F1016" s="37" t="s">
        <v>544</v>
      </c>
      <c r="G1016" s="37"/>
      <c r="H1016" s="37" t="s">
        <v>60</v>
      </c>
      <c r="I1016" s="37"/>
      <c r="J1016" s="37" t="s">
        <v>109</v>
      </c>
      <c r="K1016" s="37" t="s">
        <v>1202</v>
      </c>
      <c r="L1016" s="39" t="n">
        <v>63</v>
      </c>
      <c r="M1016" s="39" t="n">
        <v>63</v>
      </c>
      <c r="N1016" s="39" t="n">
        <v>30</v>
      </c>
      <c r="O1016" s="39" t="n">
        <v>8</v>
      </c>
      <c r="P1016" s="39" t="n">
        <v>0</v>
      </c>
      <c r="Q1016" s="39" t="n">
        <v>0</v>
      </c>
      <c r="R1016" s="39" t="n">
        <v>0</v>
      </c>
      <c r="S1016" s="39" t="n">
        <v>0</v>
      </c>
      <c r="T1016" s="40" t="n">
        <f aca="false">IF(M1016=0,0,N1016/M1016)</f>
        <v>0.476190476190476</v>
      </c>
      <c r="U1016" s="40" t="n">
        <f aca="false">IF(M1016=0,0,O1016/M1016)</f>
        <v>0.126984126984127</v>
      </c>
      <c r="V1016" s="41" t="n">
        <f aca="false">IF(M1016=0,0,P1016/M1016)</f>
        <v>0</v>
      </c>
      <c r="W1016" s="40" t="n">
        <f aca="false">IF(L1016=0,0,Q1016/L1016)</f>
        <v>0</v>
      </c>
    </row>
    <row r="1017" customFormat="false" ht="15" hidden="false" customHeight="false" outlineLevel="0" collapsed="false">
      <c r="A1017" s="37" t="s">
        <v>2349</v>
      </c>
      <c r="B1017" s="38" t="n">
        <v>45939.0106481482</v>
      </c>
      <c r="C1017" s="37" t="s">
        <v>1201</v>
      </c>
      <c r="D1017" s="37" t="s">
        <v>1372</v>
      </c>
      <c r="E1017" s="37" t="s">
        <v>1373</v>
      </c>
      <c r="F1017" s="37" t="s">
        <v>537</v>
      </c>
      <c r="G1017" s="37"/>
      <c r="H1017" s="37" t="s">
        <v>64</v>
      </c>
      <c r="I1017" s="37"/>
      <c r="J1017" s="37" t="s">
        <v>296</v>
      </c>
      <c r="K1017" s="37" t="s">
        <v>1202</v>
      </c>
      <c r="L1017" s="39" t="n">
        <v>2</v>
      </c>
      <c r="M1017" s="39" t="n">
        <v>2</v>
      </c>
      <c r="N1017" s="39" t="n">
        <v>2</v>
      </c>
      <c r="O1017" s="39" t="n">
        <v>0</v>
      </c>
      <c r="P1017" s="39" t="n">
        <v>0</v>
      </c>
      <c r="Q1017" s="39" t="n">
        <v>0</v>
      </c>
      <c r="R1017" s="39" t="n">
        <v>0</v>
      </c>
      <c r="S1017" s="39" t="n">
        <v>0</v>
      </c>
      <c r="T1017" s="40" t="n">
        <f aca="false">IF(M1017=0,0,N1017/M1017)</f>
        <v>1</v>
      </c>
      <c r="U1017" s="40" t="n">
        <f aca="false">IF(M1017=0,0,O1017/M1017)</f>
        <v>0</v>
      </c>
      <c r="V1017" s="41" t="n">
        <f aca="false">IF(M1017=0,0,P1017/M1017)</f>
        <v>0</v>
      </c>
      <c r="W1017" s="40" t="n">
        <f aca="false">IF(L1017=0,0,Q1017/L1017)</f>
        <v>0</v>
      </c>
    </row>
    <row r="1018" customFormat="false" ht="15" hidden="false" customHeight="false" outlineLevel="0" collapsed="false">
      <c r="A1018" s="37" t="s">
        <v>2350</v>
      </c>
      <c r="B1018" s="38" t="n">
        <v>45938.4464583333</v>
      </c>
      <c r="C1018" s="37" t="s">
        <v>1201</v>
      </c>
      <c r="D1018" s="37" t="s">
        <v>281</v>
      </c>
      <c r="E1018" s="37" t="s">
        <v>281</v>
      </c>
      <c r="F1018" s="37" t="s">
        <v>280</v>
      </c>
      <c r="G1018" s="37"/>
      <c r="H1018" s="37" t="s">
        <v>61</v>
      </c>
      <c r="I1018" s="37" t="s">
        <v>280</v>
      </c>
      <c r="J1018" s="37" t="s">
        <v>223</v>
      </c>
      <c r="K1018" s="37" t="s">
        <v>1202</v>
      </c>
      <c r="L1018" s="39" t="n">
        <v>46</v>
      </c>
      <c r="M1018" s="39" t="n">
        <v>46</v>
      </c>
      <c r="N1018" s="39" t="n">
        <v>24</v>
      </c>
      <c r="O1018" s="39" t="n">
        <v>7</v>
      </c>
      <c r="P1018" s="39" t="n">
        <v>0</v>
      </c>
      <c r="Q1018" s="39" t="n">
        <v>0</v>
      </c>
      <c r="R1018" s="39" t="n">
        <v>0</v>
      </c>
      <c r="S1018" s="39" t="n">
        <v>0</v>
      </c>
      <c r="T1018" s="40" t="n">
        <f aca="false">IF(M1018=0,0,N1018/M1018)</f>
        <v>0.521739130434783</v>
      </c>
      <c r="U1018" s="40" t="n">
        <f aca="false">IF(M1018=0,0,O1018/M1018)</f>
        <v>0.152173913043478</v>
      </c>
      <c r="V1018" s="41" t="n">
        <f aca="false">IF(M1018=0,0,P1018/M1018)</f>
        <v>0</v>
      </c>
      <c r="W1018" s="40" t="n">
        <f aca="false">IF(L1018=0,0,Q1018/L1018)</f>
        <v>0</v>
      </c>
    </row>
    <row r="1019" customFormat="false" ht="15" hidden="false" customHeight="false" outlineLevel="0" collapsed="false">
      <c r="A1019" s="37" t="s">
        <v>2351</v>
      </c>
      <c r="B1019" s="38" t="n">
        <v>45938.3423842593</v>
      </c>
      <c r="C1019" s="37" t="s">
        <v>1201</v>
      </c>
      <c r="D1019" s="37" t="s">
        <v>1372</v>
      </c>
      <c r="E1019" s="37" t="s">
        <v>1373</v>
      </c>
      <c r="F1019" s="37" t="s">
        <v>537</v>
      </c>
      <c r="G1019" s="37"/>
      <c r="H1019" s="37" t="s">
        <v>60</v>
      </c>
      <c r="I1019" s="37"/>
      <c r="J1019" s="37" t="s">
        <v>296</v>
      </c>
      <c r="K1019" s="37" t="s">
        <v>1202</v>
      </c>
      <c r="L1019" s="39" t="n">
        <v>2</v>
      </c>
      <c r="M1019" s="39" t="n">
        <v>2</v>
      </c>
      <c r="N1019" s="39" t="n">
        <v>2</v>
      </c>
      <c r="O1019" s="39" t="n">
        <v>0</v>
      </c>
      <c r="P1019" s="39" t="n">
        <v>0</v>
      </c>
      <c r="Q1019" s="39" t="n">
        <v>0</v>
      </c>
      <c r="R1019" s="39" t="n">
        <v>0</v>
      </c>
      <c r="S1019" s="39" t="n">
        <v>0</v>
      </c>
      <c r="T1019" s="40" t="n">
        <f aca="false">IF(M1019=0,0,N1019/M1019)</f>
        <v>1</v>
      </c>
      <c r="U1019" s="40" t="n">
        <f aca="false">IF(M1019=0,0,O1019/M1019)</f>
        <v>0</v>
      </c>
      <c r="V1019" s="41" t="n">
        <f aca="false">IF(M1019=0,0,P1019/M1019)</f>
        <v>0</v>
      </c>
      <c r="W1019" s="40" t="n">
        <f aca="false">IF(L1019=0,0,Q1019/L1019)</f>
        <v>0</v>
      </c>
    </row>
    <row r="1020" customFormat="false" ht="15" hidden="false" customHeight="false" outlineLevel="0" collapsed="false">
      <c r="A1020" s="37" t="s">
        <v>2352</v>
      </c>
      <c r="B1020" s="38" t="n">
        <v>45938.2989699074</v>
      </c>
      <c r="C1020" s="37" t="s">
        <v>1201</v>
      </c>
      <c r="D1020" s="37" t="s">
        <v>2014</v>
      </c>
      <c r="E1020" s="37" t="s">
        <v>2015</v>
      </c>
      <c r="F1020" s="37" t="s">
        <v>650</v>
      </c>
      <c r="G1020" s="37"/>
      <c r="H1020" s="37" t="s">
        <v>60</v>
      </c>
      <c r="I1020" s="37"/>
      <c r="J1020" s="37" t="s">
        <v>382</v>
      </c>
      <c r="K1020" s="37" t="s">
        <v>1202</v>
      </c>
      <c r="L1020" s="39" t="n">
        <v>741</v>
      </c>
      <c r="M1020" s="39" t="n">
        <v>733</v>
      </c>
      <c r="N1020" s="39" t="n">
        <v>228</v>
      </c>
      <c r="O1020" s="39" t="n">
        <v>38</v>
      </c>
      <c r="P1020" s="39" t="n">
        <v>2</v>
      </c>
      <c r="Q1020" s="39" t="n">
        <v>8</v>
      </c>
      <c r="R1020" s="39" t="n">
        <v>6</v>
      </c>
      <c r="S1020" s="39" t="n">
        <v>1</v>
      </c>
      <c r="T1020" s="40" t="n">
        <f aca="false">IF(M1020=0,0,N1020/M1020)</f>
        <v>0.311050477489768</v>
      </c>
      <c r="U1020" s="40" t="n">
        <f aca="false">IF(M1020=0,0,O1020/M1020)</f>
        <v>0.0518417462482947</v>
      </c>
      <c r="V1020" s="41" t="n">
        <f aca="false">IF(M1020=0,0,P1020/M1020)</f>
        <v>0.00272851296043656</v>
      </c>
      <c r="W1020" s="40" t="n">
        <f aca="false">IF(L1020=0,0,Q1020/L1020)</f>
        <v>0.0107962213225371</v>
      </c>
    </row>
    <row r="1021" customFormat="false" ht="15" hidden="false" customHeight="false" outlineLevel="0" collapsed="false">
      <c r="A1021" s="37" t="s">
        <v>2353</v>
      </c>
      <c r="B1021" s="38" t="n">
        <v>45938.1464583333</v>
      </c>
      <c r="C1021" s="37" t="s">
        <v>1201</v>
      </c>
      <c r="D1021" s="37" t="s">
        <v>185</v>
      </c>
      <c r="E1021" s="37" t="s">
        <v>186</v>
      </c>
      <c r="F1021" s="37" t="s">
        <v>597</v>
      </c>
      <c r="G1021" s="37"/>
      <c r="H1021" s="37" t="s">
        <v>61</v>
      </c>
      <c r="I1021" s="37" t="s">
        <v>183</v>
      </c>
      <c r="J1021" s="37" t="s">
        <v>184</v>
      </c>
      <c r="K1021" s="37" t="s">
        <v>1202</v>
      </c>
      <c r="L1021" s="39" t="n">
        <v>72</v>
      </c>
      <c r="M1021" s="39" t="n">
        <v>72</v>
      </c>
      <c r="N1021" s="39" t="n">
        <v>34</v>
      </c>
      <c r="O1021" s="39" t="n">
        <v>5</v>
      </c>
      <c r="P1021" s="39" t="n">
        <v>0</v>
      </c>
      <c r="Q1021" s="39" t="n">
        <v>0</v>
      </c>
      <c r="R1021" s="39" t="n">
        <v>0</v>
      </c>
      <c r="S1021" s="39" t="n">
        <v>0</v>
      </c>
      <c r="T1021" s="40" t="n">
        <f aca="false">IF(M1021=0,0,N1021/M1021)</f>
        <v>0.472222222222222</v>
      </c>
      <c r="U1021" s="40" t="n">
        <f aca="false">IF(M1021=0,0,O1021/M1021)</f>
        <v>0.0694444444444445</v>
      </c>
      <c r="V1021" s="41" t="n">
        <f aca="false">IF(M1021=0,0,P1021/M1021)</f>
        <v>0</v>
      </c>
      <c r="W1021" s="40" t="n">
        <f aca="false">IF(L1021=0,0,Q1021/L1021)</f>
        <v>0</v>
      </c>
    </row>
    <row r="1022" customFormat="false" ht="15" hidden="false" customHeight="false" outlineLevel="0" collapsed="false">
      <c r="A1022" s="37" t="s">
        <v>2354</v>
      </c>
      <c r="B1022" s="38" t="n">
        <v>45937.9167824074</v>
      </c>
      <c r="C1022" s="37" t="s">
        <v>1201</v>
      </c>
      <c r="D1022" s="37" t="s">
        <v>152</v>
      </c>
      <c r="E1022" s="37" t="s">
        <v>1344</v>
      </c>
      <c r="F1022" s="37" t="s">
        <v>152</v>
      </c>
      <c r="G1022" s="37"/>
      <c r="H1022" s="37" t="s">
        <v>61</v>
      </c>
      <c r="I1022" s="37" t="s">
        <v>150</v>
      </c>
      <c r="J1022" s="37" t="s">
        <v>151</v>
      </c>
      <c r="K1022" s="37" t="s">
        <v>1202</v>
      </c>
      <c r="L1022" s="39" t="n">
        <v>3337</v>
      </c>
      <c r="M1022" s="39" t="n">
        <v>3329</v>
      </c>
      <c r="N1022" s="39" t="n">
        <v>1408</v>
      </c>
      <c r="O1022" s="39" t="n">
        <v>113</v>
      </c>
      <c r="P1022" s="39" t="n">
        <v>7</v>
      </c>
      <c r="Q1022" s="39" t="n">
        <v>8</v>
      </c>
      <c r="R1022" s="39" t="n">
        <v>8</v>
      </c>
      <c r="S1022" s="39" t="n">
        <v>0</v>
      </c>
      <c r="T1022" s="40" t="n">
        <f aca="false">IF(M1022=0,0,N1022/M1022)</f>
        <v>0.422949834785221</v>
      </c>
      <c r="U1022" s="40" t="n">
        <f aca="false">IF(M1022=0,0,O1022/M1022)</f>
        <v>0.0339441273655753</v>
      </c>
      <c r="V1022" s="41" t="n">
        <f aca="false">IF(M1022=0,0,P1022/M1022)</f>
        <v>0.00210273355361971</v>
      </c>
      <c r="W1022" s="40" t="n">
        <f aca="false">IF(L1022=0,0,Q1022/L1022)</f>
        <v>0.00239736290080911</v>
      </c>
    </row>
    <row r="1023" customFormat="false" ht="15" hidden="false" customHeight="false" outlineLevel="0" collapsed="false">
      <c r="A1023" s="37" t="s">
        <v>2355</v>
      </c>
      <c r="B1023" s="38" t="n">
        <v>45937.8463773148</v>
      </c>
      <c r="C1023" s="37" t="s">
        <v>1201</v>
      </c>
      <c r="D1023" s="37" t="s">
        <v>127</v>
      </c>
      <c r="E1023" s="37" t="s">
        <v>128</v>
      </c>
      <c r="F1023" s="37" t="s">
        <v>127</v>
      </c>
      <c r="G1023" s="37"/>
      <c r="H1023" s="37" t="s">
        <v>60</v>
      </c>
      <c r="I1023" s="37"/>
      <c r="J1023" s="37" t="s">
        <v>126</v>
      </c>
      <c r="K1023" s="37" t="s">
        <v>1202</v>
      </c>
      <c r="L1023" s="39" t="n">
        <v>8</v>
      </c>
      <c r="M1023" s="39" t="n">
        <v>8</v>
      </c>
      <c r="N1023" s="39" t="n">
        <v>5</v>
      </c>
      <c r="O1023" s="39" t="n">
        <v>2</v>
      </c>
      <c r="P1023" s="39" t="n">
        <v>0</v>
      </c>
      <c r="Q1023" s="39" t="n">
        <v>0</v>
      </c>
      <c r="R1023" s="39" t="n">
        <v>0</v>
      </c>
      <c r="S1023" s="39" t="n">
        <v>0</v>
      </c>
      <c r="T1023" s="40" t="n">
        <f aca="false">IF(M1023=0,0,N1023/M1023)</f>
        <v>0.625</v>
      </c>
      <c r="U1023" s="40" t="n">
        <f aca="false">IF(M1023=0,0,O1023/M1023)</f>
        <v>0.25</v>
      </c>
      <c r="V1023" s="41" t="n">
        <f aca="false">IF(M1023=0,0,P1023/M1023)</f>
        <v>0</v>
      </c>
      <c r="W1023" s="40" t="n">
        <f aca="false">IF(L1023=0,0,Q1023/L1023)</f>
        <v>0</v>
      </c>
    </row>
    <row r="1024" customFormat="false" ht="15" hidden="false" customHeight="false" outlineLevel="0" collapsed="false">
      <c r="A1024" s="37" t="s">
        <v>2356</v>
      </c>
      <c r="B1024" s="38" t="n">
        <v>45937.8130324074</v>
      </c>
      <c r="C1024" s="37" t="s">
        <v>1201</v>
      </c>
      <c r="D1024" s="37" t="s">
        <v>2289</v>
      </c>
      <c r="E1024" s="37" t="s">
        <v>128</v>
      </c>
      <c r="F1024" s="37" t="s">
        <v>127</v>
      </c>
      <c r="G1024" s="37"/>
      <c r="H1024" s="37" t="s">
        <v>60</v>
      </c>
      <c r="I1024" s="37"/>
      <c r="J1024" s="37" t="s">
        <v>126</v>
      </c>
      <c r="K1024" s="37" t="s">
        <v>1202</v>
      </c>
      <c r="L1024" s="39" t="n">
        <v>1</v>
      </c>
      <c r="M1024" s="39" t="n">
        <v>1</v>
      </c>
      <c r="N1024" s="39" t="n">
        <v>0</v>
      </c>
      <c r="O1024" s="39" t="n">
        <v>0</v>
      </c>
      <c r="P1024" s="39" t="n">
        <v>0</v>
      </c>
      <c r="Q1024" s="39" t="n">
        <v>0</v>
      </c>
      <c r="R1024" s="39" t="n">
        <v>0</v>
      </c>
      <c r="S1024" s="39" t="n">
        <v>0</v>
      </c>
      <c r="T1024" s="40" t="n">
        <f aca="false">IF(M1024=0,0,N1024/M1024)</f>
        <v>0</v>
      </c>
      <c r="U1024" s="40" t="n">
        <f aca="false">IF(M1024=0,0,O1024/M1024)</f>
        <v>0</v>
      </c>
      <c r="V1024" s="41" t="n">
        <f aca="false">IF(M1024=0,0,P1024/M1024)</f>
        <v>0</v>
      </c>
      <c r="W1024" s="40" t="n">
        <f aca="false">IF(L1024=0,0,Q1024/L1024)</f>
        <v>0</v>
      </c>
    </row>
    <row r="1025" customFormat="false" ht="15" hidden="false" customHeight="false" outlineLevel="0" collapsed="false">
      <c r="A1025" s="37" t="s">
        <v>2357</v>
      </c>
      <c r="B1025" s="38" t="n">
        <v>45937.8129398148</v>
      </c>
      <c r="C1025" s="37" t="s">
        <v>1201</v>
      </c>
      <c r="D1025" s="37" t="s">
        <v>2299</v>
      </c>
      <c r="E1025" s="37" t="s">
        <v>128</v>
      </c>
      <c r="F1025" s="37" t="s">
        <v>127</v>
      </c>
      <c r="G1025" s="37"/>
      <c r="H1025" s="37" t="s">
        <v>60</v>
      </c>
      <c r="I1025" s="37"/>
      <c r="J1025" s="37" t="s">
        <v>126</v>
      </c>
      <c r="K1025" s="37" t="s">
        <v>1202</v>
      </c>
      <c r="L1025" s="39" t="n">
        <v>53</v>
      </c>
      <c r="M1025" s="39" t="n">
        <v>51</v>
      </c>
      <c r="N1025" s="39" t="n">
        <v>18</v>
      </c>
      <c r="O1025" s="39" t="n">
        <v>5</v>
      </c>
      <c r="P1025" s="39" t="n">
        <v>0</v>
      </c>
      <c r="Q1025" s="39" t="n">
        <v>2</v>
      </c>
      <c r="R1025" s="39" t="n">
        <v>2</v>
      </c>
      <c r="S1025" s="39" t="n">
        <v>0</v>
      </c>
      <c r="T1025" s="40" t="n">
        <f aca="false">IF(M1025=0,0,N1025/M1025)</f>
        <v>0.352941176470588</v>
      </c>
      <c r="U1025" s="40" t="n">
        <f aca="false">IF(M1025=0,0,O1025/M1025)</f>
        <v>0.0980392156862745</v>
      </c>
      <c r="V1025" s="41" t="n">
        <f aca="false">IF(M1025=0,0,P1025/M1025)</f>
        <v>0</v>
      </c>
      <c r="W1025" s="40" t="n">
        <f aca="false">IF(L1025=0,0,Q1025/L1025)</f>
        <v>0.0377358490566038</v>
      </c>
    </row>
    <row r="1026" customFormat="false" ht="15" hidden="false" customHeight="false" outlineLevel="0" collapsed="false">
      <c r="A1026" s="37" t="s">
        <v>2358</v>
      </c>
      <c r="B1026" s="38" t="n">
        <v>45937.8128125</v>
      </c>
      <c r="C1026" s="37" t="s">
        <v>1201</v>
      </c>
      <c r="D1026" s="37" t="s">
        <v>2297</v>
      </c>
      <c r="E1026" s="37" t="s">
        <v>128</v>
      </c>
      <c r="F1026" s="37" t="s">
        <v>127</v>
      </c>
      <c r="G1026" s="37"/>
      <c r="H1026" s="37" t="s">
        <v>60</v>
      </c>
      <c r="I1026" s="37"/>
      <c r="J1026" s="37" t="s">
        <v>126</v>
      </c>
      <c r="K1026" s="37" t="s">
        <v>1202</v>
      </c>
      <c r="L1026" s="39" t="n">
        <v>39</v>
      </c>
      <c r="M1026" s="39" t="n">
        <v>39</v>
      </c>
      <c r="N1026" s="39" t="n">
        <v>11</v>
      </c>
      <c r="O1026" s="39" t="n">
        <v>4</v>
      </c>
      <c r="P1026" s="39" t="n">
        <v>0</v>
      </c>
      <c r="Q1026" s="39" t="n">
        <v>0</v>
      </c>
      <c r="R1026" s="39" t="n">
        <v>0</v>
      </c>
      <c r="S1026" s="39" t="n">
        <v>0</v>
      </c>
      <c r="T1026" s="40" t="n">
        <f aca="false">IF(M1026=0,0,N1026/M1026)</f>
        <v>0.282051282051282</v>
      </c>
      <c r="U1026" s="40" t="n">
        <f aca="false">IF(M1026=0,0,O1026/M1026)</f>
        <v>0.102564102564103</v>
      </c>
      <c r="V1026" s="41" t="n">
        <f aca="false">IF(M1026=0,0,P1026/M1026)</f>
        <v>0</v>
      </c>
      <c r="W1026" s="40" t="n">
        <f aca="false">IF(L1026=0,0,Q1026/L1026)</f>
        <v>0</v>
      </c>
    </row>
    <row r="1027" customFormat="false" ht="15" hidden="false" customHeight="false" outlineLevel="0" collapsed="false">
      <c r="A1027" s="37" t="s">
        <v>2359</v>
      </c>
      <c r="B1027" s="38" t="n">
        <v>45937.8127893519</v>
      </c>
      <c r="C1027" s="37" t="s">
        <v>1201</v>
      </c>
      <c r="D1027" s="37" t="s">
        <v>2295</v>
      </c>
      <c r="E1027" s="37" t="s">
        <v>128</v>
      </c>
      <c r="F1027" s="37" t="s">
        <v>127</v>
      </c>
      <c r="G1027" s="37"/>
      <c r="H1027" s="37" t="s">
        <v>60</v>
      </c>
      <c r="I1027" s="37"/>
      <c r="J1027" s="37" t="s">
        <v>126</v>
      </c>
      <c r="K1027" s="37" t="s">
        <v>1202</v>
      </c>
      <c r="L1027" s="39" t="n">
        <v>21</v>
      </c>
      <c r="M1027" s="39" t="n">
        <v>21</v>
      </c>
      <c r="N1027" s="39" t="n">
        <v>4</v>
      </c>
      <c r="O1027" s="39" t="n">
        <v>0</v>
      </c>
      <c r="P1027" s="39" t="n">
        <v>0</v>
      </c>
      <c r="Q1027" s="39" t="n">
        <v>0</v>
      </c>
      <c r="R1027" s="39" t="n">
        <v>0</v>
      </c>
      <c r="S1027" s="39" t="n">
        <v>0</v>
      </c>
      <c r="T1027" s="40" t="n">
        <f aca="false">IF(M1027=0,0,N1027/M1027)</f>
        <v>0.19047619047619</v>
      </c>
      <c r="U1027" s="40" t="n">
        <f aca="false">IF(M1027=0,0,O1027/M1027)</f>
        <v>0</v>
      </c>
      <c r="V1027" s="41" t="n">
        <f aca="false">IF(M1027=0,0,P1027/M1027)</f>
        <v>0</v>
      </c>
      <c r="W1027" s="40" t="n">
        <f aca="false">IF(L1027=0,0,Q1027/L1027)</f>
        <v>0</v>
      </c>
    </row>
    <row r="1028" customFormat="false" ht="15" hidden="false" customHeight="false" outlineLevel="0" collapsed="false">
      <c r="A1028" s="37" t="s">
        <v>2360</v>
      </c>
      <c r="B1028" s="38" t="n">
        <v>45937.8127777778</v>
      </c>
      <c r="C1028" s="37" t="s">
        <v>1201</v>
      </c>
      <c r="D1028" s="37" t="s">
        <v>2292</v>
      </c>
      <c r="E1028" s="37" t="s">
        <v>128</v>
      </c>
      <c r="F1028" s="37" t="s">
        <v>127</v>
      </c>
      <c r="G1028" s="37"/>
      <c r="H1028" s="37" t="s">
        <v>60</v>
      </c>
      <c r="I1028" s="37"/>
      <c r="J1028" s="37" t="s">
        <v>126</v>
      </c>
      <c r="K1028" s="37" t="s">
        <v>1202</v>
      </c>
      <c r="L1028" s="39" t="n">
        <v>472</v>
      </c>
      <c r="M1028" s="39" t="n">
        <v>452</v>
      </c>
      <c r="N1028" s="39" t="n">
        <v>117</v>
      </c>
      <c r="O1028" s="39" t="n">
        <v>17</v>
      </c>
      <c r="P1028" s="39" t="n">
        <v>2</v>
      </c>
      <c r="Q1028" s="39" t="n">
        <v>20</v>
      </c>
      <c r="R1028" s="39" t="n">
        <v>19</v>
      </c>
      <c r="S1028" s="39" t="n">
        <v>0</v>
      </c>
      <c r="T1028" s="40" t="n">
        <f aca="false">IF(M1028=0,0,N1028/M1028)</f>
        <v>0.258849557522124</v>
      </c>
      <c r="U1028" s="40" t="n">
        <f aca="false">IF(M1028=0,0,O1028/M1028)</f>
        <v>0.0376106194690266</v>
      </c>
      <c r="V1028" s="41" t="n">
        <f aca="false">IF(M1028=0,0,P1028/M1028)</f>
        <v>0.00442477876106195</v>
      </c>
      <c r="W1028" s="40" t="n">
        <f aca="false">IF(L1028=0,0,Q1028/L1028)</f>
        <v>0.0423728813559322</v>
      </c>
    </row>
    <row r="1029" customFormat="false" ht="15" hidden="false" customHeight="false" outlineLevel="0" collapsed="false">
      <c r="A1029" s="37" t="s">
        <v>2361</v>
      </c>
      <c r="B1029" s="38" t="n">
        <v>45937.8126851852</v>
      </c>
      <c r="C1029" s="37" t="s">
        <v>1201</v>
      </c>
      <c r="D1029" s="37" t="s">
        <v>2283</v>
      </c>
      <c r="E1029" s="37" t="s">
        <v>128</v>
      </c>
      <c r="F1029" s="37" t="s">
        <v>127</v>
      </c>
      <c r="G1029" s="37"/>
      <c r="H1029" s="37" t="s">
        <v>60</v>
      </c>
      <c r="I1029" s="37"/>
      <c r="J1029" s="37" t="s">
        <v>126</v>
      </c>
      <c r="K1029" s="37" t="s">
        <v>1202</v>
      </c>
      <c r="L1029" s="39" t="n">
        <v>22</v>
      </c>
      <c r="M1029" s="39" t="n">
        <v>22</v>
      </c>
      <c r="N1029" s="39" t="n">
        <v>8</v>
      </c>
      <c r="O1029" s="39" t="n">
        <v>1</v>
      </c>
      <c r="P1029" s="39" t="n">
        <v>0</v>
      </c>
      <c r="Q1029" s="39" t="n">
        <v>0</v>
      </c>
      <c r="R1029" s="39" t="n">
        <v>0</v>
      </c>
      <c r="S1029" s="39" t="n">
        <v>0</v>
      </c>
      <c r="T1029" s="40" t="n">
        <f aca="false">IF(M1029=0,0,N1029/M1029)</f>
        <v>0.363636363636364</v>
      </c>
      <c r="U1029" s="40" t="n">
        <f aca="false">IF(M1029=0,0,O1029/M1029)</f>
        <v>0.0454545454545455</v>
      </c>
      <c r="V1029" s="41" t="n">
        <f aca="false">IF(M1029=0,0,P1029/M1029)</f>
        <v>0</v>
      </c>
      <c r="W1029" s="40" t="n">
        <f aca="false">IF(L1029=0,0,Q1029/L1029)</f>
        <v>0</v>
      </c>
    </row>
    <row r="1030" customFormat="false" ht="15" hidden="false" customHeight="false" outlineLevel="0" collapsed="false">
      <c r="A1030" s="37" t="s">
        <v>2362</v>
      </c>
      <c r="B1030" s="38" t="n">
        <v>45937.812662037</v>
      </c>
      <c r="C1030" s="37" t="s">
        <v>1201</v>
      </c>
      <c r="D1030" s="37" t="s">
        <v>2285</v>
      </c>
      <c r="E1030" s="37" t="s">
        <v>128</v>
      </c>
      <c r="F1030" s="37" t="s">
        <v>127</v>
      </c>
      <c r="G1030" s="37"/>
      <c r="H1030" s="37" t="s">
        <v>60</v>
      </c>
      <c r="I1030" s="37"/>
      <c r="J1030" s="37" t="s">
        <v>126</v>
      </c>
      <c r="K1030" s="37" t="s">
        <v>1202</v>
      </c>
      <c r="L1030" s="39" t="n">
        <v>98</v>
      </c>
      <c r="M1030" s="39" t="n">
        <v>97</v>
      </c>
      <c r="N1030" s="39" t="n">
        <v>34</v>
      </c>
      <c r="O1030" s="39" t="n">
        <v>3</v>
      </c>
      <c r="P1030" s="39" t="n">
        <v>0</v>
      </c>
      <c r="Q1030" s="39" t="n">
        <v>1</v>
      </c>
      <c r="R1030" s="39" t="n">
        <v>1</v>
      </c>
      <c r="S1030" s="39" t="n">
        <v>0</v>
      </c>
      <c r="T1030" s="40" t="n">
        <f aca="false">IF(M1030=0,0,N1030/M1030)</f>
        <v>0.350515463917526</v>
      </c>
      <c r="U1030" s="40" t="n">
        <f aca="false">IF(M1030=0,0,O1030/M1030)</f>
        <v>0.0309278350515464</v>
      </c>
      <c r="V1030" s="41" t="n">
        <f aca="false">IF(M1030=0,0,P1030/M1030)</f>
        <v>0</v>
      </c>
      <c r="W1030" s="40" t="n">
        <f aca="false">IF(L1030=0,0,Q1030/L1030)</f>
        <v>0.0102040816326531</v>
      </c>
    </row>
    <row r="1031" customFormat="false" ht="15" hidden="false" customHeight="false" outlineLevel="0" collapsed="false">
      <c r="A1031" s="37" t="s">
        <v>2363</v>
      </c>
      <c r="B1031" s="38" t="n">
        <v>45937.8126273148</v>
      </c>
      <c r="C1031" s="37" t="s">
        <v>1201</v>
      </c>
      <c r="D1031" s="37" t="s">
        <v>1708</v>
      </c>
      <c r="E1031" s="37" t="s">
        <v>128</v>
      </c>
      <c r="F1031" s="37" t="s">
        <v>127</v>
      </c>
      <c r="G1031" s="37"/>
      <c r="H1031" s="37" t="s">
        <v>60</v>
      </c>
      <c r="I1031" s="37"/>
      <c r="J1031" s="37" t="s">
        <v>126</v>
      </c>
      <c r="K1031" s="37" t="s">
        <v>1202</v>
      </c>
      <c r="L1031" s="39" t="n">
        <v>246</v>
      </c>
      <c r="M1031" s="39" t="n">
        <v>241</v>
      </c>
      <c r="N1031" s="39" t="n">
        <v>50</v>
      </c>
      <c r="O1031" s="39" t="n">
        <v>7</v>
      </c>
      <c r="P1031" s="39" t="n">
        <v>0</v>
      </c>
      <c r="Q1031" s="39" t="n">
        <v>5</v>
      </c>
      <c r="R1031" s="39" t="n">
        <v>3</v>
      </c>
      <c r="S1031" s="39" t="n">
        <v>0</v>
      </c>
      <c r="T1031" s="40" t="n">
        <f aca="false">IF(M1031=0,0,N1031/M1031)</f>
        <v>0.20746887966805</v>
      </c>
      <c r="U1031" s="40" t="n">
        <f aca="false">IF(M1031=0,0,O1031/M1031)</f>
        <v>0.029045643153527</v>
      </c>
      <c r="V1031" s="41" t="n">
        <f aca="false">IF(M1031=0,0,P1031/M1031)</f>
        <v>0</v>
      </c>
      <c r="W1031" s="40" t="n">
        <f aca="false">IF(L1031=0,0,Q1031/L1031)</f>
        <v>0.0203252032520325</v>
      </c>
    </row>
    <row r="1032" customFormat="false" ht="15" hidden="false" customHeight="false" outlineLevel="0" collapsed="false">
      <c r="A1032" s="37" t="s">
        <v>2364</v>
      </c>
      <c r="B1032" s="38" t="n">
        <v>45937.8126157407</v>
      </c>
      <c r="C1032" s="37" t="s">
        <v>1201</v>
      </c>
      <c r="D1032" s="37" t="s">
        <v>2287</v>
      </c>
      <c r="E1032" s="37" t="s">
        <v>128</v>
      </c>
      <c r="F1032" s="37" t="s">
        <v>127</v>
      </c>
      <c r="G1032" s="37"/>
      <c r="H1032" s="37" t="s">
        <v>60</v>
      </c>
      <c r="I1032" s="37"/>
      <c r="J1032" s="37" t="s">
        <v>126</v>
      </c>
      <c r="K1032" s="37" t="s">
        <v>1202</v>
      </c>
      <c r="L1032" s="39" t="n">
        <v>31</v>
      </c>
      <c r="M1032" s="39" t="n">
        <v>31</v>
      </c>
      <c r="N1032" s="39" t="n">
        <v>16</v>
      </c>
      <c r="O1032" s="39" t="n">
        <v>8</v>
      </c>
      <c r="P1032" s="39" t="n">
        <v>0</v>
      </c>
      <c r="Q1032" s="39" t="n">
        <v>0</v>
      </c>
      <c r="R1032" s="39" t="n">
        <v>0</v>
      </c>
      <c r="S1032" s="39" t="n">
        <v>0</v>
      </c>
      <c r="T1032" s="40" t="n">
        <f aca="false">IF(M1032=0,0,N1032/M1032)</f>
        <v>0.516129032258065</v>
      </c>
      <c r="U1032" s="40" t="n">
        <f aca="false">IF(M1032=0,0,O1032/M1032)</f>
        <v>0.258064516129032</v>
      </c>
      <c r="V1032" s="41" t="n">
        <f aca="false">IF(M1032=0,0,P1032/M1032)</f>
        <v>0</v>
      </c>
      <c r="W1032" s="40" t="n">
        <f aca="false">IF(L1032=0,0,Q1032/L1032)</f>
        <v>0</v>
      </c>
    </row>
    <row r="1033" customFormat="false" ht="15" hidden="false" customHeight="false" outlineLevel="0" collapsed="false">
      <c r="A1033" s="37" t="s">
        <v>2365</v>
      </c>
      <c r="B1033" s="38" t="n">
        <v>45937.7607638889</v>
      </c>
      <c r="C1033" s="37" t="s">
        <v>1201</v>
      </c>
      <c r="D1033" s="37" t="s">
        <v>1372</v>
      </c>
      <c r="E1033" s="37" t="s">
        <v>1373</v>
      </c>
      <c r="F1033" s="37" t="s">
        <v>537</v>
      </c>
      <c r="G1033" s="37"/>
      <c r="H1033" s="37" t="s">
        <v>63</v>
      </c>
      <c r="I1033" s="37"/>
      <c r="J1033" s="37" t="s">
        <v>296</v>
      </c>
      <c r="K1033" s="37" t="s">
        <v>1202</v>
      </c>
      <c r="L1033" s="39" t="n">
        <v>1</v>
      </c>
      <c r="M1033" s="39" t="n">
        <v>1</v>
      </c>
      <c r="N1033" s="39" t="n">
        <v>1</v>
      </c>
      <c r="O1033" s="39" t="n">
        <v>0</v>
      </c>
      <c r="P1033" s="39" t="n">
        <v>0</v>
      </c>
      <c r="Q1033" s="39" t="n">
        <v>0</v>
      </c>
      <c r="R1033" s="39" t="n">
        <v>0</v>
      </c>
      <c r="S1033" s="39" t="n">
        <v>0</v>
      </c>
      <c r="T1033" s="40" t="n">
        <f aca="false">IF(M1033=0,0,N1033/M1033)</f>
        <v>1</v>
      </c>
      <c r="U1033" s="40" t="n">
        <f aca="false">IF(M1033=0,0,O1033/M1033)</f>
        <v>0</v>
      </c>
      <c r="V1033" s="41" t="n">
        <f aca="false">IF(M1033=0,0,P1033/M1033)</f>
        <v>0</v>
      </c>
      <c r="W1033" s="40" t="n">
        <f aca="false">IF(L1033=0,0,Q1033/L1033)</f>
        <v>0</v>
      </c>
    </row>
    <row r="1034" customFormat="false" ht="15" hidden="false" customHeight="false" outlineLevel="0" collapsed="false">
      <c r="A1034" s="37" t="s">
        <v>1220</v>
      </c>
      <c r="B1034" s="38" t="n">
        <v>45937.527037037</v>
      </c>
      <c r="C1034" s="37" t="s">
        <v>1201</v>
      </c>
      <c r="D1034" s="37" t="s">
        <v>1211</v>
      </c>
      <c r="E1034" s="37" t="s">
        <v>1212</v>
      </c>
      <c r="F1034" s="37" t="s">
        <v>544</v>
      </c>
      <c r="G1034" s="37"/>
      <c r="H1034" s="37" t="s">
        <v>60</v>
      </c>
      <c r="I1034" s="37"/>
      <c r="J1034" s="37" t="s">
        <v>100</v>
      </c>
      <c r="K1034" s="37" t="s">
        <v>1213</v>
      </c>
      <c r="L1034" s="39" t="n">
        <v>147</v>
      </c>
      <c r="M1034" s="39" t="n">
        <v>147</v>
      </c>
      <c r="N1034" s="39" t="n">
        <v>99</v>
      </c>
      <c r="O1034" s="39" t="n">
        <v>5</v>
      </c>
      <c r="P1034" s="39" t="n">
        <v>0</v>
      </c>
      <c r="Q1034" s="39" t="n">
        <v>0</v>
      </c>
      <c r="R1034" s="39" t="n">
        <v>0</v>
      </c>
      <c r="S1034" s="39" t="n">
        <v>0</v>
      </c>
      <c r="T1034" s="40" t="n">
        <f aca="false">IF(M1034=0,0,N1034/M1034)</f>
        <v>0.673469387755102</v>
      </c>
      <c r="U1034" s="40" t="n">
        <f aca="false">IF(M1034=0,0,O1034/M1034)</f>
        <v>0.0340136054421769</v>
      </c>
      <c r="V1034" s="41" t="n">
        <f aca="false">IF(M1034=0,0,P1034/M1034)</f>
        <v>0</v>
      </c>
      <c r="W1034" s="40" t="n">
        <f aca="false">IF(L1034=0,0,Q1034/L1034)</f>
        <v>0</v>
      </c>
    </row>
    <row r="1035" customFormat="false" ht="15" hidden="false" customHeight="false" outlineLevel="0" collapsed="false">
      <c r="A1035" s="37" t="s">
        <v>2366</v>
      </c>
      <c r="B1035" s="38" t="n">
        <v>45937.4769907407</v>
      </c>
      <c r="C1035" s="37" t="s">
        <v>1201</v>
      </c>
      <c r="D1035" s="37" t="s">
        <v>1912</v>
      </c>
      <c r="E1035" s="37" t="s">
        <v>2367</v>
      </c>
      <c r="F1035" s="37" t="s">
        <v>590</v>
      </c>
      <c r="G1035" s="37"/>
      <c r="H1035" s="37" t="s">
        <v>60</v>
      </c>
      <c r="I1035" s="37"/>
      <c r="J1035" s="37" t="s">
        <v>394</v>
      </c>
      <c r="K1035" s="37" t="s">
        <v>1213</v>
      </c>
      <c r="L1035" s="39" t="n">
        <v>25</v>
      </c>
      <c r="M1035" s="39" t="n">
        <v>24</v>
      </c>
      <c r="N1035" s="39" t="n">
        <v>23</v>
      </c>
      <c r="O1035" s="39" t="n">
        <v>19</v>
      </c>
      <c r="P1035" s="39" t="n">
        <v>0</v>
      </c>
      <c r="Q1035" s="39" t="n">
        <v>1</v>
      </c>
      <c r="R1035" s="39" t="n">
        <v>1</v>
      </c>
      <c r="S1035" s="39" t="n">
        <v>0</v>
      </c>
      <c r="T1035" s="40" t="n">
        <f aca="false">IF(M1035=0,0,N1035/M1035)</f>
        <v>0.958333333333333</v>
      </c>
      <c r="U1035" s="40" t="n">
        <f aca="false">IF(M1035=0,0,O1035/M1035)</f>
        <v>0.791666666666667</v>
      </c>
      <c r="V1035" s="41" t="n">
        <f aca="false">IF(M1035=0,0,P1035/M1035)</f>
        <v>0</v>
      </c>
      <c r="W1035" s="40" t="n">
        <f aca="false">IF(L1035=0,0,Q1035/L1035)</f>
        <v>0.04</v>
      </c>
    </row>
    <row r="1036" customFormat="false" ht="15" hidden="false" customHeight="false" outlineLevel="0" collapsed="false">
      <c r="A1036" s="37" t="s">
        <v>2368</v>
      </c>
      <c r="B1036" s="38" t="n">
        <v>45937.2927893519</v>
      </c>
      <c r="C1036" s="37" t="s">
        <v>1201</v>
      </c>
      <c r="D1036" s="37" t="s">
        <v>1372</v>
      </c>
      <c r="E1036" s="37" t="s">
        <v>1373</v>
      </c>
      <c r="F1036" s="37" t="s">
        <v>537</v>
      </c>
      <c r="G1036" s="37"/>
      <c r="H1036" s="37" t="s">
        <v>63</v>
      </c>
      <c r="I1036" s="37"/>
      <c r="J1036" s="37" t="s">
        <v>296</v>
      </c>
      <c r="K1036" s="37" t="s">
        <v>1202</v>
      </c>
      <c r="L1036" s="39" t="n">
        <v>2</v>
      </c>
      <c r="M1036" s="39" t="n">
        <v>2</v>
      </c>
      <c r="N1036" s="39" t="n">
        <v>2</v>
      </c>
      <c r="O1036" s="39" t="n">
        <v>0</v>
      </c>
      <c r="P1036" s="39" t="n">
        <v>0</v>
      </c>
      <c r="Q1036" s="39" t="n">
        <v>0</v>
      </c>
      <c r="R1036" s="39" t="n">
        <v>0</v>
      </c>
      <c r="S1036" s="39" t="n">
        <v>0</v>
      </c>
      <c r="T1036" s="40" t="n">
        <f aca="false">IF(M1036=0,0,N1036/M1036)</f>
        <v>1</v>
      </c>
      <c r="U1036" s="40" t="n">
        <f aca="false">IF(M1036=0,0,O1036/M1036)</f>
        <v>0</v>
      </c>
      <c r="V1036" s="41" t="n">
        <f aca="false">IF(M1036=0,0,P1036/M1036)</f>
        <v>0</v>
      </c>
      <c r="W1036" s="40" t="n">
        <f aca="false">IF(L1036=0,0,Q1036/L1036)</f>
        <v>0</v>
      </c>
    </row>
    <row r="1037" customFormat="false" ht="15" hidden="false" customHeight="false" outlineLevel="0" collapsed="false">
      <c r="A1037" s="37" t="s">
        <v>2369</v>
      </c>
      <c r="B1037" s="38" t="n">
        <v>45937.2919791667</v>
      </c>
      <c r="C1037" s="37" t="s">
        <v>1201</v>
      </c>
      <c r="D1037" s="37" t="s">
        <v>1372</v>
      </c>
      <c r="E1037" s="37" t="s">
        <v>1373</v>
      </c>
      <c r="F1037" s="37" t="s">
        <v>537</v>
      </c>
      <c r="G1037" s="37"/>
      <c r="H1037" s="37" t="s">
        <v>60</v>
      </c>
      <c r="I1037" s="37"/>
      <c r="J1037" s="37" t="s">
        <v>296</v>
      </c>
      <c r="K1037" s="37" t="s">
        <v>1202</v>
      </c>
      <c r="L1037" s="39" t="n">
        <v>2</v>
      </c>
      <c r="M1037" s="39" t="n">
        <v>2</v>
      </c>
      <c r="N1037" s="39" t="n">
        <v>1</v>
      </c>
      <c r="O1037" s="39" t="n">
        <v>0</v>
      </c>
      <c r="P1037" s="39" t="n">
        <v>0</v>
      </c>
      <c r="Q1037" s="39" t="n">
        <v>0</v>
      </c>
      <c r="R1037" s="39" t="n">
        <v>0</v>
      </c>
      <c r="S1037" s="39" t="n">
        <v>0</v>
      </c>
      <c r="T1037" s="40" t="n">
        <f aca="false">IF(M1037=0,0,N1037/M1037)</f>
        <v>0.5</v>
      </c>
      <c r="U1037" s="40" t="n">
        <f aca="false">IF(M1037=0,0,O1037/M1037)</f>
        <v>0</v>
      </c>
      <c r="V1037" s="41" t="n">
        <f aca="false">IF(M1037=0,0,P1037/M1037)</f>
        <v>0</v>
      </c>
      <c r="W1037" s="40" t="n">
        <f aca="false">IF(L1037=0,0,Q1037/L1037)</f>
        <v>0</v>
      </c>
    </row>
    <row r="1038" customFormat="false" ht="15" hidden="false" customHeight="false" outlineLevel="0" collapsed="false">
      <c r="A1038" s="37" t="s">
        <v>2370</v>
      </c>
      <c r="B1038" s="38" t="n">
        <v>45937.182962963</v>
      </c>
      <c r="C1038" s="37" t="s">
        <v>1201</v>
      </c>
      <c r="D1038" s="37" t="s">
        <v>656</v>
      </c>
      <c r="E1038" s="37" t="s">
        <v>1974</v>
      </c>
      <c r="F1038" s="37" t="s">
        <v>544</v>
      </c>
      <c r="G1038" s="37"/>
      <c r="H1038" s="37" t="s">
        <v>60</v>
      </c>
      <c r="I1038" s="37"/>
      <c r="J1038" s="37" t="s">
        <v>399</v>
      </c>
      <c r="K1038" s="37" t="s">
        <v>1202</v>
      </c>
      <c r="L1038" s="39" t="n">
        <v>424</v>
      </c>
      <c r="M1038" s="39" t="n">
        <v>411</v>
      </c>
      <c r="N1038" s="39" t="n">
        <v>140</v>
      </c>
      <c r="O1038" s="39" t="n">
        <v>18</v>
      </c>
      <c r="P1038" s="39" t="n">
        <v>1</v>
      </c>
      <c r="Q1038" s="39" t="n">
        <v>13</v>
      </c>
      <c r="R1038" s="39" t="n">
        <v>13</v>
      </c>
      <c r="S1038" s="39" t="n">
        <v>0</v>
      </c>
      <c r="T1038" s="40" t="n">
        <f aca="false">IF(M1038=0,0,N1038/M1038)</f>
        <v>0.340632603406326</v>
      </c>
      <c r="U1038" s="40" t="n">
        <f aca="false">IF(M1038=0,0,O1038/M1038)</f>
        <v>0.0437956204379562</v>
      </c>
      <c r="V1038" s="41" t="n">
        <f aca="false">IF(M1038=0,0,P1038/M1038)</f>
        <v>0.0024330900243309</v>
      </c>
      <c r="W1038" s="40" t="n">
        <f aca="false">IF(L1038=0,0,Q1038/L1038)</f>
        <v>0.0306603773584906</v>
      </c>
    </row>
    <row r="1039" customFormat="false" ht="15" hidden="false" customHeight="false" outlineLevel="0" collapsed="false">
      <c r="A1039" s="37" t="s">
        <v>2371</v>
      </c>
      <c r="B1039" s="38" t="n">
        <v>45937.0002662037</v>
      </c>
      <c r="C1039" s="37" t="s">
        <v>1201</v>
      </c>
      <c r="D1039" s="37" t="s">
        <v>152</v>
      </c>
      <c r="E1039" s="37" t="s">
        <v>1344</v>
      </c>
      <c r="F1039" s="37" t="s">
        <v>152</v>
      </c>
      <c r="G1039" s="37"/>
      <c r="H1039" s="37" t="s">
        <v>60</v>
      </c>
      <c r="I1039" s="37"/>
      <c r="J1039" s="37" t="s">
        <v>151</v>
      </c>
      <c r="K1039" s="37" t="s">
        <v>1202</v>
      </c>
      <c r="L1039" s="39" t="n">
        <v>305</v>
      </c>
      <c r="M1039" s="39" t="n">
        <v>298</v>
      </c>
      <c r="N1039" s="39" t="n">
        <v>103</v>
      </c>
      <c r="O1039" s="39" t="n">
        <v>16</v>
      </c>
      <c r="P1039" s="39" t="n">
        <v>0</v>
      </c>
      <c r="Q1039" s="39" t="n">
        <v>7</v>
      </c>
      <c r="R1039" s="39" t="n">
        <v>7</v>
      </c>
      <c r="S1039" s="39" t="n">
        <v>0</v>
      </c>
      <c r="T1039" s="40" t="n">
        <f aca="false">IF(M1039=0,0,N1039/M1039)</f>
        <v>0.345637583892617</v>
      </c>
      <c r="U1039" s="40" t="n">
        <f aca="false">IF(M1039=0,0,O1039/M1039)</f>
        <v>0.0536912751677852</v>
      </c>
      <c r="V1039" s="41" t="n">
        <f aca="false">IF(M1039=0,0,P1039/M1039)</f>
        <v>0</v>
      </c>
      <c r="W1039" s="40" t="n">
        <f aca="false">IF(L1039=0,0,Q1039/L1039)</f>
        <v>0.0229508196721311</v>
      </c>
    </row>
    <row r="1040" customFormat="false" ht="15" hidden="false" customHeight="false" outlineLevel="0" collapsed="false">
      <c r="A1040" s="37" t="s">
        <v>2372</v>
      </c>
      <c r="B1040" s="38" t="n">
        <v>45936.9304861111</v>
      </c>
      <c r="C1040" s="37" t="s">
        <v>1201</v>
      </c>
      <c r="D1040" s="37" t="s">
        <v>1259</v>
      </c>
      <c r="E1040" s="37" t="s">
        <v>1259</v>
      </c>
      <c r="F1040" s="37" t="s">
        <v>127</v>
      </c>
      <c r="G1040" s="37"/>
      <c r="H1040" s="37" t="s">
        <v>60</v>
      </c>
      <c r="I1040" s="37"/>
      <c r="J1040" s="37" t="s">
        <v>126</v>
      </c>
      <c r="K1040" s="37" t="s">
        <v>1213</v>
      </c>
      <c r="L1040" s="39" t="n">
        <v>42</v>
      </c>
      <c r="M1040" s="39" t="n">
        <v>41</v>
      </c>
      <c r="N1040" s="39" t="n">
        <v>20</v>
      </c>
      <c r="O1040" s="39" t="n">
        <v>5</v>
      </c>
      <c r="P1040" s="39" t="n">
        <v>0</v>
      </c>
      <c r="Q1040" s="39" t="n">
        <v>1</v>
      </c>
      <c r="R1040" s="39" t="n">
        <v>1</v>
      </c>
      <c r="S1040" s="39" t="n">
        <v>0</v>
      </c>
      <c r="T1040" s="40" t="n">
        <f aca="false">IF(M1040=0,0,N1040/M1040)</f>
        <v>0.487804878048781</v>
      </c>
      <c r="U1040" s="40" t="n">
        <f aca="false">IF(M1040=0,0,O1040/M1040)</f>
        <v>0.121951219512195</v>
      </c>
      <c r="V1040" s="41" t="n">
        <f aca="false">IF(M1040=0,0,P1040/M1040)</f>
        <v>0</v>
      </c>
      <c r="W1040" s="40" t="n">
        <f aca="false">IF(L1040=0,0,Q1040/L1040)</f>
        <v>0.0238095238095238</v>
      </c>
    </row>
    <row r="1041" customFormat="false" ht="15" hidden="false" customHeight="false" outlineLevel="0" collapsed="false">
      <c r="A1041" s="37" t="s">
        <v>2373</v>
      </c>
      <c r="B1041" s="38" t="n">
        <v>45936.678125</v>
      </c>
      <c r="C1041" s="37" t="s">
        <v>1201</v>
      </c>
      <c r="D1041" s="37" t="s">
        <v>1211</v>
      </c>
      <c r="E1041" s="37" t="s">
        <v>1212</v>
      </c>
      <c r="F1041" s="37" t="s">
        <v>544</v>
      </c>
      <c r="G1041" s="37"/>
      <c r="H1041" s="37" t="s">
        <v>60</v>
      </c>
      <c r="I1041" s="37"/>
      <c r="J1041" s="37" t="s">
        <v>100</v>
      </c>
      <c r="K1041" s="37" t="s">
        <v>1213</v>
      </c>
      <c r="L1041" s="39" t="n">
        <v>148</v>
      </c>
      <c r="M1041" s="39" t="n">
        <v>147</v>
      </c>
      <c r="N1041" s="39" t="n">
        <v>75</v>
      </c>
      <c r="O1041" s="39" t="n">
        <v>4</v>
      </c>
      <c r="P1041" s="39" t="n">
        <v>0</v>
      </c>
      <c r="Q1041" s="39" t="n">
        <v>1</v>
      </c>
      <c r="R1041" s="39" t="n">
        <v>1</v>
      </c>
      <c r="S1041" s="39" t="n">
        <v>0</v>
      </c>
      <c r="T1041" s="40" t="n">
        <f aca="false">IF(M1041=0,0,N1041/M1041)</f>
        <v>0.510204081632653</v>
      </c>
      <c r="U1041" s="40" t="n">
        <f aca="false">IF(M1041=0,0,O1041/M1041)</f>
        <v>0.0272108843537415</v>
      </c>
      <c r="V1041" s="41" t="n">
        <f aca="false">IF(M1041=0,0,P1041/M1041)</f>
        <v>0</v>
      </c>
      <c r="W1041" s="40" t="n">
        <f aca="false">IF(L1041=0,0,Q1041/L1041)</f>
        <v>0.00675675675675676</v>
      </c>
    </row>
    <row r="1042" customFormat="false" ht="15" hidden="false" customHeight="false" outlineLevel="0" collapsed="false">
      <c r="A1042" s="37" t="s">
        <v>2374</v>
      </c>
      <c r="B1042" s="38" t="n">
        <v>45935.7813078704</v>
      </c>
      <c r="C1042" s="37" t="s">
        <v>1201</v>
      </c>
      <c r="D1042" s="37" t="s">
        <v>1372</v>
      </c>
      <c r="E1042" s="37" t="s">
        <v>1373</v>
      </c>
      <c r="F1042" s="37" t="s">
        <v>537</v>
      </c>
      <c r="G1042" s="37"/>
      <c r="H1042" s="37" t="s">
        <v>63</v>
      </c>
      <c r="I1042" s="37"/>
      <c r="J1042" s="37" t="s">
        <v>296</v>
      </c>
      <c r="K1042" s="37" t="s">
        <v>1202</v>
      </c>
      <c r="L1042" s="39" t="n">
        <v>2</v>
      </c>
      <c r="M1042" s="39" t="n">
        <v>2</v>
      </c>
      <c r="N1042" s="39" t="n">
        <v>2</v>
      </c>
      <c r="O1042" s="39" t="n">
        <v>0</v>
      </c>
      <c r="P1042" s="39" t="n">
        <v>0</v>
      </c>
      <c r="Q1042" s="39" t="n">
        <v>0</v>
      </c>
      <c r="R1042" s="39" t="n">
        <v>0</v>
      </c>
      <c r="S1042" s="39" t="n">
        <v>0</v>
      </c>
      <c r="T1042" s="40" t="n">
        <f aca="false">IF(M1042=0,0,N1042/M1042)</f>
        <v>1</v>
      </c>
      <c r="U1042" s="40" t="n">
        <f aca="false">IF(M1042=0,0,O1042/M1042)</f>
        <v>0</v>
      </c>
      <c r="V1042" s="41" t="n">
        <f aca="false">IF(M1042=0,0,P1042/M1042)</f>
        <v>0</v>
      </c>
      <c r="W1042" s="40" t="n">
        <f aca="false">IF(L1042=0,0,Q1042/L1042)</f>
        <v>0</v>
      </c>
    </row>
    <row r="1043" customFormat="false" ht="15" hidden="false" customHeight="false" outlineLevel="0" collapsed="false">
      <c r="A1043" s="37" t="s">
        <v>2375</v>
      </c>
      <c r="B1043" s="38" t="n">
        <v>45935.3857407407</v>
      </c>
      <c r="C1043" s="37" t="s">
        <v>1201</v>
      </c>
      <c r="D1043" s="37" t="s">
        <v>1372</v>
      </c>
      <c r="E1043" s="37" t="s">
        <v>1373</v>
      </c>
      <c r="F1043" s="37" t="s">
        <v>537</v>
      </c>
      <c r="G1043" s="37"/>
      <c r="H1043" s="37" t="s">
        <v>63</v>
      </c>
      <c r="I1043" s="37"/>
      <c r="J1043" s="37" t="s">
        <v>296</v>
      </c>
      <c r="K1043" s="37" t="s">
        <v>1202</v>
      </c>
      <c r="L1043" s="39" t="n">
        <v>2</v>
      </c>
      <c r="M1043" s="39" t="n">
        <v>2</v>
      </c>
      <c r="N1043" s="39" t="n">
        <v>2</v>
      </c>
      <c r="O1043" s="39" t="n">
        <v>0</v>
      </c>
      <c r="P1043" s="39" t="n">
        <v>0</v>
      </c>
      <c r="Q1043" s="39" t="n">
        <v>0</v>
      </c>
      <c r="R1043" s="39" t="n">
        <v>0</v>
      </c>
      <c r="S1043" s="39" t="n">
        <v>0</v>
      </c>
      <c r="T1043" s="40" t="n">
        <f aca="false">IF(M1043=0,0,N1043/M1043)</f>
        <v>1</v>
      </c>
      <c r="U1043" s="40" t="n">
        <f aca="false">IF(M1043=0,0,O1043/M1043)</f>
        <v>0</v>
      </c>
      <c r="V1043" s="41" t="n">
        <f aca="false">IF(M1043=0,0,P1043/M1043)</f>
        <v>0</v>
      </c>
      <c r="W1043" s="40" t="n">
        <f aca="false">IF(L1043=0,0,Q1043/L1043)</f>
        <v>0</v>
      </c>
    </row>
    <row r="1044" customFormat="false" ht="15" hidden="false" customHeight="false" outlineLevel="0" collapsed="false">
      <c r="A1044" s="37" t="s">
        <v>2376</v>
      </c>
      <c r="B1044" s="38" t="n">
        <v>45935.3438541667</v>
      </c>
      <c r="C1044" s="37" t="s">
        <v>1201</v>
      </c>
      <c r="D1044" s="37" t="s">
        <v>1372</v>
      </c>
      <c r="E1044" s="37" t="s">
        <v>1373</v>
      </c>
      <c r="F1044" s="37" t="s">
        <v>537</v>
      </c>
      <c r="G1044" s="37"/>
      <c r="H1044" s="37" t="s">
        <v>63</v>
      </c>
      <c r="I1044" s="37"/>
      <c r="J1044" s="37" t="s">
        <v>296</v>
      </c>
      <c r="K1044" s="37" t="s">
        <v>1202</v>
      </c>
      <c r="L1044" s="39" t="n">
        <v>1</v>
      </c>
      <c r="M1044" s="39" t="n">
        <v>1</v>
      </c>
      <c r="N1044" s="39" t="n">
        <v>1</v>
      </c>
      <c r="O1044" s="39" t="n">
        <v>0</v>
      </c>
      <c r="P1044" s="39" t="n">
        <v>0</v>
      </c>
      <c r="Q1044" s="39" t="n">
        <v>0</v>
      </c>
      <c r="R1044" s="39" t="n">
        <v>0</v>
      </c>
      <c r="S1044" s="39" t="n">
        <v>0</v>
      </c>
      <c r="T1044" s="40" t="n">
        <f aca="false">IF(M1044=0,0,N1044/M1044)</f>
        <v>1</v>
      </c>
      <c r="U1044" s="40" t="n">
        <f aca="false">IF(M1044=0,0,O1044/M1044)</f>
        <v>0</v>
      </c>
      <c r="V1044" s="41" t="n">
        <f aca="false">IF(M1044=0,0,P1044/M1044)</f>
        <v>0</v>
      </c>
      <c r="W1044" s="40" t="n">
        <f aca="false">IF(L1044=0,0,Q1044/L1044)</f>
        <v>0</v>
      </c>
    </row>
    <row r="1045" customFormat="false" ht="15" hidden="false" customHeight="false" outlineLevel="0" collapsed="false">
      <c r="A1045" s="37" t="s">
        <v>2377</v>
      </c>
      <c r="B1045" s="38" t="n">
        <v>45935.0922337963</v>
      </c>
      <c r="C1045" s="37" t="s">
        <v>1201</v>
      </c>
      <c r="D1045" s="37" t="s">
        <v>1372</v>
      </c>
      <c r="E1045" s="37" t="s">
        <v>1373</v>
      </c>
      <c r="F1045" s="37" t="s">
        <v>537</v>
      </c>
      <c r="G1045" s="37"/>
      <c r="H1045" s="37" t="s">
        <v>60</v>
      </c>
      <c r="I1045" s="37"/>
      <c r="J1045" s="37" t="s">
        <v>296</v>
      </c>
      <c r="K1045" s="37" t="s">
        <v>1202</v>
      </c>
      <c r="L1045" s="39" t="n">
        <v>2</v>
      </c>
      <c r="M1045" s="39" t="n">
        <v>2</v>
      </c>
      <c r="N1045" s="39" t="n">
        <v>2</v>
      </c>
      <c r="O1045" s="39" t="n">
        <v>0</v>
      </c>
      <c r="P1045" s="39" t="n">
        <v>0</v>
      </c>
      <c r="Q1045" s="39" t="n">
        <v>0</v>
      </c>
      <c r="R1045" s="39" t="n">
        <v>0</v>
      </c>
      <c r="S1045" s="39" t="n">
        <v>0</v>
      </c>
      <c r="T1045" s="40" t="n">
        <f aca="false">IF(M1045=0,0,N1045/M1045)</f>
        <v>1</v>
      </c>
      <c r="U1045" s="40" t="n">
        <f aca="false">IF(M1045=0,0,O1045/M1045)</f>
        <v>0</v>
      </c>
      <c r="V1045" s="41" t="n">
        <f aca="false">IF(M1045=0,0,P1045/M1045)</f>
        <v>0</v>
      </c>
      <c r="W1045" s="40" t="n">
        <f aca="false">IF(L1045=0,0,Q1045/L1045)</f>
        <v>0</v>
      </c>
    </row>
    <row r="1046" customFormat="false" ht="15" hidden="false" customHeight="false" outlineLevel="0" collapsed="false">
      <c r="A1046" s="37" t="s">
        <v>2378</v>
      </c>
      <c r="B1046" s="38" t="n">
        <v>45935.0889236111</v>
      </c>
      <c r="C1046" s="37" t="s">
        <v>1201</v>
      </c>
      <c r="D1046" s="37" t="s">
        <v>1372</v>
      </c>
      <c r="E1046" s="37" t="s">
        <v>1373</v>
      </c>
      <c r="F1046" s="37" t="s">
        <v>537</v>
      </c>
      <c r="G1046" s="37"/>
      <c r="H1046" s="37" t="s">
        <v>60</v>
      </c>
      <c r="I1046" s="37"/>
      <c r="J1046" s="37" t="s">
        <v>296</v>
      </c>
      <c r="K1046" s="37" t="s">
        <v>1202</v>
      </c>
      <c r="L1046" s="39" t="n">
        <v>2</v>
      </c>
      <c r="M1046" s="39" t="n">
        <v>2</v>
      </c>
      <c r="N1046" s="39" t="n">
        <v>2</v>
      </c>
      <c r="O1046" s="39" t="n">
        <v>0</v>
      </c>
      <c r="P1046" s="39" t="n">
        <v>0</v>
      </c>
      <c r="Q1046" s="39" t="n">
        <v>0</v>
      </c>
      <c r="R1046" s="39" t="n">
        <v>0</v>
      </c>
      <c r="S1046" s="39" t="n">
        <v>0</v>
      </c>
      <c r="T1046" s="40" t="n">
        <f aca="false">IF(M1046=0,0,N1046/M1046)</f>
        <v>1</v>
      </c>
      <c r="U1046" s="40" t="n">
        <f aca="false">IF(M1046=0,0,O1046/M1046)</f>
        <v>0</v>
      </c>
      <c r="V1046" s="41" t="n">
        <f aca="false">IF(M1046=0,0,P1046/M1046)</f>
        <v>0</v>
      </c>
      <c r="W1046" s="40" t="n">
        <f aca="false">IF(L1046=0,0,Q1046/L1046)</f>
        <v>0</v>
      </c>
    </row>
    <row r="1047" customFormat="false" ht="15" hidden="false" customHeight="false" outlineLevel="0" collapsed="false">
      <c r="A1047" s="37" t="s">
        <v>2379</v>
      </c>
      <c r="B1047" s="38" t="n">
        <v>45934.0211574074</v>
      </c>
      <c r="C1047" s="37" t="s">
        <v>1201</v>
      </c>
      <c r="D1047" s="37" t="s">
        <v>1372</v>
      </c>
      <c r="E1047" s="37" t="s">
        <v>1373</v>
      </c>
      <c r="F1047" s="37" t="s">
        <v>537</v>
      </c>
      <c r="G1047" s="37"/>
      <c r="H1047" s="37" t="s">
        <v>60</v>
      </c>
      <c r="I1047" s="37"/>
      <c r="J1047" s="37" t="s">
        <v>296</v>
      </c>
      <c r="K1047" s="37" t="s">
        <v>1202</v>
      </c>
      <c r="L1047" s="39" t="n">
        <v>2</v>
      </c>
      <c r="M1047" s="39" t="n">
        <v>2</v>
      </c>
      <c r="N1047" s="39" t="n">
        <v>2</v>
      </c>
      <c r="O1047" s="39" t="n">
        <v>0</v>
      </c>
      <c r="P1047" s="39" t="n">
        <v>0</v>
      </c>
      <c r="Q1047" s="39" t="n">
        <v>0</v>
      </c>
      <c r="R1047" s="39" t="n">
        <v>0</v>
      </c>
      <c r="S1047" s="39" t="n">
        <v>0</v>
      </c>
      <c r="T1047" s="40" t="n">
        <f aca="false">IF(M1047=0,0,N1047/M1047)</f>
        <v>1</v>
      </c>
      <c r="U1047" s="40" t="n">
        <f aca="false">IF(M1047=0,0,O1047/M1047)</f>
        <v>0</v>
      </c>
      <c r="V1047" s="41" t="n">
        <f aca="false">IF(M1047=0,0,P1047/M1047)</f>
        <v>0</v>
      </c>
      <c r="W1047" s="40" t="n">
        <f aca="false">IF(L1047=0,0,Q1047/L1047)</f>
        <v>0</v>
      </c>
    </row>
    <row r="1048" customFormat="false" ht="15" hidden="false" customHeight="false" outlineLevel="0" collapsed="false">
      <c r="A1048" s="37" t="s">
        <v>2380</v>
      </c>
      <c r="B1048" s="38" t="n">
        <v>45933.6444791667</v>
      </c>
      <c r="C1048" s="37" t="s">
        <v>1201</v>
      </c>
      <c r="D1048" s="37" t="s">
        <v>160</v>
      </c>
      <c r="E1048" s="37" t="s">
        <v>160</v>
      </c>
      <c r="F1048" s="37" t="s">
        <v>189</v>
      </c>
      <c r="G1048" s="37" t="s">
        <v>1132</v>
      </c>
      <c r="H1048" s="37" t="s">
        <v>60</v>
      </c>
      <c r="I1048" s="37" t="s">
        <v>157</v>
      </c>
      <c r="J1048" s="37" t="s">
        <v>158</v>
      </c>
      <c r="K1048" s="37" t="s">
        <v>1202</v>
      </c>
      <c r="L1048" s="39" t="n">
        <v>1131</v>
      </c>
      <c r="M1048" s="39" t="n">
        <v>1125</v>
      </c>
      <c r="N1048" s="39" t="n">
        <v>490</v>
      </c>
      <c r="O1048" s="39" t="n">
        <v>63</v>
      </c>
      <c r="P1048" s="39" t="n">
        <v>9</v>
      </c>
      <c r="Q1048" s="39" t="n">
        <v>6</v>
      </c>
      <c r="R1048" s="39" t="n">
        <v>5</v>
      </c>
      <c r="S1048" s="39" t="n">
        <v>0</v>
      </c>
      <c r="T1048" s="40" t="n">
        <f aca="false">IF(M1048=0,0,N1048/M1048)</f>
        <v>0.435555555555556</v>
      </c>
      <c r="U1048" s="40" t="n">
        <f aca="false">IF(M1048=0,0,O1048/M1048)</f>
        <v>0.056</v>
      </c>
      <c r="V1048" s="41" t="n">
        <f aca="false">IF(M1048=0,0,P1048/M1048)</f>
        <v>0.008</v>
      </c>
      <c r="W1048" s="40" t="n">
        <f aca="false">IF(L1048=0,0,Q1048/L1048)</f>
        <v>0.00530503978779841</v>
      </c>
    </row>
    <row r="1049" customFormat="false" ht="15" hidden="false" customHeight="false" outlineLevel="0" collapsed="false">
      <c r="A1049" s="37" t="s">
        <v>2381</v>
      </c>
      <c r="B1049" s="38" t="n">
        <v>45933.0421180556</v>
      </c>
      <c r="C1049" s="37" t="s">
        <v>1201</v>
      </c>
      <c r="D1049" s="37" t="s">
        <v>251</v>
      </c>
      <c r="E1049" s="37" t="s">
        <v>252</v>
      </c>
      <c r="F1049" s="37" t="s">
        <v>544</v>
      </c>
      <c r="G1049" s="37"/>
      <c r="H1049" s="37" t="s">
        <v>60</v>
      </c>
      <c r="I1049" s="37"/>
      <c r="J1049" s="37" t="s">
        <v>109</v>
      </c>
      <c r="K1049" s="37" t="s">
        <v>1202</v>
      </c>
      <c r="L1049" s="39" t="n">
        <v>602</v>
      </c>
      <c r="M1049" s="39" t="n">
        <v>595</v>
      </c>
      <c r="N1049" s="39" t="n">
        <v>194</v>
      </c>
      <c r="O1049" s="39" t="n">
        <v>15</v>
      </c>
      <c r="P1049" s="39" t="n">
        <v>4</v>
      </c>
      <c r="Q1049" s="39" t="n">
        <v>7</v>
      </c>
      <c r="R1049" s="39" t="n">
        <v>4</v>
      </c>
      <c r="S1049" s="39" t="n">
        <v>0</v>
      </c>
      <c r="T1049" s="40" t="n">
        <f aca="false">IF(M1049=0,0,N1049/M1049)</f>
        <v>0.326050420168067</v>
      </c>
      <c r="U1049" s="40" t="n">
        <f aca="false">IF(M1049=0,0,O1049/M1049)</f>
        <v>0.0252100840336134</v>
      </c>
      <c r="V1049" s="41" t="n">
        <f aca="false">IF(M1049=0,0,P1049/M1049)</f>
        <v>0.00672268907563025</v>
      </c>
      <c r="W1049" s="40" t="n">
        <f aca="false">IF(L1049=0,0,Q1049/L1049)</f>
        <v>0.0116279069767442</v>
      </c>
    </row>
    <row r="1050" customFormat="false" ht="15" hidden="false" customHeight="false" outlineLevel="0" collapsed="false">
      <c r="A1050" s="37" t="s">
        <v>2382</v>
      </c>
      <c r="B1050" s="38" t="n">
        <v>45932.9793981482</v>
      </c>
      <c r="C1050" s="37" t="s">
        <v>1201</v>
      </c>
      <c r="D1050" s="37" t="s">
        <v>1259</v>
      </c>
      <c r="E1050" s="37" t="s">
        <v>1259</v>
      </c>
      <c r="F1050" s="37" t="s">
        <v>127</v>
      </c>
      <c r="G1050" s="37"/>
      <c r="H1050" s="37" t="s">
        <v>60</v>
      </c>
      <c r="I1050" s="37"/>
      <c r="J1050" s="37" t="s">
        <v>126</v>
      </c>
      <c r="K1050" s="37" t="s">
        <v>1213</v>
      </c>
      <c r="L1050" s="39" t="n">
        <v>316</v>
      </c>
      <c r="M1050" s="39" t="n">
        <v>309</v>
      </c>
      <c r="N1050" s="39" t="n">
        <v>153</v>
      </c>
      <c r="O1050" s="39" t="n">
        <v>32</v>
      </c>
      <c r="P1050" s="39" t="n">
        <v>1</v>
      </c>
      <c r="Q1050" s="39" t="n">
        <v>7</v>
      </c>
      <c r="R1050" s="39" t="n">
        <v>5</v>
      </c>
      <c r="S1050" s="39" t="n">
        <v>0</v>
      </c>
      <c r="T1050" s="40" t="n">
        <f aca="false">IF(M1050=0,0,N1050/M1050)</f>
        <v>0.495145631067961</v>
      </c>
      <c r="U1050" s="40" t="n">
        <f aca="false">IF(M1050=0,0,O1050/M1050)</f>
        <v>0.103559870550162</v>
      </c>
      <c r="V1050" s="41" t="n">
        <f aca="false">IF(M1050=0,0,P1050/M1050)</f>
        <v>0.00323624595469256</v>
      </c>
      <c r="W1050" s="40" t="n">
        <f aca="false">IF(L1050=0,0,Q1050/L1050)</f>
        <v>0.0221518987341772</v>
      </c>
    </row>
    <row r="1051" customFormat="false" ht="15" hidden="false" customHeight="false" outlineLevel="0" collapsed="false">
      <c r="A1051" s="37" t="s">
        <v>2383</v>
      </c>
      <c r="B1051" s="38" t="n">
        <v>45932.9378472222</v>
      </c>
      <c r="C1051" s="37" t="s">
        <v>1201</v>
      </c>
      <c r="D1051" s="37" t="s">
        <v>1526</v>
      </c>
      <c r="E1051" s="37" t="s">
        <v>1527</v>
      </c>
      <c r="F1051" s="37" t="s">
        <v>544</v>
      </c>
      <c r="G1051" s="37"/>
      <c r="H1051" s="37" t="s">
        <v>60</v>
      </c>
      <c r="I1051" s="37"/>
      <c r="J1051" s="37" t="s">
        <v>364</v>
      </c>
      <c r="K1051" s="37" t="s">
        <v>1202</v>
      </c>
      <c r="L1051" s="39" t="n">
        <v>142</v>
      </c>
      <c r="M1051" s="39" t="n">
        <v>136</v>
      </c>
      <c r="N1051" s="39" t="n">
        <v>69</v>
      </c>
      <c r="O1051" s="39" t="n">
        <v>3</v>
      </c>
      <c r="P1051" s="39" t="n">
        <v>1</v>
      </c>
      <c r="Q1051" s="39" t="n">
        <v>6</v>
      </c>
      <c r="R1051" s="39" t="n">
        <v>5</v>
      </c>
      <c r="S1051" s="39" t="n">
        <v>0</v>
      </c>
      <c r="T1051" s="40" t="n">
        <f aca="false">IF(M1051=0,0,N1051/M1051)</f>
        <v>0.507352941176471</v>
      </c>
      <c r="U1051" s="40" t="n">
        <f aca="false">IF(M1051=0,0,O1051/M1051)</f>
        <v>0.0220588235294118</v>
      </c>
      <c r="V1051" s="41" t="n">
        <f aca="false">IF(M1051=0,0,P1051/M1051)</f>
        <v>0.00735294117647059</v>
      </c>
      <c r="W1051" s="40" t="n">
        <f aca="false">IF(L1051=0,0,Q1051/L1051)</f>
        <v>0.0422535211267606</v>
      </c>
    </row>
    <row r="1052" customFormat="false" ht="15" hidden="false" customHeight="false" outlineLevel="0" collapsed="false">
      <c r="A1052" s="37" t="s">
        <v>2384</v>
      </c>
      <c r="B1052" s="38" t="n">
        <v>45932.7607060185</v>
      </c>
      <c r="C1052" s="37" t="s">
        <v>1201</v>
      </c>
      <c r="D1052" s="37" t="s">
        <v>1372</v>
      </c>
      <c r="E1052" s="37" t="s">
        <v>1373</v>
      </c>
      <c r="F1052" s="37" t="s">
        <v>537</v>
      </c>
      <c r="G1052" s="37"/>
      <c r="H1052" s="37" t="s">
        <v>63</v>
      </c>
      <c r="I1052" s="37"/>
      <c r="J1052" s="37" t="s">
        <v>296</v>
      </c>
      <c r="K1052" s="37" t="s">
        <v>1202</v>
      </c>
      <c r="L1052" s="39" t="n">
        <v>1</v>
      </c>
      <c r="M1052" s="39" t="n">
        <v>1</v>
      </c>
      <c r="N1052" s="39" t="n">
        <v>1</v>
      </c>
      <c r="O1052" s="39" t="n">
        <v>0</v>
      </c>
      <c r="P1052" s="39" t="n">
        <v>0</v>
      </c>
      <c r="Q1052" s="39" t="n">
        <v>0</v>
      </c>
      <c r="R1052" s="39" t="n">
        <v>0</v>
      </c>
      <c r="S1052" s="39" t="n">
        <v>0</v>
      </c>
      <c r="T1052" s="40" t="n">
        <f aca="false">IF(M1052=0,0,N1052/M1052)</f>
        <v>1</v>
      </c>
      <c r="U1052" s="40" t="n">
        <f aca="false">IF(M1052=0,0,O1052/M1052)</f>
        <v>0</v>
      </c>
      <c r="V1052" s="41" t="n">
        <f aca="false">IF(M1052=0,0,P1052/M1052)</f>
        <v>0</v>
      </c>
      <c r="W1052" s="40" t="n">
        <f aca="false">IF(L1052=0,0,Q1052/L1052)</f>
        <v>0</v>
      </c>
    </row>
    <row r="1053" customFormat="false" ht="15" hidden="false" customHeight="false" outlineLevel="0" collapsed="false">
      <c r="A1053" s="37" t="s">
        <v>1208</v>
      </c>
      <c r="B1053" s="38" t="n">
        <v>45932.5006712963</v>
      </c>
      <c r="C1053" s="37" t="s">
        <v>1201</v>
      </c>
      <c r="D1053" s="37" t="s">
        <v>297</v>
      </c>
      <c r="E1053" s="37" t="s">
        <v>2385</v>
      </c>
      <c r="F1053" s="37" t="s">
        <v>537</v>
      </c>
      <c r="G1053" s="37"/>
      <c r="H1053" s="37" t="s">
        <v>61</v>
      </c>
      <c r="I1053" s="37" t="s">
        <v>294</v>
      </c>
      <c r="J1053" s="37" t="s">
        <v>296</v>
      </c>
      <c r="K1053" s="37" t="s">
        <v>1202</v>
      </c>
      <c r="L1053" s="39" t="n">
        <v>586</v>
      </c>
      <c r="M1053" s="39" t="n">
        <v>577</v>
      </c>
      <c r="N1053" s="39" t="n">
        <v>429</v>
      </c>
      <c r="O1053" s="39" t="n">
        <v>40</v>
      </c>
      <c r="P1053" s="39" t="n">
        <v>0</v>
      </c>
      <c r="Q1053" s="39" t="n">
        <v>9</v>
      </c>
      <c r="R1053" s="39" t="n">
        <v>9</v>
      </c>
      <c r="S1053" s="39" t="n">
        <v>0</v>
      </c>
      <c r="T1053" s="40" t="n">
        <f aca="false">IF(M1053=0,0,N1053/M1053)</f>
        <v>0.743500866551127</v>
      </c>
      <c r="U1053" s="40" t="n">
        <f aca="false">IF(M1053=0,0,O1053/M1053)</f>
        <v>0.0693240901213172</v>
      </c>
      <c r="V1053" s="41" t="n">
        <f aca="false">IF(M1053=0,0,P1053/M1053)</f>
        <v>0</v>
      </c>
      <c r="W1053" s="40" t="n">
        <f aca="false">IF(L1053=0,0,Q1053/L1053)</f>
        <v>0.015358361774744</v>
      </c>
    </row>
    <row r="1054" customFormat="false" ht="15" hidden="false" customHeight="false" outlineLevel="0" collapsed="false">
      <c r="A1054" s="37" t="s">
        <v>2386</v>
      </c>
      <c r="B1054" s="38" t="n">
        <v>45932.3545023148</v>
      </c>
      <c r="C1054" s="37" t="s">
        <v>1201</v>
      </c>
      <c r="D1054" s="37" t="s">
        <v>1372</v>
      </c>
      <c r="E1054" s="37" t="s">
        <v>1373</v>
      </c>
      <c r="F1054" s="37" t="s">
        <v>537</v>
      </c>
      <c r="G1054" s="37"/>
      <c r="H1054" s="37" t="s">
        <v>60</v>
      </c>
      <c r="I1054" s="37"/>
      <c r="J1054" s="37" t="s">
        <v>296</v>
      </c>
      <c r="K1054" s="37" t="s">
        <v>1202</v>
      </c>
      <c r="L1054" s="39" t="n">
        <v>2</v>
      </c>
      <c r="M1054" s="39" t="n">
        <v>2</v>
      </c>
      <c r="N1054" s="39" t="n">
        <v>1</v>
      </c>
      <c r="O1054" s="39" t="n">
        <v>0</v>
      </c>
      <c r="P1054" s="39" t="n">
        <v>0</v>
      </c>
      <c r="Q1054" s="39" t="n">
        <v>0</v>
      </c>
      <c r="R1054" s="39" t="n">
        <v>0</v>
      </c>
      <c r="S1054" s="39" t="n">
        <v>0</v>
      </c>
      <c r="T1054" s="40" t="n">
        <f aca="false">IF(M1054=0,0,N1054/M1054)</f>
        <v>0.5</v>
      </c>
      <c r="U1054" s="40" t="n">
        <f aca="false">IF(M1054=0,0,O1054/M1054)</f>
        <v>0</v>
      </c>
      <c r="V1054" s="41" t="n">
        <f aca="false">IF(M1054=0,0,P1054/M1054)</f>
        <v>0</v>
      </c>
      <c r="W1054" s="40" t="n">
        <f aca="false">IF(L1054=0,0,Q1054/L1054)</f>
        <v>0</v>
      </c>
    </row>
    <row r="1055" customFormat="false" ht="15" hidden="false" customHeight="false" outlineLevel="0" collapsed="false">
      <c r="A1055" s="37" t="s">
        <v>2387</v>
      </c>
      <c r="B1055" s="38" t="n">
        <v>45932.0538078704</v>
      </c>
      <c r="C1055" s="37" t="s">
        <v>1201</v>
      </c>
      <c r="D1055" s="37" t="s">
        <v>2388</v>
      </c>
      <c r="E1055" s="37" t="s">
        <v>1974</v>
      </c>
      <c r="F1055" s="37" t="s">
        <v>537</v>
      </c>
      <c r="G1055" s="37"/>
      <c r="H1055" s="37" t="s">
        <v>61</v>
      </c>
      <c r="I1055" s="37"/>
      <c r="J1055" s="37" t="s">
        <v>296</v>
      </c>
      <c r="K1055" s="37" t="s">
        <v>1202</v>
      </c>
      <c r="L1055" s="39" t="n">
        <v>64</v>
      </c>
      <c r="M1055" s="39" t="n">
        <v>63</v>
      </c>
      <c r="N1055" s="39" t="n">
        <v>46</v>
      </c>
      <c r="O1055" s="39" t="n">
        <v>6</v>
      </c>
      <c r="P1055" s="39" t="n">
        <v>0</v>
      </c>
      <c r="Q1055" s="39" t="n">
        <v>1</v>
      </c>
      <c r="R1055" s="39" t="n">
        <v>1</v>
      </c>
      <c r="S1055" s="39" t="n">
        <v>0</v>
      </c>
      <c r="T1055" s="40" t="n">
        <f aca="false">IF(M1055=0,0,N1055/M1055)</f>
        <v>0.73015873015873</v>
      </c>
      <c r="U1055" s="40" t="n">
        <f aca="false">IF(M1055=0,0,O1055/M1055)</f>
        <v>0.0952380952380952</v>
      </c>
      <c r="V1055" s="41" t="n">
        <f aca="false">IF(M1055=0,0,P1055/M1055)</f>
        <v>0</v>
      </c>
      <c r="W1055" s="40" t="n">
        <f aca="false">IF(L1055=0,0,Q1055/L1055)</f>
        <v>0.015625</v>
      </c>
    </row>
    <row r="1056" customFormat="false" ht="15" hidden="false" customHeight="false" outlineLevel="0" collapsed="false">
      <c r="A1056" s="37" t="s">
        <v>2389</v>
      </c>
      <c r="B1056" s="38" t="n">
        <v>45932.0105787037</v>
      </c>
      <c r="C1056" s="37" t="s">
        <v>1201</v>
      </c>
      <c r="D1056" s="37" t="s">
        <v>1372</v>
      </c>
      <c r="E1056" s="37" t="s">
        <v>1373</v>
      </c>
      <c r="F1056" s="37" t="s">
        <v>537</v>
      </c>
      <c r="G1056" s="37"/>
      <c r="H1056" s="37" t="s">
        <v>60</v>
      </c>
      <c r="I1056" s="37"/>
      <c r="J1056" s="37" t="s">
        <v>296</v>
      </c>
      <c r="K1056" s="37" t="s">
        <v>1202</v>
      </c>
      <c r="L1056" s="39" t="n">
        <v>2</v>
      </c>
      <c r="M1056" s="39" t="n">
        <v>2</v>
      </c>
      <c r="N1056" s="39" t="n">
        <v>2</v>
      </c>
      <c r="O1056" s="39" t="n">
        <v>0</v>
      </c>
      <c r="P1056" s="39" t="n">
        <v>0</v>
      </c>
      <c r="Q1056" s="39" t="n">
        <v>0</v>
      </c>
      <c r="R1056" s="39" t="n">
        <v>0</v>
      </c>
      <c r="S1056" s="39" t="n">
        <v>0</v>
      </c>
      <c r="T1056" s="40" t="n">
        <f aca="false">IF(M1056=0,0,N1056/M1056)</f>
        <v>1</v>
      </c>
      <c r="U1056" s="40" t="n">
        <f aca="false">IF(M1056=0,0,O1056/M1056)</f>
        <v>0</v>
      </c>
      <c r="V1056" s="41" t="n">
        <f aca="false">IF(M1056=0,0,P1056/M1056)</f>
        <v>0</v>
      </c>
      <c r="W1056" s="40" t="n">
        <f aca="false">IF(L1056=0,0,Q1056/L1056)</f>
        <v>0</v>
      </c>
    </row>
    <row r="1057" customFormat="false" ht="15" hidden="false" customHeight="false" outlineLevel="0" collapsed="false">
      <c r="A1057" s="37" t="s">
        <v>2390</v>
      </c>
      <c r="B1057" s="38" t="n">
        <v>45931.9797569444</v>
      </c>
      <c r="C1057" s="37" t="s">
        <v>1201</v>
      </c>
      <c r="D1057" s="37" t="s">
        <v>2391</v>
      </c>
      <c r="E1057" s="37" t="s">
        <v>1344</v>
      </c>
      <c r="F1057" s="37" t="s">
        <v>152</v>
      </c>
      <c r="G1057" s="37" t="s">
        <v>2232</v>
      </c>
      <c r="H1057" s="37" t="s">
        <v>60</v>
      </c>
      <c r="I1057" s="37"/>
      <c r="J1057" s="37" t="s">
        <v>151</v>
      </c>
      <c r="K1057" s="37" t="s">
        <v>1202</v>
      </c>
      <c r="L1057" s="39" t="n">
        <v>28</v>
      </c>
      <c r="M1057" s="39" t="n">
        <v>28</v>
      </c>
      <c r="N1057" s="39" t="n">
        <v>17</v>
      </c>
      <c r="O1057" s="39" t="n">
        <v>6</v>
      </c>
      <c r="P1057" s="39" t="n">
        <v>1</v>
      </c>
      <c r="Q1057" s="39" t="n">
        <v>0</v>
      </c>
      <c r="R1057" s="39" t="n">
        <v>0</v>
      </c>
      <c r="S1057" s="39" t="n">
        <v>0</v>
      </c>
      <c r="T1057" s="40" t="n">
        <f aca="false">IF(M1057=0,0,N1057/M1057)</f>
        <v>0.607142857142857</v>
      </c>
      <c r="U1057" s="40" t="n">
        <f aca="false">IF(M1057=0,0,O1057/M1057)</f>
        <v>0.214285714285714</v>
      </c>
      <c r="V1057" s="41" t="n">
        <f aca="false">IF(M1057=0,0,P1057/M1057)</f>
        <v>0.0357142857142857</v>
      </c>
      <c r="W1057" s="40" t="n">
        <f aca="false">IF(L1057=0,0,Q1057/L1057)</f>
        <v>0</v>
      </c>
    </row>
    <row r="1058" customFormat="false" ht="15" hidden="false" customHeight="false" outlineLevel="0" collapsed="false">
      <c r="A1058" s="37" t="s">
        <v>2392</v>
      </c>
      <c r="B1058" s="38" t="n">
        <v>45931.729837963</v>
      </c>
      <c r="C1058" s="37" t="s">
        <v>1201</v>
      </c>
      <c r="D1058" s="37" t="s">
        <v>1372</v>
      </c>
      <c r="E1058" s="37" t="s">
        <v>1373</v>
      </c>
      <c r="F1058" s="37" t="s">
        <v>537</v>
      </c>
      <c r="G1058" s="37"/>
      <c r="H1058" s="37" t="s">
        <v>63</v>
      </c>
      <c r="I1058" s="37"/>
      <c r="J1058" s="37" t="s">
        <v>296</v>
      </c>
      <c r="K1058" s="37" t="s">
        <v>1202</v>
      </c>
      <c r="L1058" s="39" t="n">
        <v>2</v>
      </c>
      <c r="M1058" s="39" t="n">
        <v>2</v>
      </c>
      <c r="N1058" s="39" t="n">
        <v>2</v>
      </c>
      <c r="O1058" s="39" t="n">
        <v>0</v>
      </c>
      <c r="P1058" s="39" t="n">
        <v>0</v>
      </c>
      <c r="Q1058" s="39" t="n">
        <v>0</v>
      </c>
      <c r="R1058" s="39" t="n">
        <v>0</v>
      </c>
      <c r="S1058" s="39" t="n">
        <v>0</v>
      </c>
      <c r="T1058" s="40" t="n">
        <f aca="false">IF(M1058=0,0,N1058/M1058)</f>
        <v>1</v>
      </c>
      <c r="U1058" s="40" t="n">
        <f aca="false">IF(M1058=0,0,O1058/M1058)</f>
        <v>0</v>
      </c>
      <c r="V1058" s="41" t="n">
        <f aca="false">IF(M1058=0,0,P1058/M1058)</f>
        <v>0</v>
      </c>
      <c r="W1058" s="40" t="n">
        <f aca="false">IF(L1058=0,0,Q1058/L1058)</f>
        <v>0</v>
      </c>
    </row>
    <row r="1059" customFormat="false" ht="15" hidden="false" customHeight="false" outlineLevel="0" collapsed="false">
      <c r="A1059" s="37" t="s">
        <v>2393</v>
      </c>
      <c r="B1059" s="38" t="n">
        <v>45931.7086921296</v>
      </c>
      <c r="C1059" s="37" t="s">
        <v>1252</v>
      </c>
      <c r="D1059" s="37" t="s">
        <v>2394</v>
      </c>
      <c r="E1059" s="37" t="s">
        <v>193</v>
      </c>
      <c r="F1059" s="37" t="s">
        <v>555</v>
      </c>
      <c r="G1059" s="37" t="s">
        <v>1134</v>
      </c>
      <c r="H1059" s="37" t="s">
        <v>61</v>
      </c>
      <c r="I1059" s="37" t="s">
        <v>207</v>
      </c>
      <c r="J1059" s="37" t="s">
        <v>191</v>
      </c>
      <c r="K1059" s="37" t="s">
        <v>1202</v>
      </c>
      <c r="L1059" s="39" t="n">
        <v>3094</v>
      </c>
      <c r="M1059" s="39" t="n">
        <v>3045</v>
      </c>
      <c r="N1059" s="39" t="n">
        <v>1080</v>
      </c>
      <c r="O1059" s="39" t="n">
        <v>57</v>
      </c>
      <c r="P1059" s="39" t="n">
        <v>28</v>
      </c>
      <c r="Q1059" s="39" t="n">
        <v>49</v>
      </c>
      <c r="R1059" s="39" t="n">
        <v>36</v>
      </c>
      <c r="S1059" s="39" t="n">
        <v>0</v>
      </c>
      <c r="T1059" s="40" t="n">
        <f aca="false">IF(M1059=0,0,N1059/M1059)</f>
        <v>0.354679802955665</v>
      </c>
      <c r="U1059" s="40" t="n">
        <f aca="false">IF(M1059=0,0,O1059/M1059)</f>
        <v>0.0187192118226601</v>
      </c>
      <c r="V1059" s="41" t="n">
        <f aca="false">IF(M1059=0,0,P1059/M1059)</f>
        <v>0.00919540229885058</v>
      </c>
      <c r="W1059" s="40" t="n">
        <f aca="false">IF(L1059=0,0,Q1059/L1059)</f>
        <v>0.0158371040723982</v>
      </c>
    </row>
    <row r="1060" customFormat="false" ht="15" hidden="false" customHeight="false" outlineLevel="0" collapsed="false">
      <c r="A1060" s="37" t="s">
        <v>2395</v>
      </c>
      <c r="B1060" s="38" t="n">
        <v>45931.6394444444</v>
      </c>
      <c r="C1060" s="37" t="s">
        <v>1241</v>
      </c>
      <c r="D1060" s="37" t="s">
        <v>1242</v>
      </c>
      <c r="E1060" s="37" t="s">
        <v>1250</v>
      </c>
      <c r="F1060" s="37" t="s">
        <v>555</v>
      </c>
      <c r="G1060" s="37"/>
      <c r="H1060" s="37" t="s">
        <v>65</v>
      </c>
      <c r="I1060" s="37"/>
      <c r="J1060" s="37" t="s">
        <v>354</v>
      </c>
      <c r="K1060" s="37" t="s">
        <v>1202</v>
      </c>
      <c r="L1060" s="39" t="n">
        <v>580</v>
      </c>
      <c r="M1060" s="39" t="n">
        <v>571</v>
      </c>
      <c r="N1060" s="39" t="n">
        <v>177</v>
      </c>
      <c r="O1060" s="39" t="n">
        <v>49</v>
      </c>
      <c r="P1060" s="39" t="n">
        <v>2</v>
      </c>
      <c r="Q1060" s="39" t="n">
        <v>9</v>
      </c>
      <c r="R1060" s="39" t="n">
        <v>9</v>
      </c>
      <c r="S1060" s="39" t="n">
        <v>0</v>
      </c>
      <c r="T1060" s="40" t="n">
        <f aca="false">IF(M1060=0,0,N1060/M1060)</f>
        <v>0.309982486865149</v>
      </c>
      <c r="U1060" s="40" t="n">
        <f aca="false">IF(M1060=0,0,O1060/M1060)</f>
        <v>0.0858143607705779</v>
      </c>
      <c r="V1060" s="41" t="n">
        <f aca="false">IF(M1060=0,0,P1060/M1060)</f>
        <v>0.00350262697022767</v>
      </c>
      <c r="W1060" s="40" t="n">
        <f aca="false">IF(L1060=0,0,Q1060/L1060)</f>
        <v>0.0155172413793103</v>
      </c>
    </row>
    <row r="1061" customFormat="false" ht="15" hidden="false" customHeight="false" outlineLevel="0" collapsed="false">
      <c r="A1061" s="37" t="s">
        <v>2396</v>
      </c>
      <c r="B1061" s="38" t="n">
        <v>45931.3923263889</v>
      </c>
      <c r="C1061" s="37" t="s">
        <v>1201</v>
      </c>
      <c r="D1061" s="37" t="s">
        <v>1523</v>
      </c>
      <c r="E1061" s="37" t="s">
        <v>166</v>
      </c>
      <c r="F1061" s="37" t="s">
        <v>671</v>
      </c>
      <c r="G1061" s="37"/>
      <c r="H1061" s="37" t="s">
        <v>66</v>
      </c>
      <c r="I1061" s="37"/>
      <c r="J1061" s="37" t="s">
        <v>164</v>
      </c>
      <c r="K1061" s="37" t="s">
        <v>1202</v>
      </c>
      <c r="L1061" s="39" t="n">
        <v>139</v>
      </c>
      <c r="M1061" s="39" t="n">
        <v>139</v>
      </c>
      <c r="N1061" s="39" t="n">
        <v>78</v>
      </c>
      <c r="O1061" s="39" t="n">
        <v>32</v>
      </c>
      <c r="P1061" s="39" t="n">
        <v>0</v>
      </c>
      <c r="Q1061" s="39" t="n">
        <v>0</v>
      </c>
      <c r="R1061" s="39" t="n">
        <v>0</v>
      </c>
      <c r="S1061" s="39" t="n">
        <v>0</v>
      </c>
      <c r="T1061" s="40" t="n">
        <f aca="false">IF(M1061=0,0,N1061/M1061)</f>
        <v>0.561151079136691</v>
      </c>
      <c r="U1061" s="40" t="n">
        <f aca="false">IF(M1061=0,0,O1061/M1061)</f>
        <v>0.23021582733813</v>
      </c>
      <c r="V1061" s="41" t="n">
        <f aca="false">IF(M1061=0,0,P1061/M1061)</f>
        <v>0</v>
      </c>
      <c r="W1061" s="40" t="n">
        <f aca="false">IF(L1061=0,0,Q1061/L1061)</f>
        <v>0</v>
      </c>
    </row>
    <row r="1062" customFormat="false" ht="15" hidden="false" customHeight="false" outlineLevel="0" collapsed="false">
      <c r="A1062" s="37" t="s">
        <v>2397</v>
      </c>
      <c r="B1062" s="38" t="n">
        <v>45931.3791435185</v>
      </c>
      <c r="C1062" s="37" t="s">
        <v>1201</v>
      </c>
      <c r="D1062" s="37" t="s">
        <v>1211</v>
      </c>
      <c r="E1062" s="37" t="s">
        <v>1212</v>
      </c>
      <c r="F1062" s="37" t="s">
        <v>544</v>
      </c>
      <c r="G1062" s="37"/>
      <c r="H1062" s="37" t="s">
        <v>60</v>
      </c>
      <c r="I1062" s="37"/>
      <c r="J1062" s="37" t="s">
        <v>100</v>
      </c>
      <c r="K1062" s="37" t="s">
        <v>1213</v>
      </c>
      <c r="L1062" s="39" t="n">
        <v>148</v>
      </c>
      <c r="M1062" s="39" t="n">
        <v>148</v>
      </c>
      <c r="N1062" s="39" t="n">
        <v>69</v>
      </c>
      <c r="O1062" s="39" t="n">
        <v>0</v>
      </c>
      <c r="P1062" s="39" t="n">
        <v>0</v>
      </c>
      <c r="Q1062" s="39" t="n">
        <v>0</v>
      </c>
      <c r="R1062" s="39" t="n">
        <v>0</v>
      </c>
      <c r="S1062" s="39" t="n">
        <v>0</v>
      </c>
      <c r="T1062" s="40" t="n">
        <f aca="false">IF(M1062=0,0,N1062/M1062)</f>
        <v>0.466216216216216</v>
      </c>
      <c r="U1062" s="40" t="n">
        <f aca="false">IF(M1062=0,0,O1062/M1062)</f>
        <v>0</v>
      </c>
      <c r="V1062" s="41" t="n">
        <f aca="false">IF(M1062=0,0,P1062/M1062)</f>
        <v>0</v>
      </c>
      <c r="W1062" s="40" t="n">
        <f aca="false">IF(L1062=0,0,Q1062/L1062)</f>
        <v>0</v>
      </c>
    </row>
    <row r="1063" customFormat="false" ht="15" hidden="false" customHeight="false" outlineLevel="0" collapsed="false">
      <c r="A1063" s="37" t="s">
        <v>2398</v>
      </c>
      <c r="B1063" s="38" t="n">
        <v>45931.3646064815</v>
      </c>
      <c r="C1063" s="37" t="s">
        <v>1201</v>
      </c>
      <c r="D1063" s="37" t="s">
        <v>1372</v>
      </c>
      <c r="E1063" s="37" t="s">
        <v>1373</v>
      </c>
      <c r="F1063" s="37" t="s">
        <v>537</v>
      </c>
      <c r="G1063" s="37"/>
      <c r="H1063" s="37" t="s">
        <v>63</v>
      </c>
      <c r="I1063" s="37"/>
      <c r="J1063" s="37" t="s">
        <v>296</v>
      </c>
      <c r="K1063" s="37" t="s">
        <v>1202</v>
      </c>
      <c r="L1063" s="39" t="n">
        <v>2</v>
      </c>
      <c r="M1063" s="39" t="n">
        <v>2</v>
      </c>
      <c r="N1063" s="39" t="n">
        <v>2</v>
      </c>
      <c r="O1063" s="39" t="n">
        <v>0</v>
      </c>
      <c r="P1063" s="39" t="n">
        <v>0</v>
      </c>
      <c r="Q1063" s="39" t="n">
        <v>0</v>
      </c>
      <c r="R1063" s="39" t="n">
        <v>0</v>
      </c>
      <c r="S1063" s="39" t="n">
        <v>0</v>
      </c>
      <c r="T1063" s="40" t="n">
        <f aca="false">IF(M1063=0,0,N1063/M1063)</f>
        <v>1</v>
      </c>
      <c r="U1063" s="40" t="n">
        <f aca="false">IF(M1063=0,0,O1063/M1063)</f>
        <v>0</v>
      </c>
      <c r="V1063" s="41" t="n">
        <f aca="false">IF(M1063=0,0,P1063/M1063)</f>
        <v>0</v>
      </c>
      <c r="W1063" s="40" t="n">
        <f aca="false">IF(L1063=0,0,Q1063/L1063)</f>
        <v>0</v>
      </c>
    </row>
    <row r="1064" customFormat="false" ht="15" hidden="false" customHeight="false" outlineLevel="0" collapsed="false">
      <c r="A1064" s="37" t="s">
        <v>2399</v>
      </c>
      <c r="B1064" s="38" t="n">
        <v>45931.0858101852</v>
      </c>
      <c r="C1064" s="37" t="s">
        <v>1201</v>
      </c>
      <c r="D1064" s="37" t="s">
        <v>2391</v>
      </c>
      <c r="E1064" s="37" t="s">
        <v>1344</v>
      </c>
      <c r="F1064" s="37" t="s">
        <v>152</v>
      </c>
      <c r="G1064" s="37"/>
      <c r="H1064" s="37" t="s">
        <v>60</v>
      </c>
      <c r="I1064" s="37"/>
      <c r="J1064" s="37" t="s">
        <v>151</v>
      </c>
      <c r="K1064" s="37" t="s">
        <v>1202</v>
      </c>
      <c r="L1064" s="39" t="n">
        <v>5</v>
      </c>
      <c r="M1064" s="39" t="n">
        <v>5</v>
      </c>
      <c r="N1064" s="39" t="n">
        <v>5</v>
      </c>
      <c r="O1064" s="39" t="n">
        <v>0</v>
      </c>
      <c r="P1064" s="39" t="n">
        <v>0</v>
      </c>
      <c r="Q1064" s="39" t="n">
        <v>0</v>
      </c>
      <c r="R1064" s="39" t="n">
        <v>0</v>
      </c>
      <c r="S1064" s="39" t="n">
        <v>0</v>
      </c>
      <c r="T1064" s="40" t="n">
        <f aca="false">IF(M1064=0,0,N1064/M1064)</f>
        <v>1</v>
      </c>
      <c r="U1064" s="40" t="n">
        <f aca="false">IF(M1064=0,0,O1064/M1064)</f>
        <v>0</v>
      </c>
      <c r="V1064" s="41" t="n">
        <f aca="false">IF(M1064=0,0,P1064/M1064)</f>
        <v>0</v>
      </c>
      <c r="W1064" s="40" t="n">
        <f aca="false">IF(L1064=0,0,Q1064/L1064)</f>
        <v>0</v>
      </c>
    </row>
    <row r="1065" customFormat="false" ht="15" hidden="false" customHeight="false" outlineLevel="0" collapsed="false">
      <c r="A1065" s="37" t="s">
        <v>2400</v>
      </c>
      <c r="B1065" s="38" t="n">
        <v>45931.0461458333</v>
      </c>
      <c r="C1065" s="37" t="s">
        <v>1201</v>
      </c>
      <c r="D1065" s="37" t="s">
        <v>152</v>
      </c>
      <c r="E1065" s="37" t="s">
        <v>1344</v>
      </c>
      <c r="F1065" s="37" t="s">
        <v>152</v>
      </c>
      <c r="G1065" s="37" t="s">
        <v>2232</v>
      </c>
      <c r="H1065" s="37" t="s">
        <v>60</v>
      </c>
      <c r="I1065" s="37"/>
      <c r="J1065" s="37" t="s">
        <v>151</v>
      </c>
      <c r="K1065" s="37" t="s">
        <v>1202</v>
      </c>
      <c r="L1065" s="39" t="n">
        <v>2182</v>
      </c>
      <c r="M1065" s="39" t="n">
        <v>2172</v>
      </c>
      <c r="N1065" s="39" t="n">
        <v>605</v>
      </c>
      <c r="O1065" s="39" t="n">
        <v>31</v>
      </c>
      <c r="P1065" s="39" t="n">
        <v>7</v>
      </c>
      <c r="Q1065" s="39" t="n">
        <v>10</v>
      </c>
      <c r="R1065" s="39" t="n">
        <v>8</v>
      </c>
      <c r="S1065" s="39" t="n">
        <v>0</v>
      </c>
      <c r="T1065" s="40" t="n">
        <f aca="false">IF(M1065=0,0,N1065/M1065)</f>
        <v>0.278545119705341</v>
      </c>
      <c r="U1065" s="40" t="n">
        <f aca="false">IF(M1065=0,0,O1065/M1065)</f>
        <v>0.0142725598526704</v>
      </c>
      <c r="V1065" s="41" t="n">
        <f aca="false">IF(M1065=0,0,P1065/M1065)</f>
        <v>0.00322283609576427</v>
      </c>
      <c r="W1065" s="40" t="n">
        <f aca="false">IF(L1065=0,0,Q1065/L1065)</f>
        <v>0.00458295142071494</v>
      </c>
    </row>
    <row r="1066" customFormat="false" ht="15" hidden="false" customHeight="false" outlineLevel="0" collapsed="false">
      <c r="A1066" s="37" t="s">
        <v>2401</v>
      </c>
      <c r="B1066" s="38" t="n">
        <v>45931.0110648148</v>
      </c>
      <c r="C1066" s="37" t="s">
        <v>1201</v>
      </c>
      <c r="D1066" s="37" t="s">
        <v>110</v>
      </c>
      <c r="E1066" s="37" t="s">
        <v>1768</v>
      </c>
      <c r="F1066" s="37" t="s">
        <v>667</v>
      </c>
      <c r="G1066" s="37" t="s">
        <v>1132</v>
      </c>
      <c r="H1066" s="37" t="s">
        <v>61</v>
      </c>
      <c r="I1066" s="37" t="s">
        <v>107</v>
      </c>
      <c r="J1066" s="37" t="s">
        <v>109</v>
      </c>
      <c r="K1066" s="37" t="s">
        <v>1202</v>
      </c>
      <c r="L1066" s="39" t="n">
        <v>2984</v>
      </c>
      <c r="M1066" s="39" t="n">
        <v>2954</v>
      </c>
      <c r="N1066" s="39" t="n">
        <v>972</v>
      </c>
      <c r="O1066" s="39" t="n">
        <v>32</v>
      </c>
      <c r="P1066" s="39" t="n">
        <v>16</v>
      </c>
      <c r="Q1066" s="39" t="n">
        <v>30</v>
      </c>
      <c r="R1066" s="39" t="n">
        <v>24</v>
      </c>
      <c r="S1066" s="39" t="n">
        <v>0</v>
      </c>
      <c r="T1066" s="40" t="n">
        <f aca="false">IF(M1066=0,0,N1066/M1066)</f>
        <v>0.329045362220718</v>
      </c>
      <c r="U1066" s="40" t="n">
        <f aca="false">IF(M1066=0,0,O1066/M1066)</f>
        <v>0.010832769126608</v>
      </c>
      <c r="V1066" s="41" t="n">
        <f aca="false">IF(M1066=0,0,P1066/M1066)</f>
        <v>0.00541638456330399</v>
      </c>
      <c r="W1066" s="40" t="n">
        <f aca="false">IF(L1066=0,0,Q1066/L1066)</f>
        <v>0.0100536193029491</v>
      </c>
    </row>
    <row r="1067" customFormat="false" ht="15" hidden="false" customHeight="false" outlineLevel="0" collapsed="false">
      <c r="A1067" s="37" t="s">
        <v>2402</v>
      </c>
      <c r="B1067" s="38" t="n">
        <v>45931.0108680556</v>
      </c>
      <c r="C1067" s="37" t="s">
        <v>1201</v>
      </c>
      <c r="D1067" s="37" t="s">
        <v>1372</v>
      </c>
      <c r="E1067" s="37" t="s">
        <v>1373</v>
      </c>
      <c r="F1067" s="37" t="s">
        <v>537</v>
      </c>
      <c r="G1067" s="37"/>
      <c r="H1067" s="37" t="s">
        <v>64</v>
      </c>
      <c r="I1067" s="37"/>
      <c r="J1067" s="37" t="s">
        <v>296</v>
      </c>
      <c r="K1067" s="37" t="s">
        <v>1202</v>
      </c>
      <c r="L1067" s="39" t="n">
        <v>2</v>
      </c>
      <c r="M1067" s="39" t="n">
        <v>2</v>
      </c>
      <c r="N1067" s="39" t="n">
        <v>2</v>
      </c>
      <c r="O1067" s="39" t="n">
        <v>0</v>
      </c>
      <c r="P1067" s="39" t="n">
        <v>0</v>
      </c>
      <c r="Q1067" s="39" t="n">
        <v>0</v>
      </c>
      <c r="R1067" s="39" t="n">
        <v>0</v>
      </c>
      <c r="S1067" s="39" t="n">
        <v>0</v>
      </c>
      <c r="T1067" s="40" t="n">
        <f aca="false">IF(M1067=0,0,N1067/M1067)</f>
        <v>1</v>
      </c>
      <c r="U1067" s="40" t="n">
        <f aca="false">IF(M1067=0,0,O1067/M1067)</f>
        <v>0</v>
      </c>
      <c r="V1067" s="41" t="n">
        <f aca="false">IF(M1067=0,0,P1067/M1067)</f>
        <v>0</v>
      </c>
      <c r="W1067" s="40" t="n">
        <f aca="false">IF(L1067=0,0,Q1067/L1067)</f>
        <v>0</v>
      </c>
    </row>
  </sheetData>
  <autoFilter ref="A4:W106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2403</v>
      </c>
    </row>
    <row r="2" customFormat="false" ht="15" hidden="false" customHeight="false" outlineLevel="0" collapsed="false">
      <c r="A2" s="2"/>
    </row>
    <row r="3" customFormat="false" ht="30" hidden="false" customHeight="true" outlineLevel="0" collapsed="false">
      <c r="A3" s="5" t="s">
        <v>2404</v>
      </c>
      <c r="B3" s="20" t="s">
        <v>2405</v>
      </c>
    </row>
    <row r="4" customFormat="false" ht="30" hidden="false" customHeight="true" outlineLevel="0" collapsed="false">
      <c r="A4" s="5" t="s">
        <v>2406</v>
      </c>
      <c r="B4" s="20" t="s">
        <v>2407</v>
      </c>
    </row>
    <row r="5" customFormat="false" ht="30" hidden="false" customHeight="true" outlineLevel="0" collapsed="false">
      <c r="A5" s="5" t="s">
        <v>2408</v>
      </c>
      <c r="B5" s="20" t="s">
        <v>2409</v>
      </c>
    </row>
    <row r="6" customFormat="false" ht="30" hidden="false" customHeight="true" outlineLevel="0" collapsed="false">
      <c r="A6" s="5" t="s">
        <v>2410</v>
      </c>
      <c r="B6" s="20" t="s">
        <v>2411</v>
      </c>
    </row>
    <row r="7" customFormat="false" ht="30" hidden="false" customHeight="true" outlineLevel="0" collapsed="false">
      <c r="A7" s="5" t="s">
        <v>2412</v>
      </c>
      <c r="B7" s="20" t="s">
        <v>2413</v>
      </c>
    </row>
    <row r="8" customFormat="false" ht="30" hidden="false" customHeight="true" outlineLevel="0" collapsed="false">
      <c r="A8" s="5" t="s">
        <v>97</v>
      </c>
      <c r="B8" s="20" t="s">
        <v>2414</v>
      </c>
    </row>
    <row r="9" customFormat="false" ht="30" hidden="false" customHeight="true" outlineLevel="0" collapsed="false">
      <c r="A9" s="5" t="s">
        <v>1194</v>
      </c>
      <c r="B9" s="20" t="s">
        <v>2415</v>
      </c>
    </row>
    <row r="10" customFormat="false" ht="30" hidden="false" customHeight="true" outlineLevel="0" collapsed="false">
      <c r="A10" s="5" t="s">
        <v>87</v>
      </c>
      <c r="B10" s="20" t="s">
        <v>2416</v>
      </c>
    </row>
    <row r="11" customFormat="false" ht="30" hidden="false" customHeight="true" outlineLevel="0" collapsed="false">
      <c r="A11" s="5" t="s">
        <v>108</v>
      </c>
      <c r="B11" s="20" t="s">
        <v>2417</v>
      </c>
    </row>
    <row r="12" customFormat="false" ht="30" hidden="false" customHeight="true" outlineLevel="0" collapsed="false">
      <c r="A12" s="5" t="s">
        <v>2418</v>
      </c>
      <c r="B12" s="20" t="s">
        <v>2419</v>
      </c>
    </row>
    <row r="13" customFormat="false" ht="30" hidden="false" customHeight="true" outlineLevel="0" collapsed="false">
      <c r="A13" s="5" t="s">
        <v>507</v>
      </c>
      <c r="B13" s="20" t="s">
        <v>2420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2026-10-08T10:36:17Z</dcterms:created>
  <dc:creator>openpyxl</dc:creator>
  <dc:description/>
  <dc:language>en-US</dc:language>
  <cp:lastModifiedBy/>
  <dcterms:modified xsi:type="dcterms:W3CDTF">2026-10-08T10:36:18Z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